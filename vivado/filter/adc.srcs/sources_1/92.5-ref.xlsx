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rdos\vivado\filter\adc.srcs\sources_1\"/>
    </mc:Choice>
  </mc:AlternateContent>
  <xr:revisionPtr revIDLastSave="0" documentId="13_ncr:1_{A938A636-B097-4167-B1F7-DF97937575CE}" xr6:coauthVersionLast="47" xr6:coauthVersionMax="47" xr10:uidLastSave="{00000000-0000-0000-0000-000000000000}"/>
  <bookViews>
    <workbookView xWindow="1695" yWindow="1050" windowWidth="26715" windowHeight="12915" activeTab="2" xr2:uid="{00000000-000D-0000-FFFF-FFFF00000000}"/>
  </bookViews>
  <sheets>
    <sheet name="basic" sheetId="1" r:id="rId1"/>
    <sheet name="koeff" sheetId="2" r:id="rId2"/>
    <sheet name="amp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2" i="1" l="1"/>
  <c r="S412" i="1"/>
  <c r="X412" i="1"/>
  <c r="AC412" i="1"/>
  <c r="AH412" i="1"/>
  <c r="AM412" i="1"/>
  <c r="AM411" i="1"/>
  <c r="AM410" i="1"/>
  <c r="AN409" i="1"/>
  <c r="AM409" i="1"/>
  <c r="AN407" i="1"/>
  <c r="AN406" i="1"/>
  <c r="AN405" i="1"/>
  <c r="AN404" i="1"/>
  <c r="AN403" i="1"/>
  <c r="AN402" i="1"/>
  <c r="AN401" i="1"/>
  <c r="AN400" i="1"/>
  <c r="AN399" i="1"/>
  <c r="AN398" i="1"/>
  <c r="AN397" i="1"/>
  <c r="AN396" i="1"/>
  <c r="AN395" i="1"/>
  <c r="AN394" i="1"/>
  <c r="AN393" i="1"/>
  <c r="AN392" i="1"/>
  <c r="AN391" i="1"/>
  <c r="AN390" i="1"/>
  <c r="AN389" i="1"/>
  <c r="AN388" i="1"/>
  <c r="AN387" i="1"/>
  <c r="AN386" i="1"/>
  <c r="AN385" i="1"/>
  <c r="AN384" i="1"/>
  <c r="AN383" i="1"/>
  <c r="AN382" i="1"/>
  <c r="AN381" i="1"/>
  <c r="AN380" i="1"/>
  <c r="AN379" i="1"/>
  <c r="AN378" i="1"/>
  <c r="AN377" i="1"/>
  <c r="AN376" i="1"/>
  <c r="AN375" i="1"/>
  <c r="AN374" i="1"/>
  <c r="AN373" i="1"/>
  <c r="AN372" i="1"/>
  <c r="AN371" i="1"/>
  <c r="AN370" i="1"/>
  <c r="AN369" i="1"/>
  <c r="AN368" i="1"/>
  <c r="AN367" i="1"/>
  <c r="AN366" i="1"/>
  <c r="AN365" i="1"/>
  <c r="AN364" i="1"/>
  <c r="AN363" i="1"/>
  <c r="AN362" i="1"/>
  <c r="AN361" i="1"/>
  <c r="AN360" i="1"/>
  <c r="AN359" i="1"/>
  <c r="AN358" i="1"/>
  <c r="AN357" i="1"/>
  <c r="AN356" i="1"/>
  <c r="AN355" i="1"/>
  <c r="AN354" i="1"/>
  <c r="AN353" i="1"/>
  <c r="AN352" i="1"/>
  <c r="AN351" i="1"/>
  <c r="AN350" i="1"/>
  <c r="AN349" i="1"/>
  <c r="AN348" i="1"/>
  <c r="AN347" i="1"/>
  <c r="AN346" i="1"/>
  <c r="AN345" i="1"/>
  <c r="AN344" i="1"/>
  <c r="AN343" i="1"/>
  <c r="AN342" i="1"/>
  <c r="AN341" i="1"/>
  <c r="AN340" i="1"/>
  <c r="AN339" i="1"/>
  <c r="AN338" i="1"/>
  <c r="AN337" i="1"/>
  <c r="AN336" i="1"/>
  <c r="AN335" i="1"/>
  <c r="AN334" i="1"/>
  <c r="AN333" i="1"/>
  <c r="AN332" i="1"/>
  <c r="AN331" i="1"/>
  <c r="AN330" i="1"/>
  <c r="AN329" i="1"/>
  <c r="AN328" i="1"/>
  <c r="AN327" i="1"/>
  <c r="AN326" i="1"/>
  <c r="AN325" i="1"/>
  <c r="AN324" i="1"/>
  <c r="AN323" i="1"/>
  <c r="AN322" i="1"/>
  <c r="AN321" i="1"/>
  <c r="AN320" i="1"/>
  <c r="AN319" i="1"/>
  <c r="AN318" i="1"/>
  <c r="AN317" i="1"/>
  <c r="AN316" i="1"/>
  <c r="AN315" i="1"/>
  <c r="AN314" i="1"/>
  <c r="AN313" i="1"/>
  <c r="AN312" i="1"/>
  <c r="AN311" i="1"/>
  <c r="AN310" i="1"/>
  <c r="AN309" i="1"/>
  <c r="AN308" i="1"/>
  <c r="AN307" i="1"/>
  <c r="AN306" i="1"/>
  <c r="AN305" i="1"/>
  <c r="AN304" i="1"/>
  <c r="AN303" i="1"/>
  <c r="AN302" i="1"/>
  <c r="AN301" i="1"/>
  <c r="AN300" i="1"/>
  <c r="AN299" i="1"/>
  <c r="AN298" i="1"/>
  <c r="AN297" i="1"/>
  <c r="AN296" i="1"/>
  <c r="AN295" i="1"/>
  <c r="AN294" i="1"/>
  <c r="AN293" i="1"/>
  <c r="AN292" i="1"/>
  <c r="AN291" i="1"/>
  <c r="AN290" i="1"/>
  <c r="AN289" i="1"/>
  <c r="AN288" i="1"/>
  <c r="AN287" i="1"/>
  <c r="AN286" i="1"/>
  <c r="AN285" i="1"/>
  <c r="AN284" i="1"/>
  <c r="AN283" i="1"/>
  <c r="AN282" i="1"/>
  <c r="AN281" i="1"/>
  <c r="AN280" i="1"/>
  <c r="AN279" i="1"/>
  <c r="AN278" i="1"/>
  <c r="AN277" i="1"/>
  <c r="AN276" i="1"/>
  <c r="AN275" i="1"/>
  <c r="AN274" i="1"/>
  <c r="AN273" i="1"/>
  <c r="AN272" i="1"/>
  <c r="AN271" i="1"/>
  <c r="AN270" i="1"/>
  <c r="AN269" i="1"/>
  <c r="AN268" i="1"/>
  <c r="AN267" i="1"/>
  <c r="AN266" i="1"/>
  <c r="AN265" i="1"/>
  <c r="AN264" i="1"/>
  <c r="AN263" i="1"/>
  <c r="AN262" i="1"/>
  <c r="AN261" i="1"/>
  <c r="AN260" i="1"/>
  <c r="AN259" i="1"/>
  <c r="AN258" i="1"/>
  <c r="AN257" i="1"/>
  <c r="AN256" i="1"/>
  <c r="AN255" i="1"/>
  <c r="AN254" i="1"/>
  <c r="AN253" i="1"/>
  <c r="AN252" i="1"/>
  <c r="AN251" i="1"/>
  <c r="AN250" i="1"/>
  <c r="AN249" i="1"/>
  <c r="AN248" i="1"/>
  <c r="AN247" i="1"/>
  <c r="AN246" i="1"/>
  <c r="AN245" i="1"/>
  <c r="AN244" i="1"/>
  <c r="AN243" i="1"/>
  <c r="AN242" i="1"/>
  <c r="AN241" i="1"/>
  <c r="AN240" i="1"/>
  <c r="AN239" i="1"/>
  <c r="AN238" i="1"/>
  <c r="AN237" i="1"/>
  <c r="AN236" i="1"/>
  <c r="AN235" i="1"/>
  <c r="AN234" i="1"/>
  <c r="AN233" i="1"/>
  <c r="AN232" i="1"/>
  <c r="AN231" i="1"/>
  <c r="AN230" i="1"/>
  <c r="AN229" i="1"/>
  <c r="AN228" i="1"/>
  <c r="AN227" i="1"/>
  <c r="AN226" i="1"/>
  <c r="AN225" i="1"/>
  <c r="AN224" i="1"/>
  <c r="AN223" i="1"/>
  <c r="AN222" i="1"/>
  <c r="AN221" i="1"/>
  <c r="AN220" i="1"/>
  <c r="AN219" i="1"/>
  <c r="AN218" i="1"/>
  <c r="AN217" i="1"/>
  <c r="AN216" i="1"/>
  <c r="AN215" i="1"/>
  <c r="AN214" i="1"/>
  <c r="AN213" i="1"/>
  <c r="AN212" i="1"/>
  <c r="AN211" i="1"/>
  <c r="AN210" i="1"/>
  <c r="AN209" i="1"/>
  <c r="AN208" i="1"/>
  <c r="AN207" i="1"/>
  <c r="AN206" i="1"/>
  <c r="AN205" i="1"/>
  <c r="AN204" i="1"/>
  <c r="AN203" i="1"/>
  <c r="AN202" i="1"/>
  <c r="AN201" i="1"/>
  <c r="AN200" i="1"/>
  <c r="AN199" i="1"/>
  <c r="AN198" i="1"/>
  <c r="AN197" i="1"/>
  <c r="AN196" i="1"/>
  <c r="AN195" i="1"/>
  <c r="AN194" i="1"/>
  <c r="AN193" i="1"/>
  <c r="AN192" i="1"/>
  <c r="AN191" i="1"/>
  <c r="AN190" i="1"/>
  <c r="AN189" i="1"/>
  <c r="AN188" i="1"/>
  <c r="AN187" i="1"/>
  <c r="AN186" i="1"/>
  <c r="AN185" i="1"/>
  <c r="AN184" i="1"/>
  <c r="AN183" i="1"/>
  <c r="AN182" i="1"/>
  <c r="AN181" i="1"/>
  <c r="AN180" i="1"/>
  <c r="AN179" i="1"/>
  <c r="AN178" i="1"/>
  <c r="AN177" i="1"/>
  <c r="AN176" i="1"/>
  <c r="AN175" i="1"/>
  <c r="AN174" i="1"/>
  <c r="AN173" i="1"/>
  <c r="AN172" i="1"/>
  <c r="AN171" i="1"/>
  <c r="AN170" i="1"/>
  <c r="AN169" i="1"/>
  <c r="AN168" i="1"/>
  <c r="AN167" i="1"/>
  <c r="AN166" i="1"/>
  <c r="AN165" i="1"/>
  <c r="AN164" i="1"/>
  <c r="AN163" i="1"/>
  <c r="AN162" i="1"/>
  <c r="AN161" i="1"/>
  <c r="AN160" i="1"/>
  <c r="AN159" i="1"/>
  <c r="AN158" i="1"/>
  <c r="AN157" i="1"/>
  <c r="AN156" i="1"/>
  <c r="AN155" i="1"/>
  <c r="AN154" i="1"/>
  <c r="AN153" i="1"/>
  <c r="AN152" i="1"/>
  <c r="AN151" i="1"/>
  <c r="AN150" i="1"/>
  <c r="AN149" i="1"/>
  <c r="AN148" i="1"/>
  <c r="AN147" i="1"/>
  <c r="AN146" i="1"/>
  <c r="AN145" i="1"/>
  <c r="AN144" i="1"/>
  <c r="AN143" i="1"/>
  <c r="AN142" i="1"/>
  <c r="AN141" i="1"/>
  <c r="AN140" i="1"/>
  <c r="AN139" i="1"/>
  <c r="AN138" i="1"/>
  <c r="AN137" i="1"/>
  <c r="AN136" i="1"/>
  <c r="AN135" i="1"/>
  <c r="AN134" i="1"/>
  <c r="AN133" i="1"/>
  <c r="AN132" i="1"/>
  <c r="AN131" i="1"/>
  <c r="AN130" i="1"/>
  <c r="AN129" i="1"/>
  <c r="AN128" i="1"/>
  <c r="AN127" i="1"/>
  <c r="AN126" i="1"/>
  <c r="AN125" i="1"/>
  <c r="AN124" i="1"/>
  <c r="AN123" i="1"/>
  <c r="AN122" i="1"/>
  <c r="AN121" i="1"/>
  <c r="AN120" i="1"/>
  <c r="AN119" i="1"/>
  <c r="AN118" i="1"/>
  <c r="AN117" i="1"/>
  <c r="AN116" i="1"/>
  <c r="AN115" i="1"/>
  <c r="AN114" i="1"/>
  <c r="AN113" i="1"/>
  <c r="AN112" i="1"/>
  <c r="AN111" i="1"/>
  <c r="AN110" i="1"/>
  <c r="AN109" i="1"/>
  <c r="AN108" i="1"/>
  <c r="AN107" i="1"/>
  <c r="AN106" i="1"/>
  <c r="AN105" i="1"/>
  <c r="AN104" i="1"/>
  <c r="AN103" i="1"/>
  <c r="AN102" i="1"/>
  <c r="AN101" i="1"/>
  <c r="AN100" i="1"/>
  <c r="AN99" i="1"/>
  <c r="AN98" i="1"/>
  <c r="AN97" i="1"/>
  <c r="AN96" i="1"/>
  <c r="AN95" i="1"/>
  <c r="AN94" i="1"/>
  <c r="AN93" i="1"/>
  <c r="AN92" i="1"/>
  <c r="AN91" i="1"/>
  <c r="AN90" i="1"/>
  <c r="AN89" i="1"/>
  <c r="AN88" i="1"/>
  <c r="AN87" i="1"/>
  <c r="AN86" i="1"/>
  <c r="AN85" i="1"/>
  <c r="AN84" i="1"/>
  <c r="AN83" i="1"/>
  <c r="AN82" i="1"/>
  <c r="AN81" i="1"/>
  <c r="AN80" i="1"/>
  <c r="AN79" i="1"/>
  <c r="AN78" i="1"/>
  <c r="AN77" i="1"/>
  <c r="AN76" i="1"/>
  <c r="AN75" i="1"/>
  <c r="AN74" i="1"/>
  <c r="AN73" i="1"/>
  <c r="AN72" i="1"/>
  <c r="AN71" i="1"/>
  <c r="AN70" i="1"/>
  <c r="AN69" i="1"/>
  <c r="AN68" i="1"/>
  <c r="AN67" i="1"/>
  <c r="AN66" i="1"/>
  <c r="AN65" i="1"/>
  <c r="AN64" i="1"/>
  <c r="AN63" i="1"/>
  <c r="AN62" i="1"/>
  <c r="AN61" i="1"/>
  <c r="AN60" i="1"/>
  <c r="AN59" i="1"/>
  <c r="AN58" i="1"/>
  <c r="AN57" i="1"/>
  <c r="AN56" i="1"/>
  <c r="AN55" i="1"/>
  <c r="AN54" i="1"/>
  <c r="AN53" i="1"/>
  <c r="AN52" i="1"/>
  <c r="AN51" i="1"/>
  <c r="AN50" i="1"/>
  <c r="AN49" i="1"/>
  <c r="AN48" i="1"/>
  <c r="AN47" i="1"/>
  <c r="AN46" i="1"/>
  <c r="AN45" i="1"/>
  <c r="AN44" i="1"/>
  <c r="AN43" i="1"/>
  <c r="AN42" i="1"/>
  <c r="AN41" i="1"/>
  <c r="AN40" i="1"/>
  <c r="AN39" i="1"/>
  <c r="AN38" i="1"/>
  <c r="AN37" i="1"/>
  <c r="AN36" i="1"/>
  <c r="AN35" i="1"/>
  <c r="AN34" i="1"/>
  <c r="AN33" i="1"/>
  <c r="AN32" i="1"/>
  <c r="AN31" i="1"/>
  <c r="AN30" i="1"/>
  <c r="AN29" i="1"/>
  <c r="AN28" i="1"/>
  <c r="AN27" i="1"/>
  <c r="AN26" i="1"/>
  <c r="AN25" i="1"/>
  <c r="AN24" i="1"/>
  <c r="AN23" i="1"/>
  <c r="AN22" i="1"/>
  <c r="AN21" i="1"/>
  <c r="AN20" i="1"/>
  <c r="AN19" i="1"/>
  <c r="AN18" i="1"/>
  <c r="AN17" i="1"/>
  <c r="AN16" i="1"/>
  <c r="AN15" i="1"/>
  <c r="AN14" i="1"/>
  <c r="AN13" i="1"/>
  <c r="AN12" i="1"/>
  <c r="AN11" i="1"/>
  <c r="AN10" i="1"/>
  <c r="AN9" i="1"/>
  <c r="AN8" i="1"/>
  <c r="AN7" i="1"/>
  <c r="AN6" i="1"/>
  <c r="AN5" i="1"/>
  <c r="AN4" i="1"/>
  <c r="AN3" i="1"/>
  <c r="AM407" i="1"/>
  <c r="AM406" i="1"/>
  <c r="AM405" i="1"/>
  <c r="AM404" i="1"/>
  <c r="AM403" i="1"/>
  <c r="AM402" i="1"/>
  <c r="AM401" i="1"/>
  <c r="AM400" i="1"/>
  <c r="AM399" i="1"/>
  <c r="AM398" i="1"/>
  <c r="AM397" i="1"/>
  <c r="AM396" i="1"/>
  <c r="AM395" i="1"/>
  <c r="AM394" i="1"/>
  <c r="AM393" i="1"/>
  <c r="AM392" i="1"/>
  <c r="AM391" i="1"/>
  <c r="AM390" i="1"/>
  <c r="AM389" i="1"/>
  <c r="AM388" i="1"/>
  <c r="AM387" i="1"/>
  <c r="AM386" i="1"/>
  <c r="AM385" i="1"/>
  <c r="AM384" i="1"/>
  <c r="AM383" i="1"/>
  <c r="AM382" i="1"/>
  <c r="AM381" i="1"/>
  <c r="AM380" i="1"/>
  <c r="AM379" i="1"/>
  <c r="AM378" i="1"/>
  <c r="AM377" i="1"/>
  <c r="AM376" i="1"/>
  <c r="AM375" i="1"/>
  <c r="AM374" i="1"/>
  <c r="AM373" i="1"/>
  <c r="AM372" i="1"/>
  <c r="AM371" i="1"/>
  <c r="AM370" i="1"/>
  <c r="AM369" i="1"/>
  <c r="AM368" i="1"/>
  <c r="AM367" i="1"/>
  <c r="AM366" i="1"/>
  <c r="AM365" i="1"/>
  <c r="AM364" i="1"/>
  <c r="AM363" i="1"/>
  <c r="AM362" i="1"/>
  <c r="AM361" i="1"/>
  <c r="AM360" i="1"/>
  <c r="AM359" i="1"/>
  <c r="AM358" i="1"/>
  <c r="AM357" i="1"/>
  <c r="AM356" i="1"/>
  <c r="AM355" i="1"/>
  <c r="AM354" i="1"/>
  <c r="AM353" i="1"/>
  <c r="AM352" i="1"/>
  <c r="AM351" i="1"/>
  <c r="AM350" i="1"/>
  <c r="AM349" i="1"/>
  <c r="AM348" i="1"/>
  <c r="AM347" i="1"/>
  <c r="AM346" i="1"/>
  <c r="AM345" i="1"/>
  <c r="AM344" i="1"/>
  <c r="AM343" i="1"/>
  <c r="AM342" i="1"/>
  <c r="AM341" i="1"/>
  <c r="AM340" i="1"/>
  <c r="AM339" i="1"/>
  <c r="AM338" i="1"/>
  <c r="AM337" i="1"/>
  <c r="AM336" i="1"/>
  <c r="AM335" i="1"/>
  <c r="AM334" i="1"/>
  <c r="AM333" i="1"/>
  <c r="AM332" i="1"/>
  <c r="AM331" i="1"/>
  <c r="AM330" i="1"/>
  <c r="AM329" i="1"/>
  <c r="AM328" i="1"/>
  <c r="AM327" i="1"/>
  <c r="AM326" i="1"/>
  <c r="AM325" i="1"/>
  <c r="AM324" i="1"/>
  <c r="AM323" i="1"/>
  <c r="AM322" i="1"/>
  <c r="AM321" i="1"/>
  <c r="AM320" i="1"/>
  <c r="AM319" i="1"/>
  <c r="AM318" i="1"/>
  <c r="AM317" i="1"/>
  <c r="AM316" i="1"/>
  <c r="AM315" i="1"/>
  <c r="AM314" i="1"/>
  <c r="AM313" i="1"/>
  <c r="AM312" i="1"/>
  <c r="AM311" i="1"/>
  <c r="AM310" i="1"/>
  <c r="AM309" i="1"/>
  <c r="AM308" i="1"/>
  <c r="AM307" i="1"/>
  <c r="AM306" i="1"/>
  <c r="AM305" i="1"/>
  <c r="AM304" i="1"/>
  <c r="AM303" i="1"/>
  <c r="AM302" i="1"/>
  <c r="AM301" i="1"/>
  <c r="AM300" i="1"/>
  <c r="AM299" i="1"/>
  <c r="AM298" i="1"/>
  <c r="AM297" i="1"/>
  <c r="AM296" i="1"/>
  <c r="AM295" i="1"/>
  <c r="AM294" i="1"/>
  <c r="AM293" i="1"/>
  <c r="AM292" i="1"/>
  <c r="AM291" i="1"/>
  <c r="AM290" i="1"/>
  <c r="AM289" i="1"/>
  <c r="AM288" i="1"/>
  <c r="AM287" i="1"/>
  <c r="AM286" i="1"/>
  <c r="AM285" i="1"/>
  <c r="AM284" i="1"/>
  <c r="AM283" i="1"/>
  <c r="AM282" i="1"/>
  <c r="AM281" i="1"/>
  <c r="AM280" i="1"/>
  <c r="AM279" i="1"/>
  <c r="AM278" i="1"/>
  <c r="AM277" i="1"/>
  <c r="AM276" i="1"/>
  <c r="AM275" i="1"/>
  <c r="AM274" i="1"/>
  <c r="AM273" i="1"/>
  <c r="AM272" i="1"/>
  <c r="AM271" i="1"/>
  <c r="AM270" i="1"/>
  <c r="AM269" i="1"/>
  <c r="AM268" i="1"/>
  <c r="AM267" i="1"/>
  <c r="AM266" i="1"/>
  <c r="AM265" i="1"/>
  <c r="AM264" i="1"/>
  <c r="AM263" i="1"/>
  <c r="AM262" i="1"/>
  <c r="AM261" i="1"/>
  <c r="AM260" i="1"/>
  <c r="AM259" i="1"/>
  <c r="AM258" i="1"/>
  <c r="AM257" i="1"/>
  <c r="AM256" i="1"/>
  <c r="AM255" i="1"/>
  <c r="AM254" i="1"/>
  <c r="AM253" i="1"/>
  <c r="AM252" i="1"/>
  <c r="AM251" i="1"/>
  <c r="AM250" i="1"/>
  <c r="AM249" i="1"/>
  <c r="AM248" i="1"/>
  <c r="AM247" i="1"/>
  <c r="AM246" i="1"/>
  <c r="AM245" i="1"/>
  <c r="AM244" i="1"/>
  <c r="AM243" i="1"/>
  <c r="AM242" i="1"/>
  <c r="AM241" i="1"/>
  <c r="AM240" i="1"/>
  <c r="AM239" i="1"/>
  <c r="AM238" i="1"/>
  <c r="AM237" i="1"/>
  <c r="AM236" i="1"/>
  <c r="AM235" i="1"/>
  <c r="AM234" i="1"/>
  <c r="AM233" i="1"/>
  <c r="AM232" i="1"/>
  <c r="AM231" i="1"/>
  <c r="AM230" i="1"/>
  <c r="AM229" i="1"/>
  <c r="AM228" i="1"/>
  <c r="AM227" i="1"/>
  <c r="AM226" i="1"/>
  <c r="AM225" i="1"/>
  <c r="AM224" i="1"/>
  <c r="AM223" i="1"/>
  <c r="AM222" i="1"/>
  <c r="AM221" i="1"/>
  <c r="AM220" i="1"/>
  <c r="AM219" i="1"/>
  <c r="AM218" i="1"/>
  <c r="AM217" i="1"/>
  <c r="AM216" i="1"/>
  <c r="AM215" i="1"/>
  <c r="AM214" i="1"/>
  <c r="AM213" i="1"/>
  <c r="AM212" i="1"/>
  <c r="AM211" i="1"/>
  <c r="AM210" i="1"/>
  <c r="AM209" i="1"/>
  <c r="AM208" i="1"/>
  <c r="AM207" i="1"/>
  <c r="AM206" i="1"/>
  <c r="AM205" i="1"/>
  <c r="AM204" i="1"/>
  <c r="AM203" i="1"/>
  <c r="AM202" i="1"/>
  <c r="AM201" i="1"/>
  <c r="AM200" i="1"/>
  <c r="AM199" i="1"/>
  <c r="AM198" i="1"/>
  <c r="AM197" i="1"/>
  <c r="AM196" i="1"/>
  <c r="AM195" i="1"/>
  <c r="AM194" i="1"/>
  <c r="AM193" i="1"/>
  <c r="AM192" i="1"/>
  <c r="AM191" i="1"/>
  <c r="AM190" i="1"/>
  <c r="AM189" i="1"/>
  <c r="AM188" i="1"/>
  <c r="AM187" i="1"/>
  <c r="AM186" i="1"/>
  <c r="AM185" i="1"/>
  <c r="AM184" i="1"/>
  <c r="AM183" i="1"/>
  <c r="AM182" i="1"/>
  <c r="AM181" i="1"/>
  <c r="AM180" i="1"/>
  <c r="AM179" i="1"/>
  <c r="AM178" i="1"/>
  <c r="AM177" i="1"/>
  <c r="AM176" i="1"/>
  <c r="AM175" i="1"/>
  <c r="AM174" i="1"/>
  <c r="AM173" i="1"/>
  <c r="AM172" i="1"/>
  <c r="AM171" i="1"/>
  <c r="AM170" i="1"/>
  <c r="AM169" i="1"/>
  <c r="AM168" i="1"/>
  <c r="AM167" i="1"/>
  <c r="AM166" i="1"/>
  <c r="AM165" i="1"/>
  <c r="AM164" i="1"/>
  <c r="AM163" i="1"/>
  <c r="AM162" i="1"/>
  <c r="AM161" i="1"/>
  <c r="AM160" i="1"/>
  <c r="AM159" i="1"/>
  <c r="AM158" i="1"/>
  <c r="AM157" i="1"/>
  <c r="AM156" i="1"/>
  <c r="AM155" i="1"/>
  <c r="AM154" i="1"/>
  <c r="AM153" i="1"/>
  <c r="AM152" i="1"/>
  <c r="AM151" i="1"/>
  <c r="AM150" i="1"/>
  <c r="AM149" i="1"/>
  <c r="AM148" i="1"/>
  <c r="AM147" i="1"/>
  <c r="AM146" i="1"/>
  <c r="AM145" i="1"/>
  <c r="AM144" i="1"/>
  <c r="AM143" i="1"/>
  <c r="AM142" i="1"/>
  <c r="AM141" i="1"/>
  <c r="AM140" i="1"/>
  <c r="AM139" i="1"/>
  <c r="AM138" i="1"/>
  <c r="AM137" i="1"/>
  <c r="AM136" i="1"/>
  <c r="AM135" i="1"/>
  <c r="AM134" i="1"/>
  <c r="AM133" i="1"/>
  <c r="AM132" i="1"/>
  <c r="AM131" i="1"/>
  <c r="AM130" i="1"/>
  <c r="AM129" i="1"/>
  <c r="AM128" i="1"/>
  <c r="AM127" i="1"/>
  <c r="AM126" i="1"/>
  <c r="AM125" i="1"/>
  <c r="AM124" i="1"/>
  <c r="AM123" i="1"/>
  <c r="AM122" i="1"/>
  <c r="AM121" i="1"/>
  <c r="AM120" i="1"/>
  <c r="AM119" i="1"/>
  <c r="AM118" i="1"/>
  <c r="AM117" i="1"/>
  <c r="AM116" i="1"/>
  <c r="AM115" i="1"/>
  <c r="AM114" i="1"/>
  <c r="AM113" i="1"/>
  <c r="AM112" i="1"/>
  <c r="AM111" i="1"/>
  <c r="AM110" i="1"/>
  <c r="AM109" i="1"/>
  <c r="AM108" i="1"/>
  <c r="AM107" i="1"/>
  <c r="AM106" i="1"/>
  <c r="AM105" i="1"/>
  <c r="AM104" i="1"/>
  <c r="AM103" i="1"/>
  <c r="AM102" i="1"/>
  <c r="AM101" i="1"/>
  <c r="AM100" i="1"/>
  <c r="AM99" i="1"/>
  <c r="AM98" i="1"/>
  <c r="AM97" i="1"/>
  <c r="AM96" i="1"/>
  <c r="AM95" i="1"/>
  <c r="AM94" i="1"/>
  <c r="AM93" i="1"/>
  <c r="AM92" i="1"/>
  <c r="AM91" i="1"/>
  <c r="AM90" i="1"/>
  <c r="AM89" i="1"/>
  <c r="AM88" i="1"/>
  <c r="AM87" i="1"/>
  <c r="AM86" i="1"/>
  <c r="AM85" i="1"/>
  <c r="AM84" i="1"/>
  <c r="AM83" i="1"/>
  <c r="AM82" i="1"/>
  <c r="AM81" i="1"/>
  <c r="AM80" i="1"/>
  <c r="AM79" i="1"/>
  <c r="AM78" i="1"/>
  <c r="AM77" i="1"/>
  <c r="AM76" i="1"/>
  <c r="AM75" i="1"/>
  <c r="AM74" i="1"/>
  <c r="AM73" i="1"/>
  <c r="AM72" i="1"/>
  <c r="AM71" i="1"/>
  <c r="AM70" i="1"/>
  <c r="AM69" i="1"/>
  <c r="AM68" i="1"/>
  <c r="AM67" i="1"/>
  <c r="AM66" i="1"/>
  <c r="AM65" i="1"/>
  <c r="AM64" i="1"/>
  <c r="AM63" i="1"/>
  <c r="AM62" i="1"/>
  <c r="AM61" i="1"/>
  <c r="AM60" i="1"/>
  <c r="AM59" i="1"/>
  <c r="AM58" i="1"/>
  <c r="AM57" i="1"/>
  <c r="AM56" i="1"/>
  <c r="AM55" i="1"/>
  <c r="AM54" i="1"/>
  <c r="AM53" i="1"/>
  <c r="AM52" i="1"/>
  <c r="AM51" i="1"/>
  <c r="AM50" i="1"/>
  <c r="AM49" i="1"/>
  <c r="AM48" i="1"/>
  <c r="AM47" i="1"/>
  <c r="AM46" i="1"/>
  <c r="AM45" i="1"/>
  <c r="AM44" i="1"/>
  <c r="AM43" i="1"/>
  <c r="AM42" i="1"/>
  <c r="AM41" i="1"/>
  <c r="AM40" i="1"/>
  <c r="AM39" i="1"/>
  <c r="AM38" i="1"/>
  <c r="AM37" i="1"/>
  <c r="AM36" i="1"/>
  <c r="AM35" i="1"/>
  <c r="AM34" i="1"/>
  <c r="AM33" i="1"/>
  <c r="AM32" i="1"/>
  <c r="AM31" i="1"/>
  <c r="AM30" i="1"/>
  <c r="AM29" i="1"/>
  <c r="AM28" i="1"/>
  <c r="AM27" i="1"/>
  <c r="AM26" i="1"/>
  <c r="AM25" i="1"/>
  <c r="AM24" i="1"/>
  <c r="AM23" i="1"/>
  <c r="AM22" i="1"/>
  <c r="AM21" i="1"/>
  <c r="AM20" i="1"/>
  <c r="AM19" i="1"/>
  <c r="AM18" i="1"/>
  <c r="AM17" i="1"/>
  <c r="AM16" i="1"/>
  <c r="AM15" i="1"/>
  <c r="AM14" i="1"/>
  <c r="AM13" i="1"/>
  <c r="AM12" i="1"/>
  <c r="AM11" i="1"/>
  <c r="AM10" i="1"/>
  <c r="AM9" i="1"/>
  <c r="AM8" i="1"/>
  <c r="AM7" i="1"/>
  <c r="AM6" i="1"/>
  <c r="AM5" i="1"/>
  <c r="AM4" i="1"/>
  <c r="AM3" i="1"/>
  <c r="I4" i="1"/>
  <c r="J4" i="1" s="1"/>
  <c r="I3" i="1"/>
  <c r="J3" i="1" s="1"/>
  <c r="L418" i="1"/>
  <c r="K4" i="1"/>
  <c r="K3" i="1"/>
  <c r="Q418" i="1"/>
  <c r="V418" i="1"/>
  <c r="AA418" i="1"/>
  <c r="P4" i="1"/>
  <c r="P3" i="1"/>
  <c r="AF418" i="1"/>
  <c r="Z4" i="1"/>
  <c r="Z3" i="1"/>
  <c r="U4" i="1"/>
  <c r="U3" i="1"/>
  <c r="K414" i="2"/>
  <c r="R407" i="2"/>
  <c r="Q407" i="2"/>
  <c r="O407" i="2"/>
  <c r="N407" i="2"/>
  <c r="L407" i="2"/>
  <c r="K407" i="2"/>
  <c r="I407" i="2"/>
  <c r="H407" i="2"/>
  <c r="G407" i="2"/>
  <c r="E407" i="2"/>
  <c r="D407" i="2"/>
  <c r="R406" i="2"/>
  <c r="Q406" i="2"/>
  <c r="O406" i="2"/>
  <c r="N406" i="2"/>
  <c r="L406" i="2"/>
  <c r="K406" i="2"/>
  <c r="I406" i="2"/>
  <c r="H406" i="2"/>
  <c r="G406" i="2"/>
  <c r="E406" i="2"/>
  <c r="D406" i="2"/>
  <c r="R405" i="2"/>
  <c r="Q405" i="2"/>
  <c r="O405" i="2"/>
  <c r="N405" i="2"/>
  <c r="L405" i="2"/>
  <c r="K405" i="2"/>
  <c r="I405" i="2"/>
  <c r="H405" i="2"/>
  <c r="G405" i="2"/>
  <c r="E405" i="2"/>
  <c r="D405" i="2"/>
  <c r="R404" i="2"/>
  <c r="Q404" i="2"/>
  <c r="O404" i="2"/>
  <c r="N404" i="2"/>
  <c r="L404" i="2"/>
  <c r="K404" i="2"/>
  <c r="I404" i="2"/>
  <c r="H404" i="2"/>
  <c r="G404" i="2"/>
  <c r="E404" i="2"/>
  <c r="D404" i="2"/>
  <c r="R403" i="2"/>
  <c r="Q403" i="2"/>
  <c r="O403" i="2"/>
  <c r="N403" i="2"/>
  <c r="L403" i="2"/>
  <c r="K403" i="2"/>
  <c r="I403" i="2"/>
  <c r="H403" i="2"/>
  <c r="G403" i="2"/>
  <c r="E403" i="2"/>
  <c r="D403" i="2"/>
  <c r="R402" i="2"/>
  <c r="Q402" i="2"/>
  <c r="O402" i="2"/>
  <c r="N402" i="2"/>
  <c r="L402" i="2"/>
  <c r="K402" i="2"/>
  <c r="I402" i="2"/>
  <c r="H402" i="2"/>
  <c r="G402" i="2"/>
  <c r="E402" i="2"/>
  <c r="D402" i="2"/>
  <c r="R401" i="2"/>
  <c r="Q401" i="2"/>
  <c r="O401" i="2"/>
  <c r="N401" i="2"/>
  <c r="L401" i="2"/>
  <c r="K401" i="2"/>
  <c r="I401" i="2"/>
  <c r="H401" i="2"/>
  <c r="G401" i="2"/>
  <c r="E401" i="2"/>
  <c r="D401" i="2"/>
  <c r="R400" i="2"/>
  <c r="Q400" i="2"/>
  <c r="O400" i="2"/>
  <c r="N400" i="2"/>
  <c r="L400" i="2"/>
  <c r="K400" i="2"/>
  <c r="I400" i="2"/>
  <c r="H400" i="2"/>
  <c r="G400" i="2"/>
  <c r="E400" i="2"/>
  <c r="D400" i="2"/>
  <c r="R399" i="2"/>
  <c r="Q399" i="2"/>
  <c r="O399" i="2"/>
  <c r="N399" i="2"/>
  <c r="L399" i="2"/>
  <c r="K399" i="2"/>
  <c r="I399" i="2"/>
  <c r="H399" i="2"/>
  <c r="G399" i="2"/>
  <c r="E399" i="2"/>
  <c r="D399" i="2"/>
  <c r="R398" i="2"/>
  <c r="Q398" i="2"/>
  <c r="O398" i="2"/>
  <c r="N398" i="2"/>
  <c r="L398" i="2"/>
  <c r="K398" i="2"/>
  <c r="I398" i="2"/>
  <c r="H398" i="2"/>
  <c r="G398" i="2"/>
  <c r="E398" i="2"/>
  <c r="D398" i="2"/>
  <c r="R397" i="2"/>
  <c r="Q397" i="2"/>
  <c r="O397" i="2"/>
  <c r="N397" i="2"/>
  <c r="L397" i="2"/>
  <c r="K397" i="2"/>
  <c r="I397" i="2"/>
  <c r="H397" i="2"/>
  <c r="G397" i="2"/>
  <c r="E397" i="2"/>
  <c r="D397" i="2"/>
  <c r="R396" i="2"/>
  <c r="Q396" i="2"/>
  <c r="O396" i="2"/>
  <c r="N396" i="2"/>
  <c r="L396" i="2"/>
  <c r="K396" i="2"/>
  <c r="I396" i="2"/>
  <c r="H396" i="2"/>
  <c r="G396" i="2"/>
  <c r="E396" i="2"/>
  <c r="D396" i="2"/>
  <c r="R395" i="2"/>
  <c r="Q395" i="2"/>
  <c r="O395" i="2"/>
  <c r="N395" i="2"/>
  <c r="L395" i="2"/>
  <c r="K395" i="2"/>
  <c r="I395" i="2"/>
  <c r="H395" i="2"/>
  <c r="G395" i="2"/>
  <c r="E395" i="2"/>
  <c r="D395" i="2"/>
  <c r="R394" i="2"/>
  <c r="Q394" i="2"/>
  <c r="O394" i="2"/>
  <c r="N394" i="2"/>
  <c r="L394" i="2"/>
  <c r="K394" i="2"/>
  <c r="I394" i="2"/>
  <c r="H394" i="2"/>
  <c r="G394" i="2"/>
  <c r="E394" i="2"/>
  <c r="D394" i="2"/>
  <c r="R393" i="2"/>
  <c r="Q393" i="2"/>
  <c r="O393" i="2"/>
  <c r="N393" i="2"/>
  <c r="L393" i="2"/>
  <c r="K393" i="2"/>
  <c r="I393" i="2"/>
  <c r="H393" i="2"/>
  <c r="G393" i="2"/>
  <c r="E393" i="2"/>
  <c r="D393" i="2"/>
  <c r="R392" i="2"/>
  <c r="Q392" i="2"/>
  <c r="O392" i="2"/>
  <c r="N392" i="2"/>
  <c r="L392" i="2"/>
  <c r="K392" i="2"/>
  <c r="I392" i="2"/>
  <c r="H392" i="2"/>
  <c r="G392" i="2"/>
  <c r="E392" i="2"/>
  <c r="D392" i="2"/>
  <c r="R391" i="2"/>
  <c r="Q391" i="2"/>
  <c r="O391" i="2"/>
  <c r="N391" i="2"/>
  <c r="L391" i="2"/>
  <c r="K391" i="2"/>
  <c r="I391" i="2"/>
  <c r="H391" i="2"/>
  <c r="G391" i="2"/>
  <c r="E391" i="2"/>
  <c r="D391" i="2"/>
  <c r="R390" i="2"/>
  <c r="Q390" i="2"/>
  <c r="O390" i="2"/>
  <c r="N390" i="2"/>
  <c r="L390" i="2"/>
  <c r="K390" i="2"/>
  <c r="I390" i="2"/>
  <c r="H390" i="2"/>
  <c r="G390" i="2"/>
  <c r="E390" i="2"/>
  <c r="D390" i="2"/>
  <c r="R389" i="2"/>
  <c r="Q389" i="2"/>
  <c r="O389" i="2"/>
  <c r="N389" i="2"/>
  <c r="L389" i="2"/>
  <c r="K389" i="2"/>
  <c r="I389" i="2"/>
  <c r="H389" i="2"/>
  <c r="G389" i="2"/>
  <c r="E389" i="2"/>
  <c r="D389" i="2"/>
  <c r="R388" i="2"/>
  <c r="Q388" i="2"/>
  <c r="O388" i="2"/>
  <c r="N388" i="2"/>
  <c r="L388" i="2"/>
  <c r="K388" i="2"/>
  <c r="I388" i="2"/>
  <c r="H388" i="2"/>
  <c r="G388" i="2"/>
  <c r="E388" i="2"/>
  <c r="D388" i="2"/>
  <c r="R387" i="2"/>
  <c r="Q387" i="2"/>
  <c r="O387" i="2"/>
  <c r="N387" i="2"/>
  <c r="L387" i="2"/>
  <c r="K387" i="2"/>
  <c r="I387" i="2"/>
  <c r="H387" i="2"/>
  <c r="G387" i="2"/>
  <c r="E387" i="2"/>
  <c r="D387" i="2"/>
  <c r="R386" i="2"/>
  <c r="Q386" i="2"/>
  <c r="O386" i="2"/>
  <c r="N386" i="2"/>
  <c r="L386" i="2"/>
  <c r="K386" i="2"/>
  <c r="I386" i="2"/>
  <c r="H386" i="2"/>
  <c r="G386" i="2"/>
  <c r="E386" i="2"/>
  <c r="D386" i="2"/>
  <c r="R385" i="2"/>
  <c r="Q385" i="2"/>
  <c r="O385" i="2"/>
  <c r="N385" i="2"/>
  <c r="L385" i="2"/>
  <c r="K385" i="2"/>
  <c r="I385" i="2"/>
  <c r="H385" i="2"/>
  <c r="G385" i="2"/>
  <c r="E385" i="2"/>
  <c r="D385" i="2"/>
  <c r="R384" i="2"/>
  <c r="Q384" i="2"/>
  <c r="O384" i="2"/>
  <c r="N384" i="2"/>
  <c r="L384" i="2"/>
  <c r="K384" i="2"/>
  <c r="I384" i="2"/>
  <c r="H384" i="2"/>
  <c r="G384" i="2"/>
  <c r="E384" i="2"/>
  <c r="D384" i="2"/>
  <c r="R383" i="2"/>
  <c r="Q383" i="2"/>
  <c r="O383" i="2"/>
  <c r="N383" i="2"/>
  <c r="L383" i="2"/>
  <c r="K383" i="2"/>
  <c r="I383" i="2"/>
  <c r="H383" i="2"/>
  <c r="G383" i="2"/>
  <c r="E383" i="2"/>
  <c r="D383" i="2"/>
  <c r="R382" i="2"/>
  <c r="Q382" i="2"/>
  <c r="O382" i="2"/>
  <c r="N382" i="2"/>
  <c r="L382" i="2"/>
  <c r="K382" i="2"/>
  <c r="I382" i="2"/>
  <c r="H382" i="2"/>
  <c r="G382" i="2"/>
  <c r="E382" i="2"/>
  <c r="D382" i="2"/>
  <c r="R381" i="2"/>
  <c r="Q381" i="2"/>
  <c r="O381" i="2"/>
  <c r="N381" i="2"/>
  <c r="L381" i="2"/>
  <c r="K381" i="2"/>
  <c r="I381" i="2"/>
  <c r="H381" i="2"/>
  <c r="G381" i="2"/>
  <c r="E381" i="2"/>
  <c r="D381" i="2"/>
  <c r="R380" i="2"/>
  <c r="Q380" i="2"/>
  <c r="O380" i="2"/>
  <c r="N380" i="2"/>
  <c r="L380" i="2"/>
  <c r="K380" i="2"/>
  <c r="I380" i="2"/>
  <c r="H380" i="2"/>
  <c r="G380" i="2"/>
  <c r="E380" i="2"/>
  <c r="D380" i="2"/>
  <c r="R379" i="2"/>
  <c r="Q379" i="2"/>
  <c r="O379" i="2"/>
  <c r="N379" i="2"/>
  <c r="L379" i="2"/>
  <c r="K379" i="2"/>
  <c r="I379" i="2"/>
  <c r="H379" i="2"/>
  <c r="G379" i="2"/>
  <c r="E379" i="2"/>
  <c r="D379" i="2"/>
  <c r="R378" i="2"/>
  <c r="Q378" i="2"/>
  <c r="O378" i="2"/>
  <c r="N378" i="2"/>
  <c r="L378" i="2"/>
  <c r="K378" i="2"/>
  <c r="I378" i="2"/>
  <c r="H378" i="2"/>
  <c r="G378" i="2"/>
  <c r="E378" i="2"/>
  <c r="D378" i="2"/>
  <c r="R377" i="2"/>
  <c r="Q377" i="2"/>
  <c r="O377" i="2"/>
  <c r="N377" i="2"/>
  <c r="L377" i="2"/>
  <c r="K377" i="2"/>
  <c r="I377" i="2"/>
  <c r="H377" i="2"/>
  <c r="G377" i="2"/>
  <c r="E377" i="2"/>
  <c r="D377" i="2"/>
  <c r="R376" i="2"/>
  <c r="Q376" i="2"/>
  <c r="O376" i="2"/>
  <c r="N376" i="2"/>
  <c r="L376" i="2"/>
  <c r="K376" i="2"/>
  <c r="I376" i="2"/>
  <c r="H376" i="2"/>
  <c r="G376" i="2"/>
  <c r="E376" i="2"/>
  <c r="D376" i="2"/>
  <c r="R375" i="2"/>
  <c r="Q375" i="2"/>
  <c r="O375" i="2"/>
  <c r="N375" i="2"/>
  <c r="L375" i="2"/>
  <c r="K375" i="2"/>
  <c r="I375" i="2"/>
  <c r="H375" i="2"/>
  <c r="G375" i="2"/>
  <c r="E375" i="2"/>
  <c r="D375" i="2"/>
  <c r="R374" i="2"/>
  <c r="Q374" i="2"/>
  <c r="O374" i="2"/>
  <c r="N374" i="2"/>
  <c r="L374" i="2"/>
  <c r="K374" i="2"/>
  <c r="I374" i="2"/>
  <c r="H374" i="2"/>
  <c r="G374" i="2"/>
  <c r="E374" i="2"/>
  <c r="D374" i="2"/>
  <c r="R373" i="2"/>
  <c r="Q373" i="2"/>
  <c r="O373" i="2"/>
  <c r="N373" i="2"/>
  <c r="L373" i="2"/>
  <c r="K373" i="2"/>
  <c r="I373" i="2"/>
  <c r="H373" i="2"/>
  <c r="G373" i="2"/>
  <c r="E373" i="2"/>
  <c r="D373" i="2"/>
  <c r="R372" i="2"/>
  <c r="Q372" i="2"/>
  <c r="O372" i="2"/>
  <c r="N372" i="2"/>
  <c r="L372" i="2"/>
  <c r="K372" i="2"/>
  <c r="I372" i="2"/>
  <c r="H372" i="2"/>
  <c r="G372" i="2"/>
  <c r="E372" i="2"/>
  <c r="D372" i="2"/>
  <c r="R371" i="2"/>
  <c r="Q371" i="2"/>
  <c r="O371" i="2"/>
  <c r="N371" i="2"/>
  <c r="L371" i="2"/>
  <c r="K371" i="2"/>
  <c r="I371" i="2"/>
  <c r="H371" i="2"/>
  <c r="G371" i="2"/>
  <c r="E371" i="2"/>
  <c r="D371" i="2"/>
  <c r="R370" i="2"/>
  <c r="Q370" i="2"/>
  <c r="O370" i="2"/>
  <c r="N370" i="2"/>
  <c r="L370" i="2"/>
  <c r="K370" i="2"/>
  <c r="I370" i="2"/>
  <c r="H370" i="2"/>
  <c r="G370" i="2"/>
  <c r="E370" i="2"/>
  <c r="D370" i="2"/>
  <c r="R369" i="2"/>
  <c r="Q369" i="2"/>
  <c r="O369" i="2"/>
  <c r="N369" i="2"/>
  <c r="L369" i="2"/>
  <c r="K369" i="2"/>
  <c r="I369" i="2"/>
  <c r="H369" i="2"/>
  <c r="G369" i="2"/>
  <c r="E369" i="2"/>
  <c r="D369" i="2"/>
  <c r="R368" i="2"/>
  <c r="Q368" i="2"/>
  <c r="O368" i="2"/>
  <c r="N368" i="2"/>
  <c r="L368" i="2"/>
  <c r="K368" i="2"/>
  <c r="I368" i="2"/>
  <c r="H368" i="2"/>
  <c r="G368" i="2"/>
  <c r="E368" i="2"/>
  <c r="D368" i="2"/>
  <c r="R367" i="2"/>
  <c r="Q367" i="2"/>
  <c r="O367" i="2"/>
  <c r="N367" i="2"/>
  <c r="L367" i="2"/>
  <c r="K367" i="2"/>
  <c r="I367" i="2"/>
  <c r="H367" i="2"/>
  <c r="G367" i="2"/>
  <c r="E367" i="2"/>
  <c r="D367" i="2"/>
  <c r="R366" i="2"/>
  <c r="Q366" i="2"/>
  <c r="O366" i="2"/>
  <c r="N366" i="2"/>
  <c r="L366" i="2"/>
  <c r="K366" i="2"/>
  <c r="I366" i="2"/>
  <c r="H366" i="2"/>
  <c r="G366" i="2"/>
  <c r="E366" i="2"/>
  <c r="D366" i="2"/>
  <c r="R365" i="2"/>
  <c r="Q365" i="2"/>
  <c r="O365" i="2"/>
  <c r="N365" i="2"/>
  <c r="L365" i="2"/>
  <c r="K365" i="2"/>
  <c r="I365" i="2"/>
  <c r="H365" i="2"/>
  <c r="G365" i="2"/>
  <c r="E365" i="2"/>
  <c r="D365" i="2"/>
  <c r="R364" i="2"/>
  <c r="Q364" i="2"/>
  <c r="O364" i="2"/>
  <c r="N364" i="2"/>
  <c r="L364" i="2"/>
  <c r="K364" i="2"/>
  <c r="I364" i="2"/>
  <c r="H364" i="2"/>
  <c r="G364" i="2"/>
  <c r="E364" i="2"/>
  <c r="D364" i="2"/>
  <c r="R363" i="2"/>
  <c r="Q363" i="2"/>
  <c r="O363" i="2"/>
  <c r="N363" i="2"/>
  <c r="L363" i="2"/>
  <c r="K363" i="2"/>
  <c r="I363" i="2"/>
  <c r="H363" i="2"/>
  <c r="G363" i="2"/>
  <c r="E363" i="2"/>
  <c r="D363" i="2"/>
  <c r="R362" i="2"/>
  <c r="Q362" i="2"/>
  <c r="O362" i="2"/>
  <c r="N362" i="2"/>
  <c r="L362" i="2"/>
  <c r="K362" i="2"/>
  <c r="I362" i="2"/>
  <c r="H362" i="2"/>
  <c r="G362" i="2"/>
  <c r="E362" i="2"/>
  <c r="D362" i="2"/>
  <c r="R361" i="2"/>
  <c r="Q361" i="2"/>
  <c r="O361" i="2"/>
  <c r="N361" i="2"/>
  <c r="L361" i="2"/>
  <c r="K361" i="2"/>
  <c r="I361" i="2"/>
  <c r="H361" i="2"/>
  <c r="G361" i="2"/>
  <c r="E361" i="2"/>
  <c r="D361" i="2"/>
  <c r="R360" i="2"/>
  <c r="Q360" i="2"/>
  <c r="O360" i="2"/>
  <c r="N360" i="2"/>
  <c r="L360" i="2"/>
  <c r="K360" i="2"/>
  <c r="I360" i="2"/>
  <c r="H360" i="2"/>
  <c r="G360" i="2"/>
  <c r="E360" i="2"/>
  <c r="D360" i="2"/>
  <c r="R359" i="2"/>
  <c r="Q359" i="2"/>
  <c r="O359" i="2"/>
  <c r="N359" i="2"/>
  <c r="L359" i="2"/>
  <c r="K359" i="2"/>
  <c r="I359" i="2"/>
  <c r="H359" i="2"/>
  <c r="G359" i="2"/>
  <c r="E359" i="2"/>
  <c r="D359" i="2"/>
  <c r="R358" i="2"/>
  <c r="Q358" i="2"/>
  <c r="O358" i="2"/>
  <c r="N358" i="2"/>
  <c r="L358" i="2"/>
  <c r="K358" i="2"/>
  <c r="I358" i="2"/>
  <c r="H358" i="2"/>
  <c r="G358" i="2"/>
  <c r="E358" i="2"/>
  <c r="D358" i="2"/>
  <c r="R357" i="2"/>
  <c r="Q357" i="2"/>
  <c r="O357" i="2"/>
  <c r="N357" i="2"/>
  <c r="L357" i="2"/>
  <c r="K357" i="2"/>
  <c r="I357" i="2"/>
  <c r="H357" i="2"/>
  <c r="G357" i="2"/>
  <c r="E357" i="2"/>
  <c r="D357" i="2"/>
  <c r="R356" i="2"/>
  <c r="Q356" i="2"/>
  <c r="O356" i="2"/>
  <c r="N356" i="2"/>
  <c r="L356" i="2"/>
  <c r="K356" i="2"/>
  <c r="I356" i="2"/>
  <c r="H356" i="2"/>
  <c r="G356" i="2"/>
  <c r="E356" i="2"/>
  <c r="D356" i="2"/>
  <c r="R355" i="2"/>
  <c r="Q355" i="2"/>
  <c r="O355" i="2"/>
  <c r="N355" i="2"/>
  <c r="L355" i="2"/>
  <c r="K355" i="2"/>
  <c r="I355" i="2"/>
  <c r="H355" i="2"/>
  <c r="G355" i="2"/>
  <c r="E355" i="2"/>
  <c r="D355" i="2"/>
  <c r="R354" i="2"/>
  <c r="Q354" i="2"/>
  <c r="O354" i="2"/>
  <c r="N354" i="2"/>
  <c r="L354" i="2"/>
  <c r="K354" i="2"/>
  <c r="I354" i="2"/>
  <c r="H354" i="2"/>
  <c r="G354" i="2"/>
  <c r="E354" i="2"/>
  <c r="D354" i="2"/>
  <c r="R353" i="2"/>
  <c r="Q353" i="2"/>
  <c r="O353" i="2"/>
  <c r="N353" i="2"/>
  <c r="L353" i="2"/>
  <c r="K353" i="2"/>
  <c r="I353" i="2"/>
  <c r="H353" i="2"/>
  <c r="G353" i="2"/>
  <c r="E353" i="2"/>
  <c r="D353" i="2"/>
  <c r="R352" i="2"/>
  <c r="Q352" i="2"/>
  <c r="O352" i="2"/>
  <c r="N352" i="2"/>
  <c r="L352" i="2"/>
  <c r="K352" i="2"/>
  <c r="I352" i="2"/>
  <c r="H352" i="2"/>
  <c r="G352" i="2"/>
  <c r="E352" i="2"/>
  <c r="D352" i="2"/>
  <c r="R351" i="2"/>
  <c r="Q351" i="2"/>
  <c r="O351" i="2"/>
  <c r="N351" i="2"/>
  <c r="L351" i="2"/>
  <c r="K351" i="2"/>
  <c r="I351" i="2"/>
  <c r="H351" i="2"/>
  <c r="G351" i="2"/>
  <c r="E351" i="2"/>
  <c r="D351" i="2"/>
  <c r="R350" i="2"/>
  <c r="Q350" i="2"/>
  <c r="O350" i="2"/>
  <c r="N350" i="2"/>
  <c r="L350" i="2"/>
  <c r="K350" i="2"/>
  <c r="I350" i="2"/>
  <c r="H350" i="2"/>
  <c r="G350" i="2"/>
  <c r="E350" i="2"/>
  <c r="D350" i="2"/>
  <c r="R349" i="2"/>
  <c r="Q349" i="2"/>
  <c r="O349" i="2"/>
  <c r="N349" i="2"/>
  <c r="L349" i="2"/>
  <c r="K349" i="2"/>
  <c r="I349" i="2"/>
  <c r="H349" i="2"/>
  <c r="G349" i="2"/>
  <c r="E349" i="2"/>
  <c r="D349" i="2"/>
  <c r="R348" i="2"/>
  <c r="Q348" i="2"/>
  <c r="O348" i="2"/>
  <c r="N348" i="2"/>
  <c r="L348" i="2"/>
  <c r="K348" i="2"/>
  <c r="I348" i="2"/>
  <c r="H348" i="2"/>
  <c r="G348" i="2"/>
  <c r="E348" i="2"/>
  <c r="D348" i="2"/>
  <c r="R347" i="2"/>
  <c r="Q347" i="2"/>
  <c r="O347" i="2"/>
  <c r="N347" i="2"/>
  <c r="L347" i="2"/>
  <c r="K347" i="2"/>
  <c r="I347" i="2"/>
  <c r="H347" i="2"/>
  <c r="G347" i="2"/>
  <c r="E347" i="2"/>
  <c r="D347" i="2"/>
  <c r="R346" i="2"/>
  <c r="Q346" i="2"/>
  <c r="O346" i="2"/>
  <c r="N346" i="2"/>
  <c r="L346" i="2"/>
  <c r="K346" i="2"/>
  <c r="I346" i="2"/>
  <c r="H346" i="2"/>
  <c r="G346" i="2"/>
  <c r="E346" i="2"/>
  <c r="D346" i="2"/>
  <c r="R345" i="2"/>
  <c r="Q345" i="2"/>
  <c r="O345" i="2"/>
  <c r="N345" i="2"/>
  <c r="L345" i="2"/>
  <c r="K345" i="2"/>
  <c r="I345" i="2"/>
  <c r="H345" i="2"/>
  <c r="G345" i="2"/>
  <c r="E345" i="2"/>
  <c r="D345" i="2"/>
  <c r="R344" i="2"/>
  <c r="Q344" i="2"/>
  <c r="O344" i="2"/>
  <c r="N344" i="2"/>
  <c r="L344" i="2"/>
  <c r="K344" i="2"/>
  <c r="I344" i="2"/>
  <c r="H344" i="2"/>
  <c r="G344" i="2"/>
  <c r="E344" i="2"/>
  <c r="D344" i="2"/>
  <c r="R343" i="2"/>
  <c r="Q343" i="2"/>
  <c r="O343" i="2"/>
  <c r="N343" i="2"/>
  <c r="L343" i="2"/>
  <c r="K343" i="2"/>
  <c r="I343" i="2"/>
  <c r="H343" i="2"/>
  <c r="G343" i="2"/>
  <c r="E343" i="2"/>
  <c r="D343" i="2"/>
  <c r="R342" i="2"/>
  <c r="Q342" i="2"/>
  <c r="O342" i="2"/>
  <c r="N342" i="2"/>
  <c r="L342" i="2"/>
  <c r="K342" i="2"/>
  <c r="I342" i="2"/>
  <c r="H342" i="2"/>
  <c r="G342" i="2"/>
  <c r="E342" i="2"/>
  <c r="D342" i="2"/>
  <c r="R341" i="2"/>
  <c r="Q341" i="2"/>
  <c r="O341" i="2"/>
  <c r="N341" i="2"/>
  <c r="L341" i="2"/>
  <c r="K341" i="2"/>
  <c r="I341" i="2"/>
  <c r="H341" i="2"/>
  <c r="G341" i="2"/>
  <c r="E341" i="2"/>
  <c r="D341" i="2"/>
  <c r="R340" i="2"/>
  <c r="Q340" i="2"/>
  <c r="O340" i="2"/>
  <c r="N340" i="2"/>
  <c r="L340" i="2"/>
  <c r="K340" i="2"/>
  <c r="I340" i="2"/>
  <c r="H340" i="2"/>
  <c r="G340" i="2"/>
  <c r="E340" i="2"/>
  <c r="D340" i="2"/>
  <c r="R339" i="2"/>
  <c r="Q339" i="2"/>
  <c r="O339" i="2"/>
  <c r="N339" i="2"/>
  <c r="L339" i="2"/>
  <c r="K339" i="2"/>
  <c r="I339" i="2"/>
  <c r="H339" i="2"/>
  <c r="G339" i="2"/>
  <c r="E339" i="2"/>
  <c r="D339" i="2"/>
  <c r="R338" i="2"/>
  <c r="Q338" i="2"/>
  <c r="O338" i="2"/>
  <c r="N338" i="2"/>
  <c r="L338" i="2"/>
  <c r="K338" i="2"/>
  <c r="I338" i="2"/>
  <c r="H338" i="2"/>
  <c r="G338" i="2"/>
  <c r="E338" i="2"/>
  <c r="D338" i="2"/>
  <c r="R337" i="2"/>
  <c r="Q337" i="2"/>
  <c r="O337" i="2"/>
  <c r="N337" i="2"/>
  <c r="L337" i="2"/>
  <c r="K337" i="2"/>
  <c r="I337" i="2"/>
  <c r="H337" i="2"/>
  <c r="G337" i="2"/>
  <c r="E337" i="2"/>
  <c r="D337" i="2"/>
  <c r="R336" i="2"/>
  <c r="Q336" i="2"/>
  <c r="O336" i="2"/>
  <c r="N336" i="2"/>
  <c r="L336" i="2"/>
  <c r="K336" i="2"/>
  <c r="I336" i="2"/>
  <c r="H336" i="2"/>
  <c r="G336" i="2"/>
  <c r="E336" i="2"/>
  <c r="D336" i="2"/>
  <c r="R335" i="2"/>
  <c r="Q335" i="2"/>
  <c r="O335" i="2"/>
  <c r="N335" i="2"/>
  <c r="L335" i="2"/>
  <c r="K335" i="2"/>
  <c r="I335" i="2"/>
  <c r="H335" i="2"/>
  <c r="G335" i="2"/>
  <c r="E335" i="2"/>
  <c r="D335" i="2"/>
  <c r="R334" i="2"/>
  <c r="Q334" i="2"/>
  <c r="O334" i="2"/>
  <c r="N334" i="2"/>
  <c r="L334" i="2"/>
  <c r="K334" i="2"/>
  <c r="I334" i="2"/>
  <c r="H334" i="2"/>
  <c r="G334" i="2"/>
  <c r="E334" i="2"/>
  <c r="D334" i="2"/>
  <c r="R333" i="2"/>
  <c r="Q333" i="2"/>
  <c r="O333" i="2"/>
  <c r="N333" i="2"/>
  <c r="L333" i="2"/>
  <c r="K333" i="2"/>
  <c r="I333" i="2"/>
  <c r="H333" i="2"/>
  <c r="G333" i="2"/>
  <c r="E333" i="2"/>
  <c r="D333" i="2"/>
  <c r="R332" i="2"/>
  <c r="Q332" i="2"/>
  <c r="O332" i="2"/>
  <c r="N332" i="2"/>
  <c r="L332" i="2"/>
  <c r="K332" i="2"/>
  <c r="I332" i="2"/>
  <c r="H332" i="2"/>
  <c r="G332" i="2"/>
  <c r="E332" i="2"/>
  <c r="D332" i="2"/>
  <c r="R331" i="2"/>
  <c r="Q331" i="2"/>
  <c r="O331" i="2"/>
  <c r="N331" i="2"/>
  <c r="L331" i="2"/>
  <c r="K331" i="2"/>
  <c r="I331" i="2"/>
  <c r="H331" i="2"/>
  <c r="G331" i="2"/>
  <c r="E331" i="2"/>
  <c r="D331" i="2"/>
  <c r="R330" i="2"/>
  <c r="Q330" i="2"/>
  <c r="O330" i="2"/>
  <c r="N330" i="2"/>
  <c r="L330" i="2"/>
  <c r="K330" i="2"/>
  <c r="I330" i="2"/>
  <c r="H330" i="2"/>
  <c r="G330" i="2"/>
  <c r="E330" i="2"/>
  <c r="D330" i="2"/>
  <c r="R329" i="2"/>
  <c r="Q329" i="2"/>
  <c r="O329" i="2"/>
  <c r="N329" i="2"/>
  <c r="L329" i="2"/>
  <c r="K329" i="2"/>
  <c r="I329" i="2"/>
  <c r="H329" i="2"/>
  <c r="G329" i="2"/>
  <c r="E329" i="2"/>
  <c r="D329" i="2"/>
  <c r="R328" i="2"/>
  <c r="Q328" i="2"/>
  <c r="O328" i="2"/>
  <c r="N328" i="2"/>
  <c r="L328" i="2"/>
  <c r="K328" i="2"/>
  <c r="I328" i="2"/>
  <c r="H328" i="2"/>
  <c r="G328" i="2"/>
  <c r="E328" i="2"/>
  <c r="D328" i="2"/>
  <c r="R327" i="2"/>
  <c r="Q327" i="2"/>
  <c r="O327" i="2"/>
  <c r="N327" i="2"/>
  <c r="L327" i="2"/>
  <c r="K327" i="2"/>
  <c r="I327" i="2"/>
  <c r="H327" i="2"/>
  <c r="G327" i="2"/>
  <c r="E327" i="2"/>
  <c r="D327" i="2"/>
  <c r="R326" i="2"/>
  <c r="Q326" i="2"/>
  <c r="O326" i="2"/>
  <c r="N326" i="2"/>
  <c r="L326" i="2"/>
  <c r="K326" i="2"/>
  <c r="I326" i="2"/>
  <c r="H326" i="2"/>
  <c r="G326" i="2"/>
  <c r="E326" i="2"/>
  <c r="D326" i="2"/>
  <c r="R325" i="2"/>
  <c r="Q325" i="2"/>
  <c r="O325" i="2"/>
  <c r="N325" i="2"/>
  <c r="L325" i="2"/>
  <c r="K325" i="2"/>
  <c r="I325" i="2"/>
  <c r="H325" i="2"/>
  <c r="G325" i="2"/>
  <c r="E325" i="2"/>
  <c r="D325" i="2"/>
  <c r="R324" i="2"/>
  <c r="Q324" i="2"/>
  <c r="O324" i="2"/>
  <c r="N324" i="2"/>
  <c r="L324" i="2"/>
  <c r="K324" i="2"/>
  <c r="I324" i="2"/>
  <c r="H324" i="2"/>
  <c r="G324" i="2"/>
  <c r="E324" i="2"/>
  <c r="D324" i="2"/>
  <c r="R323" i="2"/>
  <c r="Q323" i="2"/>
  <c r="O323" i="2"/>
  <c r="N323" i="2"/>
  <c r="L323" i="2"/>
  <c r="K323" i="2"/>
  <c r="I323" i="2"/>
  <c r="H323" i="2"/>
  <c r="G323" i="2"/>
  <c r="E323" i="2"/>
  <c r="D323" i="2"/>
  <c r="R322" i="2"/>
  <c r="Q322" i="2"/>
  <c r="O322" i="2"/>
  <c r="N322" i="2"/>
  <c r="L322" i="2"/>
  <c r="K322" i="2"/>
  <c r="I322" i="2"/>
  <c r="H322" i="2"/>
  <c r="G322" i="2"/>
  <c r="E322" i="2"/>
  <c r="D322" i="2"/>
  <c r="R321" i="2"/>
  <c r="Q321" i="2"/>
  <c r="O321" i="2"/>
  <c r="N321" i="2"/>
  <c r="L321" i="2"/>
  <c r="K321" i="2"/>
  <c r="I321" i="2"/>
  <c r="H321" i="2"/>
  <c r="G321" i="2"/>
  <c r="E321" i="2"/>
  <c r="D321" i="2"/>
  <c r="R320" i="2"/>
  <c r="Q320" i="2"/>
  <c r="O320" i="2"/>
  <c r="N320" i="2"/>
  <c r="L320" i="2"/>
  <c r="K320" i="2"/>
  <c r="I320" i="2"/>
  <c r="H320" i="2"/>
  <c r="G320" i="2"/>
  <c r="E320" i="2"/>
  <c r="D320" i="2"/>
  <c r="R319" i="2"/>
  <c r="Q319" i="2"/>
  <c r="O319" i="2"/>
  <c r="N319" i="2"/>
  <c r="L319" i="2"/>
  <c r="K319" i="2"/>
  <c r="I319" i="2"/>
  <c r="H319" i="2"/>
  <c r="G319" i="2"/>
  <c r="E319" i="2"/>
  <c r="D319" i="2"/>
  <c r="R318" i="2"/>
  <c r="Q318" i="2"/>
  <c r="O318" i="2"/>
  <c r="N318" i="2"/>
  <c r="L318" i="2"/>
  <c r="K318" i="2"/>
  <c r="I318" i="2"/>
  <c r="H318" i="2"/>
  <c r="G318" i="2"/>
  <c r="E318" i="2"/>
  <c r="D318" i="2"/>
  <c r="R317" i="2"/>
  <c r="Q317" i="2"/>
  <c r="O317" i="2"/>
  <c r="N317" i="2"/>
  <c r="L317" i="2"/>
  <c r="K317" i="2"/>
  <c r="I317" i="2"/>
  <c r="H317" i="2"/>
  <c r="G317" i="2"/>
  <c r="E317" i="2"/>
  <c r="D317" i="2"/>
  <c r="R316" i="2"/>
  <c r="Q316" i="2"/>
  <c r="O316" i="2"/>
  <c r="N316" i="2"/>
  <c r="L316" i="2"/>
  <c r="K316" i="2"/>
  <c r="I316" i="2"/>
  <c r="H316" i="2"/>
  <c r="G316" i="2"/>
  <c r="E316" i="2"/>
  <c r="D316" i="2"/>
  <c r="R315" i="2"/>
  <c r="Q315" i="2"/>
  <c r="O315" i="2"/>
  <c r="N315" i="2"/>
  <c r="L315" i="2"/>
  <c r="K315" i="2"/>
  <c r="I315" i="2"/>
  <c r="H315" i="2"/>
  <c r="G315" i="2"/>
  <c r="E315" i="2"/>
  <c r="D315" i="2"/>
  <c r="R314" i="2"/>
  <c r="Q314" i="2"/>
  <c r="O314" i="2"/>
  <c r="N314" i="2"/>
  <c r="L314" i="2"/>
  <c r="K314" i="2"/>
  <c r="I314" i="2"/>
  <c r="H314" i="2"/>
  <c r="G314" i="2"/>
  <c r="E314" i="2"/>
  <c r="D314" i="2"/>
  <c r="R313" i="2"/>
  <c r="Q313" i="2"/>
  <c r="O313" i="2"/>
  <c r="N313" i="2"/>
  <c r="L313" i="2"/>
  <c r="K313" i="2"/>
  <c r="I313" i="2"/>
  <c r="H313" i="2"/>
  <c r="G313" i="2"/>
  <c r="E313" i="2"/>
  <c r="D313" i="2"/>
  <c r="R312" i="2"/>
  <c r="Q312" i="2"/>
  <c r="O312" i="2"/>
  <c r="N312" i="2"/>
  <c r="L312" i="2"/>
  <c r="K312" i="2"/>
  <c r="I312" i="2"/>
  <c r="H312" i="2"/>
  <c r="G312" i="2"/>
  <c r="E312" i="2"/>
  <c r="D312" i="2"/>
  <c r="R311" i="2"/>
  <c r="Q311" i="2"/>
  <c r="O311" i="2"/>
  <c r="N311" i="2"/>
  <c r="L311" i="2"/>
  <c r="K311" i="2"/>
  <c r="I311" i="2"/>
  <c r="H311" i="2"/>
  <c r="G311" i="2"/>
  <c r="E311" i="2"/>
  <c r="D311" i="2"/>
  <c r="R310" i="2"/>
  <c r="Q310" i="2"/>
  <c r="O310" i="2"/>
  <c r="N310" i="2"/>
  <c r="L310" i="2"/>
  <c r="K310" i="2"/>
  <c r="I310" i="2"/>
  <c r="H310" i="2"/>
  <c r="G310" i="2"/>
  <c r="E310" i="2"/>
  <c r="D310" i="2"/>
  <c r="R309" i="2"/>
  <c r="Q309" i="2"/>
  <c r="O309" i="2"/>
  <c r="N309" i="2"/>
  <c r="L309" i="2"/>
  <c r="K309" i="2"/>
  <c r="I309" i="2"/>
  <c r="H309" i="2"/>
  <c r="G309" i="2"/>
  <c r="E309" i="2"/>
  <c r="D309" i="2"/>
  <c r="R308" i="2"/>
  <c r="Q308" i="2"/>
  <c r="O308" i="2"/>
  <c r="N308" i="2"/>
  <c r="L308" i="2"/>
  <c r="K308" i="2"/>
  <c r="I308" i="2"/>
  <c r="H308" i="2"/>
  <c r="G308" i="2"/>
  <c r="E308" i="2"/>
  <c r="D308" i="2"/>
  <c r="R307" i="2"/>
  <c r="Q307" i="2"/>
  <c r="O307" i="2"/>
  <c r="N307" i="2"/>
  <c r="L307" i="2"/>
  <c r="K307" i="2"/>
  <c r="I307" i="2"/>
  <c r="H307" i="2"/>
  <c r="G307" i="2"/>
  <c r="E307" i="2"/>
  <c r="D307" i="2"/>
  <c r="R306" i="2"/>
  <c r="Q306" i="2"/>
  <c r="O306" i="2"/>
  <c r="N306" i="2"/>
  <c r="L306" i="2"/>
  <c r="K306" i="2"/>
  <c r="I306" i="2"/>
  <c r="H306" i="2"/>
  <c r="G306" i="2"/>
  <c r="E306" i="2"/>
  <c r="D306" i="2"/>
  <c r="R305" i="2"/>
  <c r="Q305" i="2"/>
  <c r="O305" i="2"/>
  <c r="N305" i="2"/>
  <c r="L305" i="2"/>
  <c r="K305" i="2"/>
  <c r="I305" i="2"/>
  <c r="H305" i="2"/>
  <c r="G305" i="2"/>
  <c r="E305" i="2"/>
  <c r="D305" i="2"/>
  <c r="R304" i="2"/>
  <c r="Q304" i="2"/>
  <c r="O304" i="2"/>
  <c r="N304" i="2"/>
  <c r="L304" i="2"/>
  <c r="K304" i="2"/>
  <c r="I304" i="2"/>
  <c r="H304" i="2"/>
  <c r="G304" i="2"/>
  <c r="E304" i="2"/>
  <c r="D304" i="2"/>
  <c r="R303" i="2"/>
  <c r="Q303" i="2"/>
  <c r="O303" i="2"/>
  <c r="N303" i="2"/>
  <c r="L303" i="2"/>
  <c r="K303" i="2"/>
  <c r="I303" i="2"/>
  <c r="H303" i="2"/>
  <c r="G303" i="2"/>
  <c r="E303" i="2"/>
  <c r="D303" i="2"/>
  <c r="R302" i="2"/>
  <c r="Q302" i="2"/>
  <c r="O302" i="2"/>
  <c r="N302" i="2"/>
  <c r="L302" i="2"/>
  <c r="K302" i="2"/>
  <c r="I302" i="2"/>
  <c r="H302" i="2"/>
  <c r="G302" i="2"/>
  <c r="E302" i="2"/>
  <c r="D302" i="2"/>
  <c r="R301" i="2"/>
  <c r="Q301" i="2"/>
  <c r="O301" i="2"/>
  <c r="N301" i="2"/>
  <c r="L301" i="2"/>
  <c r="K301" i="2"/>
  <c r="I301" i="2"/>
  <c r="H301" i="2"/>
  <c r="G301" i="2"/>
  <c r="E301" i="2"/>
  <c r="D301" i="2"/>
  <c r="R300" i="2"/>
  <c r="Q300" i="2"/>
  <c r="O300" i="2"/>
  <c r="N300" i="2"/>
  <c r="L300" i="2"/>
  <c r="K300" i="2"/>
  <c r="I300" i="2"/>
  <c r="H300" i="2"/>
  <c r="G300" i="2"/>
  <c r="E300" i="2"/>
  <c r="D300" i="2"/>
  <c r="R299" i="2"/>
  <c r="Q299" i="2"/>
  <c r="O299" i="2"/>
  <c r="N299" i="2"/>
  <c r="L299" i="2"/>
  <c r="K299" i="2"/>
  <c r="I299" i="2"/>
  <c r="H299" i="2"/>
  <c r="G299" i="2"/>
  <c r="E299" i="2"/>
  <c r="D299" i="2"/>
  <c r="R298" i="2"/>
  <c r="Q298" i="2"/>
  <c r="O298" i="2"/>
  <c r="N298" i="2"/>
  <c r="L298" i="2"/>
  <c r="K298" i="2"/>
  <c r="I298" i="2"/>
  <c r="H298" i="2"/>
  <c r="G298" i="2"/>
  <c r="E298" i="2"/>
  <c r="D298" i="2"/>
  <c r="R297" i="2"/>
  <c r="Q297" i="2"/>
  <c r="O297" i="2"/>
  <c r="N297" i="2"/>
  <c r="L297" i="2"/>
  <c r="K297" i="2"/>
  <c r="I297" i="2"/>
  <c r="H297" i="2"/>
  <c r="G297" i="2"/>
  <c r="E297" i="2"/>
  <c r="D297" i="2"/>
  <c r="R296" i="2"/>
  <c r="Q296" i="2"/>
  <c r="O296" i="2"/>
  <c r="N296" i="2"/>
  <c r="L296" i="2"/>
  <c r="K296" i="2"/>
  <c r="I296" i="2"/>
  <c r="H296" i="2"/>
  <c r="G296" i="2"/>
  <c r="E296" i="2"/>
  <c r="D296" i="2"/>
  <c r="R295" i="2"/>
  <c r="Q295" i="2"/>
  <c r="O295" i="2"/>
  <c r="N295" i="2"/>
  <c r="L295" i="2"/>
  <c r="K295" i="2"/>
  <c r="I295" i="2"/>
  <c r="H295" i="2"/>
  <c r="G295" i="2"/>
  <c r="E295" i="2"/>
  <c r="D295" i="2"/>
  <c r="R294" i="2"/>
  <c r="Q294" i="2"/>
  <c r="O294" i="2"/>
  <c r="N294" i="2"/>
  <c r="L294" i="2"/>
  <c r="K294" i="2"/>
  <c r="I294" i="2"/>
  <c r="H294" i="2"/>
  <c r="G294" i="2"/>
  <c r="E294" i="2"/>
  <c r="D294" i="2"/>
  <c r="R293" i="2"/>
  <c r="Q293" i="2"/>
  <c r="O293" i="2"/>
  <c r="N293" i="2"/>
  <c r="L293" i="2"/>
  <c r="K293" i="2"/>
  <c r="I293" i="2"/>
  <c r="H293" i="2"/>
  <c r="G293" i="2"/>
  <c r="E293" i="2"/>
  <c r="D293" i="2"/>
  <c r="R292" i="2"/>
  <c r="Q292" i="2"/>
  <c r="O292" i="2"/>
  <c r="N292" i="2"/>
  <c r="L292" i="2"/>
  <c r="K292" i="2"/>
  <c r="I292" i="2"/>
  <c r="H292" i="2"/>
  <c r="G292" i="2"/>
  <c r="E292" i="2"/>
  <c r="D292" i="2"/>
  <c r="R291" i="2"/>
  <c r="Q291" i="2"/>
  <c r="O291" i="2"/>
  <c r="N291" i="2"/>
  <c r="L291" i="2"/>
  <c r="K291" i="2"/>
  <c r="I291" i="2"/>
  <c r="H291" i="2"/>
  <c r="G291" i="2"/>
  <c r="E291" i="2"/>
  <c r="D291" i="2"/>
  <c r="R290" i="2"/>
  <c r="Q290" i="2"/>
  <c r="O290" i="2"/>
  <c r="N290" i="2"/>
  <c r="L290" i="2"/>
  <c r="K290" i="2"/>
  <c r="I290" i="2"/>
  <c r="H290" i="2"/>
  <c r="G290" i="2"/>
  <c r="E290" i="2"/>
  <c r="D290" i="2"/>
  <c r="R289" i="2"/>
  <c r="Q289" i="2"/>
  <c r="O289" i="2"/>
  <c r="N289" i="2"/>
  <c r="L289" i="2"/>
  <c r="K289" i="2"/>
  <c r="I289" i="2"/>
  <c r="H289" i="2"/>
  <c r="G289" i="2"/>
  <c r="E289" i="2"/>
  <c r="D289" i="2"/>
  <c r="R288" i="2"/>
  <c r="Q288" i="2"/>
  <c r="O288" i="2"/>
  <c r="N288" i="2"/>
  <c r="L288" i="2"/>
  <c r="K288" i="2"/>
  <c r="I288" i="2"/>
  <c r="H288" i="2"/>
  <c r="G288" i="2"/>
  <c r="E288" i="2"/>
  <c r="D288" i="2"/>
  <c r="R287" i="2"/>
  <c r="Q287" i="2"/>
  <c r="O287" i="2"/>
  <c r="N287" i="2"/>
  <c r="L287" i="2"/>
  <c r="K287" i="2"/>
  <c r="I287" i="2"/>
  <c r="H287" i="2"/>
  <c r="G287" i="2"/>
  <c r="E287" i="2"/>
  <c r="D287" i="2"/>
  <c r="R286" i="2"/>
  <c r="Q286" i="2"/>
  <c r="O286" i="2"/>
  <c r="N286" i="2"/>
  <c r="L286" i="2"/>
  <c r="K286" i="2"/>
  <c r="I286" i="2"/>
  <c r="H286" i="2"/>
  <c r="G286" i="2"/>
  <c r="E286" i="2"/>
  <c r="D286" i="2"/>
  <c r="R285" i="2"/>
  <c r="Q285" i="2"/>
  <c r="O285" i="2"/>
  <c r="N285" i="2"/>
  <c r="L285" i="2"/>
  <c r="K285" i="2"/>
  <c r="I285" i="2"/>
  <c r="H285" i="2"/>
  <c r="G285" i="2"/>
  <c r="E285" i="2"/>
  <c r="D285" i="2"/>
  <c r="R284" i="2"/>
  <c r="Q284" i="2"/>
  <c r="O284" i="2"/>
  <c r="N284" i="2"/>
  <c r="L284" i="2"/>
  <c r="K284" i="2"/>
  <c r="I284" i="2"/>
  <c r="H284" i="2"/>
  <c r="G284" i="2"/>
  <c r="E284" i="2"/>
  <c r="D284" i="2"/>
  <c r="R283" i="2"/>
  <c r="Q283" i="2"/>
  <c r="O283" i="2"/>
  <c r="N283" i="2"/>
  <c r="L283" i="2"/>
  <c r="K283" i="2"/>
  <c r="I283" i="2"/>
  <c r="H283" i="2"/>
  <c r="G283" i="2"/>
  <c r="E283" i="2"/>
  <c r="D283" i="2"/>
  <c r="R282" i="2"/>
  <c r="Q282" i="2"/>
  <c r="O282" i="2"/>
  <c r="N282" i="2"/>
  <c r="L282" i="2"/>
  <c r="K282" i="2"/>
  <c r="I282" i="2"/>
  <c r="H282" i="2"/>
  <c r="G282" i="2"/>
  <c r="E282" i="2"/>
  <c r="D282" i="2"/>
  <c r="R281" i="2"/>
  <c r="Q281" i="2"/>
  <c r="O281" i="2"/>
  <c r="N281" i="2"/>
  <c r="L281" i="2"/>
  <c r="K281" i="2"/>
  <c r="I281" i="2"/>
  <c r="H281" i="2"/>
  <c r="G281" i="2"/>
  <c r="E281" i="2"/>
  <c r="D281" i="2"/>
  <c r="R280" i="2"/>
  <c r="Q280" i="2"/>
  <c r="O280" i="2"/>
  <c r="N280" i="2"/>
  <c r="L280" i="2"/>
  <c r="K280" i="2"/>
  <c r="I280" i="2"/>
  <c r="H280" i="2"/>
  <c r="G280" i="2"/>
  <c r="E280" i="2"/>
  <c r="D280" i="2"/>
  <c r="R279" i="2"/>
  <c r="Q279" i="2"/>
  <c r="O279" i="2"/>
  <c r="N279" i="2"/>
  <c r="L279" i="2"/>
  <c r="K279" i="2"/>
  <c r="I279" i="2"/>
  <c r="H279" i="2"/>
  <c r="G279" i="2"/>
  <c r="E279" i="2"/>
  <c r="D279" i="2"/>
  <c r="R278" i="2"/>
  <c r="Q278" i="2"/>
  <c r="O278" i="2"/>
  <c r="N278" i="2"/>
  <c r="L278" i="2"/>
  <c r="K278" i="2"/>
  <c r="I278" i="2"/>
  <c r="H278" i="2"/>
  <c r="G278" i="2"/>
  <c r="E278" i="2"/>
  <c r="D278" i="2"/>
  <c r="R277" i="2"/>
  <c r="Q277" i="2"/>
  <c r="O277" i="2"/>
  <c r="N277" i="2"/>
  <c r="L277" i="2"/>
  <c r="K277" i="2"/>
  <c r="I277" i="2"/>
  <c r="H277" i="2"/>
  <c r="G277" i="2"/>
  <c r="E277" i="2"/>
  <c r="D277" i="2"/>
  <c r="R276" i="2"/>
  <c r="Q276" i="2"/>
  <c r="O276" i="2"/>
  <c r="N276" i="2"/>
  <c r="L276" i="2"/>
  <c r="K276" i="2"/>
  <c r="I276" i="2"/>
  <c r="H276" i="2"/>
  <c r="G276" i="2"/>
  <c r="E276" i="2"/>
  <c r="D276" i="2"/>
  <c r="R275" i="2"/>
  <c r="Q275" i="2"/>
  <c r="O275" i="2"/>
  <c r="N275" i="2"/>
  <c r="L275" i="2"/>
  <c r="K275" i="2"/>
  <c r="I275" i="2"/>
  <c r="H275" i="2"/>
  <c r="G275" i="2"/>
  <c r="E275" i="2"/>
  <c r="D275" i="2"/>
  <c r="R274" i="2"/>
  <c r="Q274" i="2"/>
  <c r="O274" i="2"/>
  <c r="N274" i="2"/>
  <c r="L274" i="2"/>
  <c r="K274" i="2"/>
  <c r="I274" i="2"/>
  <c r="H274" i="2"/>
  <c r="G274" i="2"/>
  <c r="E274" i="2"/>
  <c r="D274" i="2"/>
  <c r="R273" i="2"/>
  <c r="Q273" i="2"/>
  <c r="O273" i="2"/>
  <c r="N273" i="2"/>
  <c r="L273" i="2"/>
  <c r="K273" i="2"/>
  <c r="I273" i="2"/>
  <c r="H273" i="2"/>
  <c r="G273" i="2"/>
  <c r="E273" i="2"/>
  <c r="D273" i="2"/>
  <c r="R272" i="2"/>
  <c r="Q272" i="2"/>
  <c r="O272" i="2"/>
  <c r="N272" i="2"/>
  <c r="L272" i="2"/>
  <c r="K272" i="2"/>
  <c r="I272" i="2"/>
  <c r="H272" i="2"/>
  <c r="G272" i="2"/>
  <c r="E272" i="2"/>
  <c r="D272" i="2"/>
  <c r="R271" i="2"/>
  <c r="Q271" i="2"/>
  <c r="O271" i="2"/>
  <c r="N271" i="2"/>
  <c r="L271" i="2"/>
  <c r="K271" i="2"/>
  <c r="I271" i="2"/>
  <c r="H271" i="2"/>
  <c r="G271" i="2"/>
  <c r="E271" i="2"/>
  <c r="D271" i="2"/>
  <c r="R270" i="2"/>
  <c r="Q270" i="2"/>
  <c r="O270" i="2"/>
  <c r="N270" i="2"/>
  <c r="L270" i="2"/>
  <c r="K270" i="2"/>
  <c r="I270" i="2"/>
  <c r="H270" i="2"/>
  <c r="G270" i="2"/>
  <c r="E270" i="2"/>
  <c r="D270" i="2"/>
  <c r="R269" i="2"/>
  <c r="Q269" i="2"/>
  <c r="O269" i="2"/>
  <c r="N269" i="2"/>
  <c r="L269" i="2"/>
  <c r="K269" i="2"/>
  <c r="I269" i="2"/>
  <c r="H269" i="2"/>
  <c r="G269" i="2"/>
  <c r="E269" i="2"/>
  <c r="D269" i="2"/>
  <c r="R268" i="2"/>
  <c r="Q268" i="2"/>
  <c r="O268" i="2"/>
  <c r="N268" i="2"/>
  <c r="L268" i="2"/>
  <c r="K268" i="2"/>
  <c r="I268" i="2"/>
  <c r="H268" i="2"/>
  <c r="G268" i="2"/>
  <c r="E268" i="2"/>
  <c r="D268" i="2"/>
  <c r="R267" i="2"/>
  <c r="Q267" i="2"/>
  <c r="O267" i="2"/>
  <c r="N267" i="2"/>
  <c r="L267" i="2"/>
  <c r="K267" i="2"/>
  <c r="I267" i="2"/>
  <c r="H267" i="2"/>
  <c r="G267" i="2"/>
  <c r="E267" i="2"/>
  <c r="D267" i="2"/>
  <c r="R266" i="2"/>
  <c r="Q266" i="2"/>
  <c r="O266" i="2"/>
  <c r="N266" i="2"/>
  <c r="L266" i="2"/>
  <c r="K266" i="2"/>
  <c r="I266" i="2"/>
  <c r="H266" i="2"/>
  <c r="G266" i="2"/>
  <c r="E266" i="2"/>
  <c r="D266" i="2"/>
  <c r="R265" i="2"/>
  <c r="Q265" i="2"/>
  <c r="O265" i="2"/>
  <c r="N265" i="2"/>
  <c r="L265" i="2"/>
  <c r="K265" i="2"/>
  <c r="I265" i="2"/>
  <c r="H265" i="2"/>
  <c r="G265" i="2"/>
  <c r="E265" i="2"/>
  <c r="D265" i="2"/>
  <c r="R264" i="2"/>
  <c r="Q264" i="2"/>
  <c r="O264" i="2"/>
  <c r="N264" i="2"/>
  <c r="L264" i="2"/>
  <c r="K264" i="2"/>
  <c r="I264" i="2"/>
  <c r="H264" i="2"/>
  <c r="G264" i="2"/>
  <c r="E264" i="2"/>
  <c r="D264" i="2"/>
  <c r="R263" i="2"/>
  <c r="Q263" i="2"/>
  <c r="O263" i="2"/>
  <c r="N263" i="2"/>
  <c r="L263" i="2"/>
  <c r="K263" i="2"/>
  <c r="I263" i="2"/>
  <c r="H263" i="2"/>
  <c r="G263" i="2"/>
  <c r="E263" i="2"/>
  <c r="D263" i="2"/>
  <c r="R262" i="2"/>
  <c r="Q262" i="2"/>
  <c r="O262" i="2"/>
  <c r="N262" i="2"/>
  <c r="L262" i="2"/>
  <c r="K262" i="2"/>
  <c r="I262" i="2"/>
  <c r="H262" i="2"/>
  <c r="G262" i="2"/>
  <c r="E262" i="2"/>
  <c r="D262" i="2"/>
  <c r="R261" i="2"/>
  <c r="Q261" i="2"/>
  <c r="O261" i="2"/>
  <c r="N261" i="2"/>
  <c r="L261" i="2"/>
  <c r="K261" i="2"/>
  <c r="I261" i="2"/>
  <c r="H261" i="2"/>
  <c r="G261" i="2"/>
  <c r="E261" i="2"/>
  <c r="D261" i="2"/>
  <c r="R260" i="2"/>
  <c r="Q260" i="2"/>
  <c r="O260" i="2"/>
  <c r="N260" i="2"/>
  <c r="L260" i="2"/>
  <c r="K260" i="2"/>
  <c r="I260" i="2"/>
  <c r="H260" i="2"/>
  <c r="G260" i="2"/>
  <c r="E260" i="2"/>
  <c r="D260" i="2"/>
  <c r="R259" i="2"/>
  <c r="Q259" i="2"/>
  <c r="O259" i="2"/>
  <c r="N259" i="2"/>
  <c r="L259" i="2"/>
  <c r="K259" i="2"/>
  <c r="I259" i="2"/>
  <c r="H259" i="2"/>
  <c r="G259" i="2"/>
  <c r="E259" i="2"/>
  <c r="D259" i="2"/>
  <c r="R258" i="2"/>
  <c r="Q258" i="2"/>
  <c r="O258" i="2"/>
  <c r="N258" i="2"/>
  <c r="L258" i="2"/>
  <c r="K258" i="2"/>
  <c r="I258" i="2"/>
  <c r="H258" i="2"/>
  <c r="G258" i="2"/>
  <c r="E258" i="2"/>
  <c r="D258" i="2"/>
  <c r="R257" i="2"/>
  <c r="Q257" i="2"/>
  <c r="O257" i="2"/>
  <c r="N257" i="2"/>
  <c r="L257" i="2"/>
  <c r="K257" i="2"/>
  <c r="I257" i="2"/>
  <c r="H257" i="2"/>
  <c r="G257" i="2"/>
  <c r="E257" i="2"/>
  <c r="D257" i="2"/>
  <c r="R256" i="2"/>
  <c r="Q256" i="2"/>
  <c r="O256" i="2"/>
  <c r="N256" i="2"/>
  <c r="L256" i="2"/>
  <c r="K256" i="2"/>
  <c r="I256" i="2"/>
  <c r="H256" i="2"/>
  <c r="G256" i="2"/>
  <c r="E256" i="2"/>
  <c r="D256" i="2"/>
  <c r="R255" i="2"/>
  <c r="Q255" i="2"/>
  <c r="O255" i="2"/>
  <c r="N255" i="2"/>
  <c r="L255" i="2"/>
  <c r="K255" i="2"/>
  <c r="I255" i="2"/>
  <c r="H255" i="2"/>
  <c r="G255" i="2"/>
  <c r="E255" i="2"/>
  <c r="D255" i="2"/>
  <c r="R254" i="2"/>
  <c r="Q254" i="2"/>
  <c r="O254" i="2"/>
  <c r="N254" i="2"/>
  <c r="L254" i="2"/>
  <c r="K254" i="2"/>
  <c r="I254" i="2"/>
  <c r="H254" i="2"/>
  <c r="G254" i="2"/>
  <c r="E254" i="2"/>
  <c r="D254" i="2"/>
  <c r="R253" i="2"/>
  <c r="Q253" i="2"/>
  <c r="O253" i="2"/>
  <c r="N253" i="2"/>
  <c r="L253" i="2"/>
  <c r="K253" i="2"/>
  <c r="I253" i="2"/>
  <c r="H253" i="2"/>
  <c r="G253" i="2"/>
  <c r="E253" i="2"/>
  <c r="D253" i="2"/>
  <c r="R252" i="2"/>
  <c r="Q252" i="2"/>
  <c r="O252" i="2"/>
  <c r="N252" i="2"/>
  <c r="L252" i="2"/>
  <c r="K252" i="2"/>
  <c r="I252" i="2"/>
  <c r="H252" i="2"/>
  <c r="G252" i="2"/>
  <c r="E252" i="2"/>
  <c r="D252" i="2"/>
  <c r="R251" i="2"/>
  <c r="Q251" i="2"/>
  <c r="O251" i="2"/>
  <c r="N251" i="2"/>
  <c r="L251" i="2"/>
  <c r="K251" i="2"/>
  <c r="I251" i="2"/>
  <c r="H251" i="2"/>
  <c r="G251" i="2"/>
  <c r="E251" i="2"/>
  <c r="D251" i="2"/>
  <c r="R250" i="2"/>
  <c r="Q250" i="2"/>
  <c r="O250" i="2"/>
  <c r="N250" i="2"/>
  <c r="L250" i="2"/>
  <c r="K250" i="2"/>
  <c r="I250" i="2"/>
  <c r="H250" i="2"/>
  <c r="G250" i="2"/>
  <c r="E250" i="2"/>
  <c r="D250" i="2"/>
  <c r="R249" i="2"/>
  <c r="Q249" i="2"/>
  <c r="O249" i="2"/>
  <c r="N249" i="2"/>
  <c r="L249" i="2"/>
  <c r="K249" i="2"/>
  <c r="I249" i="2"/>
  <c r="H249" i="2"/>
  <c r="G249" i="2"/>
  <c r="E249" i="2"/>
  <c r="D249" i="2"/>
  <c r="R248" i="2"/>
  <c r="Q248" i="2"/>
  <c r="O248" i="2"/>
  <c r="N248" i="2"/>
  <c r="L248" i="2"/>
  <c r="K248" i="2"/>
  <c r="I248" i="2"/>
  <c r="H248" i="2"/>
  <c r="G248" i="2"/>
  <c r="E248" i="2"/>
  <c r="D248" i="2"/>
  <c r="R247" i="2"/>
  <c r="Q247" i="2"/>
  <c r="O247" i="2"/>
  <c r="N247" i="2"/>
  <c r="L247" i="2"/>
  <c r="K247" i="2"/>
  <c r="I247" i="2"/>
  <c r="H247" i="2"/>
  <c r="G247" i="2"/>
  <c r="E247" i="2"/>
  <c r="D247" i="2"/>
  <c r="R246" i="2"/>
  <c r="Q246" i="2"/>
  <c r="O246" i="2"/>
  <c r="N246" i="2"/>
  <c r="L246" i="2"/>
  <c r="K246" i="2"/>
  <c r="I246" i="2"/>
  <c r="H246" i="2"/>
  <c r="G246" i="2"/>
  <c r="E246" i="2"/>
  <c r="D246" i="2"/>
  <c r="R245" i="2"/>
  <c r="Q245" i="2"/>
  <c r="O245" i="2"/>
  <c r="N245" i="2"/>
  <c r="L245" i="2"/>
  <c r="K245" i="2"/>
  <c r="I245" i="2"/>
  <c r="H245" i="2"/>
  <c r="G245" i="2"/>
  <c r="E245" i="2"/>
  <c r="D245" i="2"/>
  <c r="R244" i="2"/>
  <c r="Q244" i="2"/>
  <c r="O244" i="2"/>
  <c r="N244" i="2"/>
  <c r="L244" i="2"/>
  <c r="K244" i="2"/>
  <c r="I244" i="2"/>
  <c r="H244" i="2"/>
  <c r="G244" i="2"/>
  <c r="E244" i="2"/>
  <c r="D244" i="2"/>
  <c r="R243" i="2"/>
  <c r="Q243" i="2"/>
  <c r="O243" i="2"/>
  <c r="N243" i="2"/>
  <c r="L243" i="2"/>
  <c r="K243" i="2"/>
  <c r="I243" i="2"/>
  <c r="H243" i="2"/>
  <c r="G243" i="2"/>
  <c r="E243" i="2"/>
  <c r="D243" i="2"/>
  <c r="R242" i="2"/>
  <c r="Q242" i="2"/>
  <c r="O242" i="2"/>
  <c r="N242" i="2"/>
  <c r="L242" i="2"/>
  <c r="K242" i="2"/>
  <c r="I242" i="2"/>
  <c r="H242" i="2"/>
  <c r="G242" i="2"/>
  <c r="E242" i="2"/>
  <c r="D242" i="2"/>
  <c r="R241" i="2"/>
  <c r="Q241" i="2"/>
  <c r="O241" i="2"/>
  <c r="N241" i="2"/>
  <c r="L241" i="2"/>
  <c r="K241" i="2"/>
  <c r="I241" i="2"/>
  <c r="H241" i="2"/>
  <c r="G241" i="2"/>
  <c r="E241" i="2"/>
  <c r="D241" i="2"/>
  <c r="R240" i="2"/>
  <c r="Q240" i="2"/>
  <c r="O240" i="2"/>
  <c r="N240" i="2"/>
  <c r="L240" i="2"/>
  <c r="K240" i="2"/>
  <c r="I240" i="2"/>
  <c r="H240" i="2"/>
  <c r="G240" i="2"/>
  <c r="E240" i="2"/>
  <c r="D240" i="2"/>
  <c r="R239" i="2"/>
  <c r="Q239" i="2"/>
  <c r="O239" i="2"/>
  <c r="N239" i="2"/>
  <c r="L239" i="2"/>
  <c r="K239" i="2"/>
  <c r="I239" i="2"/>
  <c r="H239" i="2"/>
  <c r="G239" i="2"/>
  <c r="E239" i="2"/>
  <c r="D239" i="2"/>
  <c r="R238" i="2"/>
  <c r="Q238" i="2"/>
  <c r="O238" i="2"/>
  <c r="N238" i="2"/>
  <c r="L238" i="2"/>
  <c r="K238" i="2"/>
  <c r="I238" i="2"/>
  <c r="H238" i="2"/>
  <c r="G238" i="2"/>
  <c r="E238" i="2"/>
  <c r="D238" i="2"/>
  <c r="R237" i="2"/>
  <c r="Q237" i="2"/>
  <c r="O237" i="2"/>
  <c r="N237" i="2"/>
  <c r="L237" i="2"/>
  <c r="K237" i="2"/>
  <c r="I237" i="2"/>
  <c r="H237" i="2"/>
  <c r="G237" i="2"/>
  <c r="E237" i="2"/>
  <c r="D237" i="2"/>
  <c r="R236" i="2"/>
  <c r="Q236" i="2"/>
  <c r="O236" i="2"/>
  <c r="N236" i="2"/>
  <c r="L236" i="2"/>
  <c r="K236" i="2"/>
  <c r="I236" i="2"/>
  <c r="H236" i="2"/>
  <c r="G236" i="2"/>
  <c r="E236" i="2"/>
  <c r="D236" i="2"/>
  <c r="R235" i="2"/>
  <c r="Q235" i="2"/>
  <c r="O235" i="2"/>
  <c r="N235" i="2"/>
  <c r="L235" i="2"/>
  <c r="K235" i="2"/>
  <c r="I235" i="2"/>
  <c r="H235" i="2"/>
  <c r="G235" i="2"/>
  <c r="E235" i="2"/>
  <c r="D235" i="2"/>
  <c r="R234" i="2"/>
  <c r="Q234" i="2"/>
  <c r="O234" i="2"/>
  <c r="N234" i="2"/>
  <c r="L234" i="2"/>
  <c r="K234" i="2"/>
  <c r="I234" i="2"/>
  <c r="H234" i="2"/>
  <c r="G234" i="2"/>
  <c r="E234" i="2"/>
  <c r="D234" i="2"/>
  <c r="R233" i="2"/>
  <c r="Q233" i="2"/>
  <c r="O233" i="2"/>
  <c r="N233" i="2"/>
  <c r="L233" i="2"/>
  <c r="K233" i="2"/>
  <c r="I233" i="2"/>
  <c r="H233" i="2"/>
  <c r="G233" i="2"/>
  <c r="E233" i="2"/>
  <c r="D233" i="2"/>
  <c r="R232" i="2"/>
  <c r="Q232" i="2"/>
  <c r="O232" i="2"/>
  <c r="N232" i="2"/>
  <c r="L232" i="2"/>
  <c r="K232" i="2"/>
  <c r="I232" i="2"/>
  <c r="H232" i="2"/>
  <c r="G232" i="2"/>
  <c r="E232" i="2"/>
  <c r="D232" i="2"/>
  <c r="R231" i="2"/>
  <c r="Q231" i="2"/>
  <c r="O231" i="2"/>
  <c r="N231" i="2"/>
  <c r="L231" i="2"/>
  <c r="K231" i="2"/>
  <c r="I231" i="2"/>
  <c r="H231" i="2"/>
  <c r="G231" i="2"/>
  <c r="E231" i="2"/>
  <c r="D231" i="2"/>
  <c r="R230" i="2"/>
  <c r="Q230" i="2"/>
  <c r="O230" i="2"/>
  <c r="N230" i="2"/>
  <c r="L230" i="2"/>
  <c r="K230" i="2"/>
  <c r="I230" i="2"/>
  <c r="H230" i="2"/>
  <c r="G230" i="2"/>
  <c r="E230" i="2"/>
  <c r="D230" i="2"/>
  <c r="R229" i="2"/>
  <c r="Q229" i="2"/>
  <c r="O229" i="2"/>
  <c r="N229" i="2"/>
  <c r="L229" i="2"/>
  <c r="K229" i="2"/>
  <c r="I229" i="2"/>
  <c r="H229" i="2"/>
  <c r="G229" i="2"/>
  <c r="E229" i="2"/>
  <c r="D229" i="2"/>
  <c r="R228" i="2"/>
  <c r="Q228" i="2"/>
  <c r="O228" i="2"/>
  <c r="N228" i="2"/>
  <c r="L228" i="2"/>
  <c r="K228" i="2"/>
  <c r="I228" i="2"/>
  <c r="H228" i="2"/>
  <c r="G228" i="2"/>
  <c r="E228" i="2"/>
  <c r="D228" i="2"/>
  <c r="R227" i="2"/>
  <c r="Q227" i="2"/>
  <c r="O227" i="2"/>
  <c r="N227" i="2"/>
  <c r="L227" i="2"/>
  <c r="K227" i="2"/>
  <c r="I227" i="2"/>
  <c r="H227" i="2"/>
  <c r="G227" i="2"/>
  <c r="E227" i="2"/>
  <c r="D227" i="2"/>
  <c r="R226" i="2"/>
  <c r="Q226" i="2"/>
  <c r="O226" i="2"/>
  <c r="N226" i="2"/>
  <c r="L226" i="2"/>
  <c r="K226" i="2"/>
  <c r="I226" i="2"/>
  <c r="H226" i="2"/>
  <c r="G226" i="2"/>
  <c r="E226" i="2"/>
  <c r="D226" i="2"/>
  <c r="R225" i="2"/>
  <c r="Q225" i="2"/>
  <c r="O225" i="2"/>
  <c r="N225" i="2"/>
  <c r="L225" i="2"/>
  <c r="K225" i="2"/>
  <c r="I225" i="2"/>
  <c r="H225" i="2"/>
  <c r="G225" i="2"/>
  <c r="E225" i="2"/>
  <c r="D225" i="2"/>
  <c r="R224" i="2"/>
  <c r="Q224" i="2"/>
  <c r="O224" i="2"/>
  <c r="N224" i="2"/>
  <c r="L224" i="2"/>
  <c r="K224" i="2"/>
  <c r="I224" i="2"/>
  <c r="H224" i="2"/>
  <c r="G224" i="2"/>
  <c r="E224" i="2"/>
  <c r="D224" i="2"/>
  <c r="R223" i="2"/>
  <c r="Q223" i="2"/>
  <c r="O223" i="2"/>
  <c r="N223" i="2"/>
  <c r="L223" i="2"/>
  <c r="K223" i="2"/>
  <c r="I223" i="2"/>
  <c r="H223" i="2"/>
  <c r="G223" i="2"/>
  <c r="E223" i="2"/>
  <c r="D223" i="2"/>
  <c r="R222" i="2"/>
  <c r="Q222" i="2"/>
  <c r="O222" i="2"/>
  <c r="N222" i="2"/>
  <c r="L222" i="2"/>
  <c r="K222" i="2"/>
  <c r="I222" i="2"/>
  <c r="H222" i="2"/>
  <c r="G222" i="2"/>
  <c r="E222" i="2"/>
  <c r="D222" i="2"/>
  <c r="R221" i="2"/>
  <c r="Q221" i="2"/>
  <c r="O221" i="2"/>
  <c r="N221" i="2"/>
  <c r="L221" i="2"/>
  <c r="K221" i="2"/>
  <c r="I221" i="2"/>
  <c r="H221" i="2"/>
  <c r="G221" i="2"/>
  <c r="E221" i="2"/>
  <c r="D221" i="2"/>
  <c r="R220" i="2"/>
  <c r="Q220" i="2"/>
  <c r="O220" i="2"/>
  <c r="N220" i="2"/>
  <c r="L220" i="2"/>
  <c r="K220" i="2"/>
  <c r="I220" i="2"/>
  <c r="H220" i="2"/>
  <c r="G220" i="2"/>
  <c r="E220" i="2"/>
  <c r="D220" i="2"/>
  <c r="R219" i="2"/>
  <c r="Q219" i="2"/>
  <c r="O219" i="2"/>
  <c r="N219" i="2"/>
  <c r="L219" i="2"/>
  <c r="K219" i="2"/>
  <c r="I219" i="2"/>
  <c r="H219" i="2"/>
  <c r="G219" i="2"/>
  <c r="E219" i="2"/>
  <c r="D219" i="2"/>
  <c r="R218" i="2"/>
  <c r="Q218" i="2"/>
  <c r="O218" i="2"/>
  <c r="N218" i="2"/>
  <c r="L218" i="2"/>
  <c r="K218" i="2"/>
  <c r="I218" i="2"/>
  <c r="H218" i="2"/>
  <c r="G218" i="2"/>
  <c r="E218" i="2"/>
  <c r="D218" i="2"/>
  <c r="R217" i="2"/>
  <c r="Q217" i="2"/>
  <c r="O217" i="2"/>
  <c r="N217" i="2"/>
  <c r="L217" i="2"/>
  <c r="K217" i="2"/>
  <c r="I217" i="2"/>
  <c r="H217" i="2"/>
  <c r="G217" i="2"/>
  <c r="E217" i="2"/>
  <c r="D217" i="2"/>
  <c r="R216" i="2"/>
  <c r="Q216" i="2"/>
  <c r="O216" i="2"/>
  <c r="N216" i="2"/>
  <c r="L216" i="2"/>
  <c r="K216" i="2"/>
  <c r="I216" i="2"/>
  <c r="H216" i="2"/>
  <c r="G216" i="2"/>
  <c r="E216" i="2"/>
  <c r="D216" i="2"/>
  <c r="R215" i="2"/>
  <c r="Q215" i="2"/>
  <c r="O215" i="2"/>
  <c r="N215" i="2"/>
  <c r="L215" i="2"/>
  <c r="K215" i="2"/>
  <c r="I215" i="2"/>
  <c r="H215" i="2"/>
  <c r="G215" i="2"/>
  <c r="E215" i="2"/>
  <c r="D215" i="2"/>
  <c r="R214" i="2"/>
  <c r="Q214" i="2"/>
  <c r="O214" i="2"/>
  <c r="N214" i="2"/>
  <c r="L214" i="2"/>
  <c r="K214" i="2"/>
  <c r="I214" i="2"/>
  <c r="H214" i="2"/>
  <c r="G214" i="2"/>
  <c r="E214" i="2"/>
  <c r="D214" i="2"/>
  <c r="R213" i="2"/>
  <c r="Q213" i="2"/>
  <c r="O213" i="2"/>
  <c r="N213" i="2"/>
  <c r="L213" i="2"/>
  <c r="K213" i="2"/>
  <c r="I213" i="2"/>
  <c r="H213" i="2"/>
  <c r="G213" i="2"/>
  <c r="E213" i="2"/>
  <c r="D213" i="2"/>
  <c r="R212" i="2"/>
  <c r="Q212" i="2"/>
  <c r="O212" i="2"/>
  <c r="N212" i="2"/>
  <c r="L212" i="2"/>
  <c r="K212" i="2"/>
  <c r="I212" i="2"/>
  <c r="H212" i="2"/>
  <c r="G212" i="2"/>
  <c r="E212" i="2"/>
  <c r="D212" i="2"/>
  <c r="R211" i="2"/>
  <c r="Q211" i="2"/>
  <c r="O211" i="2"/>
  <c r="N211" i="2"/>
  <c r="L211" i="2"/>
  <c r="K211" i="2"/>
  <c r="I211" i="2"/>
  <c r="H211" i="2"/>
  <c r="G211" i="2"/>
  <c r="E211" i="2"/>
  <c r="D211" i="2"/>
  <c r="R210" i="2"/>
  <c r="Q210" i="2"/>
  <c r="O210" i="2"/>
  <c r="N210" i="2"/>
  <c r="L210" i="2"/>
  <c r="K210" i="2"/>
  <c r="I210" i="2"/>
  <c r="H210" i="2"/>
  <c r="G210" i="2"/>
  <c r="E210" i="2"/>
  <c r="D210" i="2"/>
  <c r="R209" i="2"/>
  <c r="Q209" i="2"/>
  <c r="O209" i="2"/>
  <c r="N209" i="2"/>
  <c r="L209" i="2"/>
  <c r="K209" i="2"/>
  <c r="I209" i="2"/>
  <c r="H209" i="2"/>
  <c r="G209" i="2"/>
  <c r="E209" i="2"/>
  <c r="D209" i="2"/>
  <c r="R208" i="2"/>
  <c r="Q208" i="2"/>
  <c r="O208" i="2"/>
  <c r="N208" i="2"/>
  <c r="L208" i="2"/>
  <c r="K208" i="2"/>
  <c r="I208" i="2"/>
  <c r="H208" i="2"/>
  <c r="G208" i="2"/>
  <c r="E208" i="2"/>
  <c r="D208" i="2"/>
  <c r="R207" i="2"/>
  <c r="Q207" i="2"/>
  <c r="O207" i="2"/>
  <c r="N207" i="2"/>
  <c r="L207" i="2"/>
  <c r="K207" i="2"/>
  <c r="I207" i="2"/>
  <c r="H207" i="2"/>
  <c r="G207" i="2"/>
  <c r="E207" i="2"/>
  <c r="D207" i="2"/>
  <c r="R206" i="2"/>
  <c r="Q206" i="2"/>
  <c r="O206" i="2"/>
  <c r="N206" i="2"/>
  <c r="L206" i="2"/>
  <c r="K206" i="2"/>
  <c r="I206" i="2"/>
  <c r="H206" i="2"/>
  <c r="G206" i="2"/>
  <c r="E206" i="2"/>
  <c r="D206" i="2"/>
  <c r="R205" i="2"/>
  <c r="Q205" i="2"/>
  <c r="O205" i="2"/>
  <c r="N205" i="2"/>
  <c r="L205" i="2"/>
  <c r="K205" i="2"/>
  <c r="I205" i="2"/>
  <c r="H205" i="2"/>
  <c r="G205" i="2"/>
  <c r="E205" i="2"/>
  <c r="D205" i="2"/>
  <c r="R204" i="2"/>
  <c r="Q204" i="2"/>
  <c r="O204" i="2"/>
  <c r="N204" i="2"/>
  <c r="L204" i="2"/>
  <c r="K204" i="2"/>
  <c r="I204" i="2"/>
  <c r="H204" i="2"/>
  <c r="G204" i="2"/>
  <c r="E204" i="2"/>
  <c r="D204" i="2"/>
  <c r="R203" i="2"/>
  <c r="Q203" i="2"/>
  <c r="O203" i="2"/>
  <c r="N203" i="2"/>
  <c r="L203" i="2"/>
  <c r="K203" i="2"/>
  <c r="I203" i="2"/>
  <c r="H203" i="2"/>
  <c r="G203" i="2"/>
  <c r="E203" i="2"/>
  <c r="D203" i="2"/>
  <c r="R202" i="2"/>
  <c r="Q202" i="2"/>
  <c r="O202" i="2"/>
  <c r="N202" i="2"/>
  <c r="L202" i="2"/>
  <c r="K202" i="2"/>
  <c r="I202" i="2"/>
  <c r="H202" i="2"/>
  <c r="G202" i="2"/>
  <c r="E202" i="2"/>
  <c r="D202" i="2"/>
  <c r="R201" i="2"/>
  <c r="Q201" i="2"/>
  <c r="O201" i="2"/>
  <c r="N201" i="2"/>
  <c r="L201" i="2"/>
  <c r="K201" i="2"/>
  <c r="I201" i="2"/>
  <c r="H201" i="2"/>
  <c r="G201" i="2"/>
  <c r="E201" i="2"/>
  <c r="D201" i="2"/>
  <c r="R200" i="2"/>
  <c r="Q200" i="2"/>
  <c r="O200" i="2"/>
  <c r="N200" i="2"/>
  <c r="L200" i="2"/>
  <c r="K200" i="2"/>
  <c r="I200" i="2"/>
  <c r="H200" i="2"/>
  <c r="G200" i="2"/>
  <c r="E200" i="2"/>
  <c r="D200" i="2"/>
  <c r="R199" i="2"/>
  <c r="Q199" i="2"/>
  <c r="O199" i="2"/>
  <c r="N199" i="2"/>
  <c r="L199" i="2"/>
  <c r="K199" i="2"/>
  <c r="I199" i="2"/>
  <c r="H199" i="2"/>
  <c r="G199" i="2"/>
  <c r="E199" i="2"/>
  <c r="D199" i="2"/>
  <c r="R198" i="2"/>
  <c r="Q198" i="2"/>
  <c r="O198" i="2"/>
  <c r="N198" i="2"/>
  <c r="L198" i="2"/>
  <c r="K198" i="2"/>
  <c r="I198" i="2"/>
  <c r="H198" i="2"/>
  <c r="G198" i="2"/>
  <c r="E198" i="2"/>
  <c r="D198" i="2"/>
  <c r="R197" i="2"/>
  <c r="Q197" i="2"/>
  <c r="O197" i="2"/>
  <c r="N197" i="2"/>
  <c r="L197" i="2"/>
  <c r="K197" i="2"/>
  <c r="I197" i="2"/>
  <c r="H197" i="2"/>
  <c r="G197" i="2"/>
  <c r="E197" i="2"/>
  <c r="D197" i="2"/>
  <c r="R196" i="2"/>
  <c r="Q196" i="2"/>
  <c r="O196" i="2"/>
  <c r="N196" i="2"/>
  <c r="L196" i="2"/>
  <c r="K196" i="2"/>
  <c r="I196" i="2"/>
  <c r="H196" i="2"/>
  <c r="G196" i="2"/>
  <c r="E196" i="2"/>
  <c r="D196" i="2"/>
  <c r="R195" i="2"/>
  <c r="Q195" i="2"/>
  <c r="O195" i="2"/>
  <c r="N195" i="2"/>
  <c r="L195" i="2"/>
  <c r="K195" i="2"/>
  <c r="I195" i="2"/>
  <c r="H195" i="2"/>
  <c r="G195" i="2"/>
  <c r="E195" i="2"/>
  <c r="D195" i="2"/>
  <c r="R194" i="2"/>
  <c r="Q194" i="2"/>
  <c r="O194" i="2"/>
  <c r="N194" i="2"/>
  <c r="L194" i="2"/>
  <c r="K194" i="2"/>
  <c r="I194" i="2"/>
  <c r="H194" i="2"/>
  <c r="G194" i="2"/>
  <c r="E194" i="2"/>
  <c r="D194" i="2"/>
  <c r="R193" i="2"/>
  <c r="Q193" i="2"/>
  <c r="O193" i="2"/>
  <c r="N193" i="2"/>
  <c r="L193" i="2"/>
  <c r="K193" i="2"/>
  <c r="I193" i="2"/>
  <c r="H193" i="2"/>
  <c r="G193" i="2"/>
  <c r="E193" i="2"/>
  <c r="D193" i="2"/>
  <c r="R192" i="2"/>
  <c r="Q192" i="2"/>
  <c r="O192" i="2"/>
  <c r="N192" i="2"/>
  <c r="L192" i="2"/>
  <c r="K192" i="2"/>
  <c r="I192" i="2"/>
  <c r="H192" i="2"/>
  <c r="G192" i="2"/>
  <c r="E192" i="2"/>
  <c r="D192" i="2"/>
  <c r="R191" i="2"/>
  <c r="Q191" i="2"/>
  <c r="O191" i="2"/>
  <c r="N191" i="2"/>
  <c r="L191" i="2"/>
  <c r="K191" i="2"/>
  <c r="I191" i="2"/>
  <c r="H191" i="2"/>
  <c r="G191" i="2"/>
  <c r="E191" i="2"/>
  <c r="D191" i="2"/>
  <c r="R190" i="2"/>
  <c r="Q190" i="2"/>
  <c r="O190" i="2"/>
  <c r="N190" i="2"/>
  <c r="L190" i="2"/>
  <c r="K190" i="2"/>
  <c r="I190" i="2"/>
  <c r="H190" i="2"/>
  <c r="G190" i="2"/>
  <c r="E190" i="2"/>
  <c r="D190" i="2"/>
  <c r="R189" i="2"/>
  <c r="Q189" i="2"/>
  <c r="O189" i="2"/>
  <c r="N189" i="2"/>
  <c r="L189" i="2"/>
  <c r="K189" i="2"/>
  <c r="I189" i="2"/>
  <c r="H189" i="2"/>
  <c r="G189" i="2"/>
  <c r="E189" i="2"/>
  <c r="D189" i="2"/>
  <c r="R188" i="2"/>
  <c r="Q188" i="2"/>
  <c r="O188" i="2"/>
  <c r="N188" i="2"/>
  <c r="L188" i="2"/>
  <c r="K188" i="2"/>
  <c r="I188" i="2"/>
  <c r="H188" i="2"/>
  <c r="G188" i="2"/>
  <c r="E188" i="2"/>
  <c r="D188" i="2"/>
  <c r="R187" i="2"/>
  <c r="Q187" i="2"/>
  <c r="O187" i="2"/>
  <c r="N187" i="2"/>
  <c r="L187" i="2"/>
  <c r="K187" i="2"/>
  <c r="I187" i="2"/>
  <c r="H187" i="2"/>
  <c r="G187" i="2"/>
  <c r="E187" i="2"/>
  <c r="D187" i="2"/>
  <c r="R186" i="2"/>
  <c r="Q186" i="2"/>
  <c r="O186" i="2"/>
  <c r="N186" i="2"/>
  <c r="L186" i="2"/>
  <c r="K186" i="2"/>
  <c r="I186" i="2"/>
  <c r="H186" i="2"/>
  <c r="G186" i="2"/>
  <c r="E186" i="2"/>
  <c r="D186" i="2"/>
  <c r="R185" i="2"/>
  <c r="Q185" i="2"/>
  <c r="O185" i="2"/>
  <c r="N185" i="2"/>
  <c r="L185" i="2"/>
  <c r="K185" i="2"/>
  <c r="I185" i="2"/>
  <c r="H185" i="2"/>
  <c r="G185" i="2"/>
  <c r="E185" i="2"/>
  <c r="D185" i="2"/>
  <c r="R184" i="2"/>
  <c r="Q184" i="2"/>
  <c r="O184" i="2"/>
  <c r="N184" i="2"/>
  <c r="L184" i="2"/>
  <c r="K184" i="2"/>
  <c r="I184" i="2"/>
  <c r="H184" i="2"/>
  <c r="G184" i="2"/>
  <c r="E184" i="2"/>
  <c r="D184" i="2"/>
  <c r="R183" i="2"/>
  <c r="Q183" i="2"/>
  <c r="O183" i="2"/>
  <c r="N183" i="2"/>
  <c r="L183" i="2"/>
  <c r="K183" i="2"/>
  <c r="I183" i="2"/>
  <c r="H183" i="2"/>
  <c r="G183" i="2"/>
  <c r="E183" i="2"/>
  <c r="D183" i="2"/>
  <c r="R182" i="2"/>
  <c r="Q182" i="2"/>
  <c r="O182" i="2"/>
  <c r="N182" i="2"/>
  <c r="L182" i="2"/>
  <c r="K182" i="2"/>
  <c r="I182" i="2"/>
  <c r="H182" i="2"/>
  <c r="G182" i="2"/>
  <c r="E182" i="2"/>
  <c r="D182" i="2"/>
  <c r="R181" i="2"/>
  <c r="Q181" i="2"/>
  <c r="O181" i="2"/>
  <c r="N181" i="2"/>
  <c r="L181" i="2"/>
  <c r="K181" i="2"/>
  <c r="I181" i="2"/>
  <c r="H181" i="2"/>
  <c r="G181" i="2"/>
  <c r="E181" i="2"/>
  <c r="D181" i="2"/>
  <c r="R180" i="2"/>
  <c r="Q180" i="2"/>
  <c r="O180" i="2"/>
  <c r="N180" i="2"/>
  <c r="L180" i="2"/>
  <c r="K180" i="2"/>
  <c r="I180" i="2"/>
  <c r="H180" i="2"/>
  <c r="G180" i="2"/>
  <c r="E180" i="2"/>
  <c r="D180" i="2"/>
  <c r="R179" i="2"/>
  <c r="Q179" i="2"/>
  <c r="O179" i="2"/>
  <c r="N179" i="2"/>
  <c r="L179" i="2"/>
  <c r="K179" i="2"/>
  <c r="I179" i="2"/>
  <c r="H179" i="2"/>
  <c r="G179" i="2"/>
  <c r="E179" i="2"/>
  <c r="D179" i="2"/>
  <c r="R178" i="2"/>
  <c r="Q178" i="2"/>
  <c r="O178" i="2"/>
  <c r="N178" i="2"/>
  <c r="L178" i="2"/>
  <c r="K178" i="2"/>
  <c r="I178" i="2"/>
  <c r="H178" i="2"/>
  <c r="G178" i="2"/>
  <c r="E178" i="2"/>
  <c r="D178" i="2"/>
  <c r="R177" i="2"/>
  <c r="Q177" i="2"/>
  <c r="O177" i="2"/>
  <c r="N177" i="2"/>
  <c r="L177" i="2"/>
  <c r="K177" i="2"/>
  <c r="I177" i="2"/>
  <c r="H177" i="2"/>
  <c r="G177" i="2"/>
  <c r="E177" i="2"/>
  <c r="D177" i="2"/>
  <c r="R176" i="2"/>
  <c r="Q176" i="2"/>
  <c r="O176" i="2"/>
  <c r="N176" i="2"/>
  <c r="L176" i="2"/>
  <c r="K176" i="2"/>
  <c r="I176" i="2"/>
  <c r="H176" i="2"/>
  <c r="G176" i="2"/>
  <c r="E176" i="2"/>
  <c r="D176" i="2"/>
  <c r="R175" i="2"/>
  <c r="Q175" i="2"/>
  <c r="O175" i="2"/>
  <c r="N175" i="2"/>
  <c r="L175" i="2"/>
  <c r="K175" i="2"/>
  <c r="I175" i="2"/>
  <c r="H175" i="2"/>
  <c r="G175" i="2"/>
  <c r="E175" i="2"/>
  <c r="D175" i="2"/>
  <c r="R174" i="2"/>
  <c r="Q174" i="2"/>
  <c r="O174" i="2"/>
  <c r="N174" i="2"/>
  <c r="L174" i="2"/>
  <c r="K174" i="2"/>
  <c r="I174" i="2"/>
  <c r="H174" i="2"/>
  <c r="G174" i="2"/>
  <c r="E174" i="2"/>
  <c r="D174" i="2"/>
  <c r="R173" i="2"/>
  <c r="Q173" i="2"/>
  <c r="O173" i="2"/>
  <c r="N173" i="2"/>
  <c r="L173" i="2"/>
  <c r="K173" i="2"/>
  <c r="I173" i="2"/>
  <c r="H173" i="2"/>
  <c r="G173" i="2"/>
  <c r="E173" i="2"/>
  <c r="D173" i="2"/>
  <c r="R172" i="2"/>
  <c r="Q172" i="2"/>
  <c r="O172" i="2"/>
  <c r="N172" i="2"/>
  <c r="L172" i="2"/>
  <c r="K172" i="2"/>
  <c r="I172" i="2"/>
  <c r="H172" i="2"/>
  <c r="G172" i="2"/>
  <c r="E172" i="2"/>
  <c r="D172" i="2"/>
  <c r="R171" i="2"/>
  <c r="Q171" i="2"/>
  <c r="O171" i="2"/>
  <c r="N171" i="2"/>
  <c r="L171" i="2"/>
  <c r="K171" i="2"/>
  <c r="I171" i="2"/>
  <c r="H171" i="2"/>
  <c r="G171" i="2"/>
  <c r="E171" i="2"/>
  <c r="D171" i="2"/>
  <c r="R170" i="2"/>
  <c r="Q170" i="2"/>
  <c r="O170" i="2"/>
  <c r="N170" i="2"/>
  <c r="L170" i="2"/>
  <c r="K170" i="2"/>
  <c r="I170" i="2"/>
  <c r="H170" i="2"/>
  <c r="G170" i="2"/>
  <c r="E170" i="2"/>
  <c r="D170" i="2"/>
  <c r="R169" i="2"/>
  <c r="Q169" i="2"/>
  <c r="O169" i="2"/>
  <c r="N169" i="2"/>
  <c r="L169" i="2"/>
  <c r="K169" i="2"/>
  <c r="I169" i="2"/>
  <c r="H169" i="2"/>
  <c r="G169" i="2"/>
  <c r="E169" i="2"/>
  <c r="D169" i="2"/>
  <c r="R168" i="2"/>
  <c r="Q168" i="2"/>
  <c r="O168" i="2"/>
  <c r="N168" i="2"/>
  <c r="L168" i="2"/>
  <c r="K168" i="2"/>
  <c r="I168" i="2"/>
  <c r="H168" i="2"/>
  <c r="G168" i="2"/>
  <c r="E168" i="2"/>
  <c r="D168" i="2"/>
  <c r="R167" i="2"/>
  <c r="Q167" i="2"/>
  <c r="O167" i="2"/>
  <c r="N167" i="2"/>
  <c r="L167" i="2"/>
  <c r="K167" i="2"/>
  <c r="I167" i="2"/>
  <c r="H167" i="2"/>
  <c r="G167" i="2"/>
  <c r="E167" i="2"/>
  <c r="D167" i="2"/>
  <c r="R166" i="2"/>
  <c r="Q166" i="2"/>
  <c r="O166" i="2"/>
  <c r="N166" i="2"/>
  <c r="L166" i="2"/>
  <c r="K166" i="2"/>
  <c r="I166" i="2"/>
  <c r="H166" i="2"/>
  <c r="G166" i="2"/>
  <c r="E166" i="2"/>
  <c r="D166" i="2"/>
  <c r="R165" i="2"/>
  <c r="Q165" i="2"/>
  <c r="O165" i="2"/>
  <c r="N165" i="2"/>
  <c r="L165" i="2"/>
  <c r="K165" i="2"/>
  <c r="I165" i="2"/>
  <c r="H165" i="2"/>
  <c r="G165" i="2"/>
  <c r="E165" i="2"/>
  <c r="D165" i="2"/>
  <c r="R164" i="2"/>
  <c r="Q164" i="2"/>
  <c r="O164" i="2"/>
  <c r="N164" i="2"/>
  <c r="L164" i="2"/>
  <c r="K164" i="2"/>
  <c r="I164" i="2"/>
  <c r="H164" i="2"/>
  <c r="G164" i="2"/>
  <c r="E164" i="2"/>
  <c r="D164" i="2"/>
  <c r="R163" i="2"/>
  <c r="Q163" i="2"/>
  <c r="O163" i="2"/>
  <c r="N163" i="2"/>
  <c r="L163" i="2"/>
  <c r="K163" i="2"/>
  <c r="I163" i="2"/>
  <c r="H163" i="2"/>
  <c r="G163" i="2"/>
  <c r="E163" i="2"/>
  <c r="D163" i="2"/>
  <c r="R162" i="2"/>
  <c r="Q162" i="2"/>
  <c r="O162" i="2"/>
  <c r="N162" i="2"/>
  <c r="L162" i="2"/>
  <c r="K162" i="2"/>
  <c r="I162" i="2"/>
  <c r="H162" i="2"/>
  <c r="G162" i="2"/>
  <c r="E162" i="2"/>
  <c r="D162" i="2"/>
  <c r="R161" i="2"/>
  <c r="Q161" i="2"/>
  <c r="O161" i="2"/>
  <c r="N161" i="2"/>
  <c r="L161" i="2"/>
  <c r="K161" i="2"/>
  <c r="I161" i="2"/>
  <c r="H161" i="2"/>
  <c r="G161" i="2"/>
  <c r="E161" i="2"/>
  <c r="D161" i="2"/>
  <c r="R160" i="2"/>
  <c r="Q160" i="2"/>
  <c r="O160" i="2"/>
  <c r="N160" i="2"/>
  <c r="L160" i="2"/>
  <c r="K160" i="2"/>
  <c r="I160" i="2"/>
  <c r="H160" i="2"/>
  <c r="G160" i="2"/>
  <c r="E160" i="2"/>
  <c r="D160" i="2"/>
  <c r="R159" i="2"/>
  <c r="Q159" i="2"/>
  <c r="O159" i="2"/>
  <c r="N159" i="2"/>
  <c r="L159" i="2"/>
  <c r="K159" i="2"/>
  <c r="I159" i="2"/>
  <c r="H159" i="2"/>
  <c r="G159" i="2"/>
  <c r="E159" i="2"/>
  <c r="D159" i="2"/>
  <c r="R158" i="2"/>
  <c r="Q158" i="2"/>
  <c r="O158" i="2"/>
  <c r="N158" i="2"/>
  <c r="L158" i="2"/>
  <c r="K158" i="2"/>
  <c r="I158" i="2"/>
  <c r="H158" i="2"/>
  <c r="G158" i="2"/>
  <c r="E158" i="2"/>
  <c r="D158" i="2"/>
  <c r="R157" i="2"/>
  <c r="Q157" i="2"/>
  <c r="O157" i="2"/>
  <c r="N157" i="2"/>
  <c r="L157" i="2"/>
  <c r="K157" i="2"/>
  <c r="I157" i="2"/>
  <c r="H157" i="2"/>
  <c r="G157" i="2"/>
  <c r="E157" i="2"/>
  <c r="D157" i="2"/>
  <c r="R156" i="2"/>
  <c r="Q156" i="2"/>
  <c r="O156" i="2"/>
  <c r="N156" i="2"/>
  <c r="L156" i="2"/>
  <c r="K156" i="2"/>
  <c r="I156" i="2"/>
  <c r="H156" i="2"/>
  <c r="G156" i="2"/>
  <c r="E156" i="2"/>
  <c r="D156" i="2"/>
  <c r="R155" i="2"/>
  <c r="Q155" i="2"/>
  <c r="O155" i="2"/>
  <c r="N155" i="2"/>
  <c r="L155" i="2"/>
  <c r="K155" i="2"/>
  <c r="I155" i="2"/>
  <c r="H155" i="2"/>
  <c r="G155" i="2"/>
  <c r="E155" i="2"/>
  <c r="D155" i="2"/>
  <c r="R154" i="2"/>
  <c r="Q154" i="2"/>
  <c r="O154" i="2"/>
  <c r="N154" i="2"/>
  <c r="L154" i="2"/>
  <c r="K154" i="2"/>
  <c r="I154" i="2"/>
  <c r="H154" i="2"/>
  <c r="G154" i="2"/>
  <c r="E154" i="2"/>
  <c r="D154" i="2"/>
  <c r="R153" i="2"/>
  <c r="Q153" i="2"/>
  <c r="O153" i="2"/>
  <c r="N153" i="2"/>
  <c r="L153" i="2"/>
  <c r="K153" i="2"/>
  <c r="I153" i="2"/>
  <c r="H153" i="2"/>
  <c r="G153" i="2"/>
  <c r="E153" i="2"/>
  <c r="D153" i="2"/>
  <c r="R152" i="2"/>
  <c r="Q152" i="2"/>
  <c r="O152" i="2"/>
  <c r="N152" i="2"/>
  <c r="L152" i="2"/>
  <c r="K152" i="2"/>
  <c r="I152" i="2"/>
  <c r="H152" i="2"/>
  <c r="G152" i="2"/>
  <c r="E152" i="2"/>
  <c r="D152" i="2"/>
  <c r="R151" i="2"/>
  <c r="Q151" i="2"/>
  <c r="O151" i="2"/>
  <c r="N151" i="2"/>
  <c r="L151" i="2"/>
  <c r="K151" i="2"/>
  <c r="I151" i="2"/>
  <c r="H151" i="2"/>
  <c r="G151" i="2"/>
  <c r="E151" i="2"/>
  <c r="D151" i="2"/>
  <c r="R150" i="2"/>
  <c r="Q150" i="2"/>
  <c r="O150" i="2"/>
  <c r="N150" i="2"/>
  <c r="L150" i="2"/>
  <c r="K150" i="2"/>
  <c r="I150" i="2"/>
  <c r="H150" i="2"/>
  <c r="G150" i="2"/>
  <c r="E150" i="2"/>
  <c r="D150" i="2"/>
  <c r="R149" i="2"/>
  <c r="Q149" i="2"/>
  <c r="O149" i="2"/>
  <c r="N149" i="2"/>
  <c r="L149" i="2"/>
  <c r="K149" i="2"/>
  <c r="I149" i="2"/>
  <c r="H149" i="2"/>
  <c r="G149" i="2"/>
  <c r="E149" i="2"/>
  <c r="D149" i="2"/>
  <c r="R148" i="2"/>
  <c r="Q148" i="2"/>
  <c r="O148" i="2"/>
  <c r="N148" i="2"/>
  <c r="L148" i="2"/>
  <c r="K148" i="2"/>
  <c r="I148" i="2"/>
  <c r="H148" i="2"/>
  <c r="G148" i="2"/>
  <c r="E148" i="2"/>
  <c r="D148" i="2"/>
  <c r="R147" i="2"/>
  <c r="Q147" i="2"/>
  <c r="O147" i="2"/>
  <c r="N147" i="2"/>
  <c r="L147" i="2"/>
  <c r="K147" i="2"/>
  <c r="I147" i="2"/>
  <c r="H147" i="2"/>
  <c r="G147" i="2"/>
  <c r="E147" i="2"/>
  <c r="D147" i="2"/>
  <c r="R146" i="2"/>
  <c r="Q146" i="2"/>
  <c r="O146" i="2"/>
  <c r="N146" i="2"/>
  <c r="L146" i="2"/>
  <c r="K146" i="2"/>
  <c r="I146" i="2"/>
  <c r="H146" i="2"/>
  <c r="G146" i="2"/>
  <c r="E146" i="2"/>
  <c r="D146" i="2"/>
  <c r="R145" i="2"/>
  <c r="Q145" i="2"/>
  <c r="O145" i="2"/>
  <c r="N145" i="2"/>
  <c r="L145" i="2"/>
  <c r="K145" i="2"/>
  <c r="I145" i="2"/>
  <c r="H145" i="2"/>
  <c r="G145" i="2"/>
  <c r="E145" i="2"/>
  <c r="D145" i="2"/>
  <c r="R144" i="2"/>
  <c r="Q144" i="2"/>
  <c r="O144" i="2"/>
  <c r="N144" i="2"/>
  <c r="L144" i="2"/>
  <c r="K144" i="2"/>
  <c r="I144" i="2"/>
  <c r="H144" i="2"/>
  <c r="G144" i="2"/>
  <c r="E144" i="2"/>
  <c r="D144" i="2"/>
  <c r="R143" i="2"/>
  <c r="Q143" i="2"/>
  <c r="O143" i="2"/>
  <c r="N143" i="2"/>
  <c r="L143" i="2"/>
  <c r="K143" i="2"/>
  <c r="I143" i="2"/>
  <c r="H143" i="2"/>
  <c r="G143" i="2"/>
  <c r="E143" i="2"/>
  <c r="D143" i="2"/>
  <c r="R142" i="2"/>
  <c r="Q142" i="2"/>
  <c r="O142" i="2"/>
  <c r="N142" i="2"/>
  <c r="L142" i="2"/>
  <c r="K142" i="2"/>
  <c r="I142" i="2"/>
  <c r="H142" i="2"/>
  <c r="G142" i="2"/>
  <c r="E142" i="2"/>
  <c r="D142" i="2"/>
  <c r="R141" i="2"/>
  <c r="Q141" i="2"/>
  <c r="O141" i="2"/>
  <c r="N141" i="2"/>
  <c r="L141" i="2"/>
  <c r="K141" i="2"/>
  <c r="I141" i="2"/>
  <c r="H141" i="2"/>
  <c r="G141" i="2"/>
  <c r="E141" i="2"/>
  <c r="D141" i="2"/>
  <c r="R140" i="2"/>
  <c r="Q140" i="2"/>
  <c r="O140" i="2"/>
  <c r="N140" i="2"/>
  <c r="L140" i="2"/>
  <c r="K140" i="2"/>
  <c r="I140" i="2"/>
  <c r="H140" i="2"/>
  <c r="G140" i="2"/>
  <c r="E140" i="2"/>
  <c r="D140" i="2"/>
  <c r="R139" i="2"/>
  <c r="Q139" i="2"/>
  <c r="O139" i="2"/>
  <c r="N139" i="2"/>
  <c r="L139" i="2"/>
  <c r="K139" i="2"/>
  <c r="I139" i="2"/>
  <c r="H139" i="2"/>
  <c r="G139" i="2"/>
  <c r="E139" i="2"/>
  <c r="D139" i="2"/>
  <c r="R138" i="2"/>
  <c r="Q138" i="2"/>
  <c r="O138" i="2"/>
  <c r="N138" i="2"/>
  <c r="L138" i="2"/>
  <c r="K138" i="2"/>
  <c r="I138" i="2"/>
  <c r="H138" i="2"/>
  <c r="G138" i="2"/>
  <c r="E138" i="2"/>
  <c r="D138" i="2"/>
  <c r="R137" i="2"/>
  <c r="Q137" i="2"/>
  <c r="O137" i="2"/>
  <c r="N137" i="2"/>
  <c r="L137" i="2"/>
  <c r="K137" i="2"/>
  <c r="I137" i="2"/>
  <c r="H137" i="2"/>
  <c r="G137" i="2"/>
  <c r="E137" i="2"/>
  <c r="D137" i="2"/>
  <c r="R136" i="2"/>
  <c r="Q136" i="2"/>
  <c r="O136" i="2"/>
  <c r="N136" i="2"/>
  <c r="L136" i="2"/>
  <c r="K136" i="2"/>
  <c r="I136" i="2"/>
  <c r="H136" i="2"/>
  <c r="G136" i="2"/>
  <c r="E136" i="2"/>
  <c r="D136" i="2"/>
  <c r="R135" i="2"/>
  <c r="Q135" i="2"/>
  <c r="O135" i="2"/>
  <c r="N135" i="2"/>
  <c r="L135" i="2"/>
  <c r="K135" i="2"/>
  <c r="I135" i="2"/>
  <c r="H135" i="2"/>
  <c r="G135" i="2"/>
  <c r="E135" i="2"/>
  <c r="D135" i="2"/>
  <c r="R134" i="2"/>
  <c r="Q134" i="2"/>
  <c r="O134" i="2"/>
  <c r="N134" i="2"/>
  <c r="L134" i="2"/>
  <c r="K134" i="2"/>
  <c r="I134" i="2"/>
  <c r="H134" i="2"/>
  <c r="G134" i="2"/>
  <c r="E134" i="2"/>
  <c r="D134" i="2"/>
  <c r="R133" i="2"/>
  <c r="Q133" i="2"/>
  <c r="O133" i="2"/>
  <c r="N133" i="2"/>
  <c r="L133" i="2"/>
  <c r="K133" i="2"/>
  <c r="I133" i="2"/>
  <c r="H133" i="2"/>
  <c r="G133" i="2"/>
  <c r="E133" i="2"/>
  <c r="D133" i="2"/>
  <c r="R132" i="2"/>
  <c r="Q132" i="2"/>
  <c r="O132" i="2"/>
  <c r="N132" i="2"/>
  <c r="L132" i="2"/>
  <c r="K132" i="2"/>
  <c r="I132" i="2"/>
  <c r="H132" i="2"/>
  <c r="G132" i="2"/>
  <c r="E132" i="2"/>
  <c r="D132" i="2"/>
  <c r="R131" i="2"/>
  <c r="Q131" i="2"/>
  <c r="O131" i="2"/>
  <c r="N131" i="2"/>
  <c r="L131" i="2"/>
  <c r="K131" i="2"/>
  <c r="I131" i="2"/>
  <c r="H131" i="2"/>
  <c r="G131" i="2"/>
  <c r="E131" i="2"/>
  <c r="D131" i="2"/>
  <c r="R130" i="2"/>
  <c r="Q130" i="2"/>
  <c r="O130" i="2"/>
  <c r="N130" i="2"/>
  <c r="L130" i="2"/>
  <c r="K130" i="2"/>
  <c r="I130" i="2"/>
  <c r="H130" i="2"/>
  <c r="G130" i="2"/>
  <c r="E130" i="2"/>
  <c r="D130" i="2"/>
  <c r="R129" i="2"/>
  <c r="Q129" i="2"/>
  <c r="O129" i="2"/>
  <c r="N129" i="2"/>
  <c r="L129" i="2"/>
  <c r="K129" i="2"/>
  <c r="I129" i="2"/>
  <c r="H129" i="2"/>
  <c r="G129" i="2"/>
  <c r="E129" i="2"/>
  <c r="D129" i="2"/>
  <c r="R128" i="2"/>
  <c r="Q128" i="2"/>
  <c r="O128" i="2"/>
  <c r="N128" i="2"/>
  <c r="L128" i="2"/>
  <c r="K128" i="2"/>
  <c r="I128" i="2"/>
  <c r="H128" i="2"/>
  <c r="G128" i="2"/>
  <c r="E128" i="2"/>
  <c r="D128" i="2"/>
  <c r="R127" i="2"/>
  <c r="Q127" i="2"/>
  <c r="O127" i="2"/>
  <c r="N127" i="2"/>
  <c r="L127" i="2"/>
  <c r="K127" i="2"/>
  <c r="I127" i="2"/>
  <c r="H127" i="2"/>
  <c r="G127" i="2"/>
  <c r="E127" i="2"/>
  <c r="D127" i="2"/>
  <c r="R126" i="2"/>
  <c r="Q126" i="2"/>
  <c r="O126" i="2"/>
  <c r="N126" i="2"/>
  <c r="L126" i="2"/>
  <c r="K126" i="2"/>
  <c r="I126" i="2"/>
  <c r="H126" i="2"/>
  <c r="G126" i="2"/>
  <c r="E126" i="2"/>
  <c r="D126" i="2"/>
  <c r="R125" i="2"/>
  <c r="Q125" i="2"/>
  <c r="O125" i="2"/>
  <c r="N125" i="2"/>
  <c r="L125" i="2"/>
  <c r="K125" i="2"/>
  <c r="I125" i="2"/>
  <c r="H125" i="2"/>
  <c r="G125" i="2"/>
  <c r="E125" i="2"/>
  <c r="D125" i="2"/>
  <c r="R124" i="2"/>
  <c r="Q124" i="2"/>
  <c r="O124" i="2"/>
  <c r="N124" i="2"/>
  <c r="L124" i="2"/>
  <c r="K124" i="2"/>
  <c r="I124" i="2"/>
  <c r="H124" i="2"/>
  <c r="G124" i="2"/>
  <c r="E124" i="2"/>
  <c r="D124" i="2"/>
  <c r="R123" i="2"/>
  <c r="Q123" i="2"/>
  <c r="O123" i="2"/>
  <c r="N123" i="2"/>
  <c r="L123" i="2"/>
  <c r="K123" i="2"/>
  <c r="I123" i="2"/>
  <c r="H123" i="2"/>
  <c r="G123" i="2"/>
  <c r="E123" i="2"/>
  <c r="D123" i="2"/>
  <c r="R122" i="2"/>
  <c r="Q122" i="2"/>
  <c r="O122" i="2"/>
  <c r="N122" i="2"/>
  <c r="L122" i="2"/>
  <c r="K122" i="2"/>
  <c r="I122" i="2"/>
  <c r="H122" i="2"/>
  <c r="G122" i="2"/>
  <c r="E122" i="2"/>
  <c r="D122" i="2"/>
  <c r="R121" i="2"/>
  <c r="Q121" i="2"/>
  <c r="O121" i="2"/>
  <c r="N121" i="2"/>
  <c r="L121" i="2"/>
  <c r="K121" i="2"/>
  <c r="I121" i="2"/>
  <c r="H121" i="2"/>
  <c r="G121" i="2"/>
  <c r="E121" i="2"/>
  <c r="D121" i="2"/>
  <c r="R120" i="2"/>
  <c r="Q120" i="2"/>
  <c r="O120" i="2"/>
  <c r="N120" i="2"/>
  <c r="L120" i="2"/>
  <c r="K120" i="2"/>
  <c r="I120" i="2"/>
  <c r="H120" i="2"/>
  <c r="G120" i="2"/>
  <c r="E120" i="2"/>
  <c r="D120" i="2"/>
  <c r="R119" i="2"/>
  <c r="Q119" i="2"/>
  <c r="O119" i="2"/>
  <c r="N119" i="2"/>
  <c r="L119" i="2"/>
  <c r="K119" i="2"/>
  <c r="I119" i="2"/>
  <c r="H119" i="2"/>
  <c r="G119" i="2"/>
  <c r="E119" i="2"/>
  <c r="D119" i="2"/>
  <c r="R118" i="2"/>
  <c r="Q118" i="2"/>
  <c r="O118" i="2"/>
  <c r="N118" i="2"/>
  <c r="L118" i="2"/>
  <c r="K118" i="2"/>
  <c r="I118" i="2"/>
  <c r="H118" i="2"/>
  <c r="G118" i="2"/>
  <c r="E118" i="2"/>
  <c r="D118" i="2"/>
  <c r="R117" i="2"/>
  <c r="Q117" i="2"/>
  <c r="O117" i="2"/>
  <c r="N117" i="2"/>
  <c r="L117" i="2"/>
  <c r="K117" i="2"/>
  <c r="I117" i="2"/>
  <c r="H117" i="2"/>
  <c r="G117" i="2"/>
  <c r="E117" i="2"/>
  <c r="D117" i="2"/>
  <c r="R116" i="2"/>
  <c r="Q116" i="2"/>
  <c r="O116" i="2"/>
  <c r="N116" i="2"/>
  <c r="L116" i="2"/>
  <c r="K116" i="2"/>
  <c r="I116" i="2"/>
  <c r="H116" i="2"/>
  <c r="G116" i="2"/>
  <c r="E116" i="2"/>
  <c r="D116" i="2"/>
  <c r="R115" i="2"/>
  <c r="Q115" i="2"/>
  <c r="O115" i="2"/>
  <c r="N115" i="2"/>
  <c r="L115" i="2"/>
  <c r="K115" i="2"/>
  <c r="I115" i="2"/>
  <c r="H115" i="2"/>
  <c r="G115" i="2"/>
  <c r="E115" i="2"/>
  <c r="D115" i="2"/>
  <c r="R114" i="2"/>
  <c r="Q114" i="2"/>
  <c r="O114" i="2"/>
  <c r="N114" i="2"/>
  <c r="L114" i="2"/>
  <c r="K114" i="2"/>
  <c r="I114" i="2"/>
  <c r="H114" i="2"/>
  <c r="G114" i="2"/>
  <c r="E114" i="2"/>
  <c r="D114" i="2"/>
  <c r="R113" i="2"/>
  <c r="Q113" i="2"/>
  <c r="O113" i="2"/>
  <c r="N113" i="2"/>
  <c r="L113" i="2"/>
  <c r="K113" i="2"/>
  <c r="I113" i="2"/>
  <c r="H113" i="2"/>
  <c r="G113" i="2"/>
  <c r="E113" i="2"/>
  <c r="D113" i="2"/>
  <c r="R112" i="2"/>
  <c r="Q112" i="2"/>
  <c r="O112" i="2"/>
  <c r="N112" i="2"/>
  <c r="L112" i="2"/>
  <c r="K112" i="2"/>
  <c r="I112" i="2"/>
  <c r="H112" i="2"/>
  <c r="G112" i="2"/>
  <c r="E112" i="2"/>
  <c r="D112" i="2"/>
  <c r="R111" i="2"/>
  <c r="Q111" i="2"/>
  <c r="O111" i="2"/>
  <c r="N111" i="2"/>
  <c r="L111" i="2"/>
  <c r="K111" i="2"/>
  <c r="I111" i="2"/>
  <c r="H111" i="2"/>
  <c r="G111" i="2"/>
  <c r="E111" i="2"/>
  <c r="D111" i="2"/>
  <c r="R110" i="2"/>
  <c r="Q110" i="2"/>
  <c r="O110" i="2"/>
  <c r="N110" i="2"/>
  <c r="L110" i="2"/>
  <c r="K110" i="2"/>
  <c r="I110" i="2"/>
  <c r="H110" i="2"/>
  <c r="G110" i="2"/>
  <c r="E110" i="2"/>
  <c r="D110" i="2"/>
  <c r="R109" i="2"/>
  <c r="Q109" i="2"/>
  <c r="O109" i="2"/>
  <c r="N109" i="2"/>
  <c r="L109" i="2"/>
  <c r="K109" i="2"/>
  <c r="I109" i="2"/>
  <c r="H109" i="2"/>
  <c r="G109" i="2"/>
  <c r="E109" i="2"/>
  <c r="D109" i="2"/>
  <c r="R108" i="2"/>
  <c r="Q108" i="2"/>
  <c r="O108" i="2"/>
  <c r="N108" i="2"/>
  <c r="L108" i="2"/>
  <c r="K108" i="2"/>
  <c r="I108" i="2"/>
  <c r="H108" i="2"/>
  <c r="G108" i="2"/>
  <c r="E108" i="2"/>
  <c r="D108" i="2"/>
  <c r="R107" i="2"/>
  <c r="Q107" i="2"/>
  <c r="O107" i="2"/>
  <c r="N107" i="2"/>
  <c r="L107" i="2"/>
  <c r="K107" i="2"/>
  <c r="I107" i="2"/>
  <c r="H107" i="2"/>
  <c r="G107" i="2"/>
  <c r="E107" i="2"/>
  <c r="D107" i="2"/>
  <c r="R106" i="2"/>
  <c r="Q106" i="2"/>
  <c r="O106" i="2"/>
  <c r="N106" i="2"/>
  <c r="L106" i="2"/>
  <c r="K106" i="2"/>
  <c r="I106" i="2"/>
  <c r="H106" i="2"/>
  <c r="G106" i="2"/>
  <c r="E106" i="2"/>
  <c r="D106" i="2"/>
  <c r="R105" i="2"/>
  <c r="Q105" i="2"/>
  <c r="O105" i="2"/>
  <c r="N105" i="2"/>
  <c r="L105" i="2"/>
  <c r="K105" i="2"/>
  <c r="I105" i="2"/>
  <c r="H105" i="2"/>
  <c r="G105" i="2"/>
  <c r="E105" i="2"/>
  <c r="D105" i="2"/>
  <c r="R104" i="2"/>
  <c r="Q104" i="2"/>
  <c r="O104" i="2"/>
  <c r="N104" i="2"/>
  <c r="L104" i="2"/>
  <c r="K104" i="2"/>
  <c r="I104" i="2"/>
  <c r="H104" i="2"/>
  <c r="G104" i="2"/>
  <c r="E104" i="2"/>
  <c r="D104" i="2"/>
  <c r="R103" i="2"/>
  <c r="Q103" i="2"/>
  <c r="O103" i="2"/>
  <c r="N103" i="2"/>
  <c r="L103" i="2"/>
  <c r="K103" i="2"/>
  <c r="I103" i="2"/>
  <c r="H103" i="2"/>
  <c r="G103" i="2"/>
  <c r="E103" i="2"/>
  <c r="D103" i="2"/>
  <c r="R102" i="2"/>
  <c r="Q102" i="2"/>
  <c r="O102" i="2"/>
  <c r="N102" i="2"/>
  <c r="L102" i="2"/>
  <c r="K102" i="2"/>
  <c r="I102" i="2"/>
  <c r="H102" i="2"/>
  <c r="G102" i="2"/>
  <c r="E102" i="2"/>
  <c r="D102" i="2"/>
  <c r="R101" i="2"/>
  <c r="Q101" i="2"/>
  <c r="O101" i="2"/>
  <c r="N101" i="2"/>
  <c r="L101" i="2"/>
  <c r="K101" i="2"/>
  <c r="I101" i="2"/>
  <c r="H101" i="2"/>
  <c r="G101" i="2"/>
  <c r="E101" i="2"/>
  <c r="D101" i="2"/>
  <c r="R100" i="2"/>
  <c r="Q100" i="2"/>
  <c r="O100" i="2"/>
  <c r="N100" i="2"/>
  <c r="L100" i="2"/>
  <c r="K100" i="2"/>
  <c r="I100" i="2"/>
  <c r="H100" i="2"/>
  <c r="G100" i="2"/>
  <c r="E100" i="2"/>
  <c r="D100" i="2"/>
  <c r="R99" i="2"/>
  <c r="Q99" i="2"/>
  <c r="O99" i="2"/>
  <c r="N99" i="2"/>
  <c r="L99" i="2"/>
  <c r="K99" i="2"/>
  <c r="I99" i="2"/>
  <c r="H99" i="2"/>
  <c r="G99" i="2"/>
  <c r="E99" i="2"/>
  <c r="D99" i="2"/>
  <c r="R98" i="2"/>
  <c r="Q98" i="2"/>
  <c r="O98" i="2"/>
  <c r="N98" i="2"/>
  <c r="L98" i="2"/>
  <c r="K98" i="2"/>
  <c r="I98" i="2"/>
  <c r="H98" i="2"/>
  <c r="G98" i="2"/>
  <c r="E98" i="2"/>
  <c r="D98" i="2"/>
  <c r="R97" i="2"/>
  <c r="Q97" i="2"/>
  <c r="O97" i="2"/>
  <c r="N97" i="2"/>
  <c r="L97" i="2"/>
  <c r="K97" i="2"/>
  <c r="I97" i="2"/>
  <c r="H97" i="2"/>
  <c r="G97" i="2"/>
  <c r="E97" i="2"/>
  <c r="D97" i="2"/>
  <c r="R96" i="2"/>
  <c r="Q96" i="2"/>
  <c r="O96" i="2"/>
  <c r="N96" i="2"/>
  <c r="L96" i="2"/>
  <c r="K96" i="2"/>
  <c r="I96" i="2"/>
  <c r="H96" i="2"/>
  <c r="G96" i="2"/>
  <c r="E96" i="2"/>
  <c r="D96" i="2"/>
  <c r="R95" i="2"/>
  <c r="Q95" i="2"/>
  <c r="O95" i="2"/>
  <c r="N95" i="2"/>
  <c r="L95" i="2"/>
  <c r="K95" i="2"/>
  <c r="I95" i="2"/>
  <c r="H95" i="2"/>
  <c r="G95" i="2"/>
  <c r="E95" i="2"/>
  <c r="D95" i="2"/>
  <c r="R94" i="2"/>
  <c r="Q94" i="2"/>
  <c r="O94" i="2"/>
  <c r="N94" i="2"/>
  <c r="L94" i="2"/>
  <c r="K94" i="2"/>
  <c r="I94" i="2"/>
  <c r="H94" i="2"/>
  <c r="G94" i="2"/>
  <c r="E94" i="2"/>
  <c r="D94" i="2"/>
  <c r="R93" i="2"/>
  <c r="Q93" i="2"/>
  <c r="O93" i="2"/>
  <c r="N93" i="2"/>
  <c r="L93" i="2"/>
  <c r="K93" i="2"/>
  <c r="I93" i="2"/>
  <c r="H93" i="2"/>
  <c r="G93" i="2"/>
  <c r="E93" i="2"/>
  <c r="D93" i="2"/>
  <c r="R92" i="2"/>
  <c r="Q92" i="2"/>
  <c r="O92" i="2"/>
  <c r="N92" i="2"/>
  <c r="L92" i="2"/>
  <c r="K92" i="2"/>
  <c r="I92" i="2"/>
  <c r="H92" i="2"/>
  <c r="G92" i="2"/>
  <c r="E92" i="2"/>
  <c r="D92" i="2"/>
  <c r="R91" i="2"/>
  <c r="Q91" i="2"/>
  <c r="O91" i="2"/>
  <c r="N91" i="2"/>
  <c r="L91" i="2"/>
  <c r="K91" i="2"/>
  <c r="I91" i="2"/>
  <c r="H91" i="2"/>
  <c r="G91" i="2"/>
  <c r="E91" i="2"/>
  <c r="D91" i="2"/>
  <c r="R90" i="2"/>
  <c r="Q90" i="2"/>
  <c r="O90" i="2"/>
  <c r="N90" i="2"/>
  <c r="L90" i="2"/>
  <c r="K90" i="2"/>
  <c r="I90" i="2"/>
  <c r="H90" i="2"/>
  <c r="G90" i="2"/>
  <c r="E90" i="2"/>
  <c r="D90" i="2"/>
  <c r="R89" i="2"/>
  <c r="Q89" i="2"/>
  <c r="O89" i="2"/>
  <c r="N89" i="2"/>
  <c r="L89" i="2"/>
  <c r="K89" i="2"/>
  <c r="I89" i="2"/>
  <c r="H89" i="2"/>
  <c r="G89" i="2"/>
  <c r="E89" i="2"/>
  <c r="D89" i="2"/>
  <c r="R88" i="2"/>
  <c r="Q88" i="2"/>
  <c r="O88" i="2"/>
  <c r="N88" i="2"/>
  <c r="L88" i="2"/>
  <c r="K88" i="2"/>
  <c r="I88" i="2"/>
  <c r="H88" i="2"/>
  <c r="G88" i="2"/>
  <c r="E88" i="2"/>
  <c r="D88" i="2"/>
  <c r="R87" i="2"/>
  <c r="Q87" i="2"/>
  <c r="O87" i="2"/>
  <c r="N87" i="2"/>
  <c r="L87" i="2"/>
  <c r="K87" i="2"/>
  <c r="I87" i="2"/>
  <c r="H87" i="2"/>
  <c r="G87" i="2"/>
  <c r="E87" i="2"/>
  <c r="D87" i="2"/>
  <c r="R86" i="2"/>
  <c r="Q86" i="2"/>
  <c r="O86" i="2"/>
  <c r="N86" i="2"/>
  <c r="L86" i="2"/>
  <c r="K86" i="2"/>
  <c r="I86" i="2"/>
  <c r="H86" i="2"/>
  <c r="G86" i="2"/>
  <c r="E86" i="2"/>
  <c r="D86" i="2"/>
  <c r="R85" i="2"/>
  <c r="Q85" i="2"/>
  <c r="O85" i="2"/>
  <c r="N85" i="2"/>
  <c r="L85" i="2"/>
  <c r="K85" i="2"/>
  <c r="I85" i="2"/>
  <c r="H85" i="2"/>
  <c r="G85" i="2"/>
  <c r="E85" i="2"/>
  <c r="D85" i="2"/>
  <c r="R84" i="2"/>
  <c r="Q84" i="2"/>
  <c r="O84" i="2"/>
  <c r="N84" i="2"/>
  <c r="L84" i="2"/>
  <c r="K84" i="2"/>
  <c r="I84" i="2"/>
  <c r="H84" i="2"/>
  <c r="G84" i="2"/>
  <c r="E84" i="2"/>
  <c r="D84" i="2"/>
  <c r="R83" i="2"/>
  <c r="Q83" i="2"/>
  <c r="O83" i="2"/>
  <c r="N83" i="2"/>
  <c r="L83" i="2"/>
  <c r="K83" i="2"/>
  <c r="I83" i="2"/>
  <c r="H83" i="2"/>
  <c r="G83" i="2"/>
  <c r="E83" i="2"/>
  <c r="D83" i="2"/>
  <c r="R82" i="2"/>
  <c r="Q82" i="2"/>
  <c r="O82" i="2"/>
  <c r="N82" i="2"/>
  <c r="L82" i="2"/>
  <c r="K82" i="2"/>
  <c r="I82" i="2"/>
  <c r="H82" i="2"/>
  <c r="G82" i="2"/>
  <c r="E82" i="2"/>
  <c r="D82" i="2"/>
  <c r="R81" i="2"/>
  <c r="Q81" i="2"/>
  <c r="O81" i="2"/>
  <c r="N81" i="2"/>
  <c r="L81" i="2"/>
  <c r="K81" i="2"/>
  <c r="I81" i="2"/>
  <c r="H81" i="2"/>
  <c r="G81" i="2"/>
  <c r="E81" i="2"/>
  <c r="D81" i="2"/>
  <c r="R80" i="2"/>
  <c r="Q80" i="2"/>
  <c r="O80" i="2"/>
  <c r="N80" i="2"/>
  <c r="L80" i="2"/>
  <c r="K80" i="2"/>
  <c r="I80" i="2"/>
  <c r="H80" i="2"/>
  <c r="G80" i="2"/>
  <c r="E80" i="2"/>
  <c r="D80" i="2"/>
  <c r="R79" i="2"/>
  <c r="Q79" i="2"/>
  <c r="O79" i="2"/>
  <c r="N79" i="2"/>
  <c r="L79" i="2"/>
  <c r="K79" i="2"/>
  <c r="I79" i="2"/>
  <c r="H79" i="2"/>
  <c r="G79" i="2"/>
  <c r="E79" i="2"/>
  <c r="D79" i="2"/>
  <c r="R78" i="2"/>
  <c r="Q78" i="2"/>
  <c r="O78" i="2"/>
  <c r="N78" i="2"/>
  <c r="L78" i="2"/>
  <c r="K78" i="2"/>
  <c r="I78" i="2"/>
  <c r="H78" i="2"/>
  <c r="G78" i="2"/>
  <c r="E78" i="2"/>
  <c r="D78" i="2"/>
  <c r="R77" i="2"/>
  <c r="Q77" i="2"/>
  <c r="O77" i="2"/>
  <c r="N77" i="2"/>
  <c r="L77" i="2"/>
  <c r="K77" i="2"/>
  <c r="I77" i="2"/>
  <c r="H77" i="2"/>
  <c r="G77" i="2"/>
  <c r="E77" i="2"/>
  <c r="D77" i="2"/>
  <c r="R76" i="2"/>
  <c r="Q76" i="2"/>
  <c r="O76" i="2"/>
  <c r="N76" i="2"/>
  <c r="L76" i="2"/>
  <c r="K76" i="2"/>
  <c r="I76" i="2"/>
  <c r="H76" i="2"/>
  <c r="G76" i="2"/>
  <c r="E76" i="2"/>
  <c r="D76" i="2"/>
  <c r="R75" i="2"/>
  <c r="Q75" i="2"/>
  <c r="O75" i="2"/>
  <c r="N75" i="2"/>
  <c r="L75" i="2"/>
  <c r="K75" i="2"/>
  <c r="I75" i="2"/>
  <c r="H75" i="2"/>
  <c r="G75" i="2"/>
  <c r="E75" i="2"/>
  <c r="D75" i="2"/>
  <c r="R74" i="2"/>
  <c r="Q74" i="2"/>
  <c r="O74" i="2"/>
  <c r="N74" i="2"/>
  <c r="L74" i="2"/>
  <c r="K74" i="2"/>
  <c r="I74" i="2"/>
  <c r="H74" i="2"/>
  <c r="G74" i="2"/>
  <c r="E74" i="2"/>
  <c r="D74" i="2"/>
  <c r="R73" i="2"/>
  <c r="Q73" i="2"/>
  <c r="O73" i="2"/>
  <c r="N73" i="2"/>
  <c r="L73" i="2"/>
  <c r="K73" i="2"/>
  <c r="I73" i="2"/>
  <c r="H73" i="2"/>
  <c r="G73" i="2"/>
  <c r="E73" i="2"/>
  <c r="D73" i="2"/>
  <c r="R72" i="2"/>
  <c r="Q72" i="2"/>
  <c r="O72" i="2"/>
  <c r="N72" i="2"/>
  <c r="L72" i="2"/>
  <c r="K72" i="2"/>
  <c r="I72" i="2"/>
  <c r="H72" i="2"/>
  <c r="G72" i="2"/>
  <c r="E72" i="2"/>
  <c r="D72" i="2"/>
  <c r="R71" i="2"/>
  <c r="Q71" i="2"/>
  <c r="O71" i="2"/>
  <c r="N71" i="2"/>
  <c r="L71" i="2"/>
  <c r="K71" i="2"/>
  <c r="I71" i="2"/>
  <c r="H71" i="2"/>
  <c r="G71" i="2"/>
  <c r="E71" i="2"/>
  <c r="D71" i="2"/>
  <c r="R70" i="2"/>
  <c r="Q70" i="2"/>
  <c r="O70" i="2"/>
  <c r="N70" i="2"/>
  <c r="L70" i="2"/>
  <c r="K70" i="2"/>
  <c r="I70" i="2"/>
  <c r="H70" i="2"/>
  <c r="G70" i="2"/>
  <c r="E70" i="2"/>
  <c r="D70" i="2"/>
  <c r="R69" i="2"/>
  <c r="Q69" i="2"/>
  <c r="O69" i="2"/>
  <c r="N69" i="2"/>
  <c r="L69" i="2"/>
  <c r="K69" i="2"/>
  <c r="I69" i="2"/>
  <c r="H69" i="2"/>
  <c r="G69" i="2"/>
  <c r="E69" i="2"/>
  <c r="D69" i="2"/>
  <c r="R68" i="2"/>
  <c r="Q68" i="2"/>
  <c r="O68" i="2"/>
  <c r="N68" i="2"/>
  <c r="L68" i="2"/>
  <c r="K68" i="2"/>
  <c r="I68" i="2"/>
  <c r="H68" i="2"/>
  <c r="G68" i="2"/>
  <c r="E68" i="2"/>
  <c r="D68" i="2"/>
  <c r="R67" i="2"/>
  <c r="Q67" i="2"/>
  <c r="O67" i="2"/>
  <c r="N67" i="2"/>
  <c r="L67" i="2"/>
  <c r="K67" i="2"/>
  <c r="I67" i="2"/>
  <c r="H67" i="2"/>
  <c r="G67" i="2"/>
  <c r="E67" i="2"/>
  <c r="D67" i="2"/>
  <c r="R66" i="2"/>
  <c r="Q66" i="2"/>
  <c r="O66" i="2"/>
  <c r="N66" i="2"/>
  <c r="L66" i="2"/>
  <c r="K66" i="2"/>
  <c r="I66" i="2"/>
  <c r="H66" i="2"/>
  <c r="G66" i="2"/>
  <c r="E66" i="2"/>
  <c r="D66" i="2"/>
  <c r="R65" i="2"/>
  <c r="Q65" i="2"/>
  <c r="O65" i="2"/>
  <c r="N65" i="2"/>
  <c r="L65" i="2"/>
  <c r="K65" i="2"/>
  <c r="I65" i="2"/>
  <c r="H65" i="2"/>
  <c r="G65" i="2"/>
  <c r="E65" i="2"/>
  <c r="D65" i="2"/>
  <c r="R64" i="2"/>
  <c r="Q64" i="2"/>
  <c r="O64" i="2"/>
  <c r="N64" i="2"/>
  <c r="L64" i="2"/>
  <c r="K64" i="2"/>
  <c r="I64" i="2"/>
  <c r="H64" i="2"/>
  <c r="G64" i="2"/>
  <c r="E64" i="2"/>
  <c r="D64" i="2"/>
  <c r="R63" i="2"/>
  <c r="Q63" i="2"/>
  <c r="O63" i="2"/>
  <c r="N63" i="2"/>
  <c r="L63" i="2"/>
  <c r="K63" i="2"/>
  <c r="I63" i="2"/>
  <c r="H63" i="2"/>
  <c r="G63" i="2"/>
  <c r="E63" i="2"/>
  <c r="D63" i="2"/>
  <c r="R62" i="2"/>
  <c r="Q62" i="2"/>
  <c r="O62" i="2"/>
  <c r="N62" i="2"/>
  <c r="L62" i="2"/>
  <c r="K62" i="2"/>
  <c r="I62" i="2"/>
  <c r="H62" i="2"/>
  <c r="G62" i="2"/>
  <c r="E62" i="2"/>
  <c r="D62" i="2"/>
  <c r="R61" i="2"/>
  <c r="Q61" i="2"/>
  <c r="O61" i="2"/>
  <c r="N61" i="2"/>
  <c r="L61" i="2"/>
  <c r="K61" i="2"/>
  <c r="I61" i="2"/>
  <c r="H61" i="2"/>
  <c r="G61" i="2"/>
  <c r="E61" i="2"/>
  <c r="D61" i="2"/>
  <c r="R60" i="2"/>
  <c r="Q60" i="2"/>
  <c r="O60" i="2"/>
  <c r="N60" i="2"/>
  <c r="L60" i="2"/>
  <c r="K60" i="2"/>
  <c r="I60" i="2"/>
  <c r="H60" i="2"/>
  <c r="G60" i="2"/>
  <c r="E60" i="2"/>
  <c r="D60" i="2"/>
  <c r="R59" i="2"/>
  <c r="Q59" i="2"/>
  <c r="O59" i="2"/>
  <c r="N59" i="2"/>
  <c r="L59" i="2"/>
  <c r="K59" i="2"/>
  <c r="I59" i="2"/>
  <c r="H59" i="2"/>
  <c r="G59" i="2"/>
  <c r="E59" i="2"/>
  <c r="D59" i="2"/>
  <c r="R58" i="2"/>
  <c r="Q58" i="2"/>
  <c r="O58" i="2"/>
  <c r="N58" i="2"/>
  <c r="L58" i="2"/>
  <c r="K58" i="2"/>
  <c r="I58" i="2"/>
  <c r="H58" i="2"/>
  <c r="G58" i="2"/>
  <c r="E58" i="2"/>
  <c r="D58" i="2"/>
  <c r="R57" i="2"/>
  <c r="Q57" i="2"/>
  <c r="O57" i="2"/>
  <c r="N57" i="2"/>
  <c r="L57" i="2"/>
  <c r="K57" i="2"/>
  <c r="I57" i="2"/>
  <c r="H57" i="2"/>
  <c r="G57" i="2"/>
  <c r="E57" i="2"/>
  <c r="D57" i="2"/>
  <c r="R56" i="2"/>
  <c r="Q56" i="2"/>
  <c r="O56" i="2"/>
  <c r="N56" i="2"/>
  <c r="L56" i="2"/>
  <c r="K56" i="2"/>
  <c r="I56" i="2"/>
  <c r="H56" i="2"/>
  <c r="G56" i="2"/>
  <c r="E56" i="2"/>
  <c r="D56" i="2"/>
  <c r="R55" i="2"/>
  <c r="Q55" i="2"/>
  <c r="O55" i="2"/>
  <c r="N55" i="2"/>
  <c r="L55" i="2"/>
  <c r="K55" i="2"/>
  <c r="I55" i="2"/>
  <c r="H55" i="2"/>
  <c r="G55" i="2"/>
  <c r="E55" i="2"/>
  <c r="D55" i="2"/>
  <c r="R54" i="2"/>
  <c r="Q54" i="2"/>
  <c r="O54" i="2"/>
  <c r="N54" i="2"/>
  <c r="L54" i="2"/>
  <c r="K54" i="2"/>
  <c r="I54" i="2"/>
  <c r="H54" i="2"/>
  <c r="G54" i="2"/>
  <c r="E54" i="2"/>
  <c r="D54" i="2"/>
  <c r="R53" i="2"/>
  <c r="Q53" i="2"/>
  <c r="O53" i="2"/>
  <c r="N53" i="2"/>
  <c r="L53" i="2"/>
  <c r="K53" i="2"/>
  <c r="I53" i="2"/>
  <c r="H53" i="2"/>
  <c r="G53" i="2"/>
  <c r="E53" i="2"/>
  <c r="D53" i="2"/>
  <c r="R52" i="2"/>
  <c r="Q52" i="2"/>
  <c r="O52" i="2"/>
  <c r="N52" i="2"/>
  <c r="L52" i="2"/>
  <c r="K52" i="2"/>
  <c r="I52" i="2"/>
  <c r="H52" i="2"/>
  <c r="G52" i="2"/>
  <c r="E52" i="2"/>
  <c r="D52" i="2"/>
  <c r="R51" i="2"/>
  <c r="Q51" i="2"/>
  <c r="O51" i="2"/>
  <c r="N51" i="2"/>
  <c r="L51" i="2"/>
  <c r="K51" i="2"/>
  <c r="I51" i="2"/>
  <c r="H51" i="2"/>
  <c r="G51" i="2"/>
  <c r="E51" i="2"/>
  <c r="D51" i="2"/>
  <c r="R50" i="2"/>
  <c r="Q50" i="2"/>
  <c r="O50" i="2"/>
  <c r="N50" i="2"/>
  <c r="L50" i="2"/>
  <c r="K50" i="2"/>
  <c r="I50" i="2"/>
  <c r="H50" i="2"/>
  <c r="G50" i="2"/>
  <c r="E50" i="2"/>
  <c r="D50" i="2"/>
  <c r="R49" i="2"/>
  <c r="Q49" i="2"/>
  <c r="O49" i="2"/>
  <c r="N49" i="2"/>
  <c r="L49" i="2"/>
  <c r="K49" i="2"/>
  <c r="I49" i="2"/>
  <c r="H49" i="2"/>
  <c r="G49" i="2"/>
  <c r="E49" i="2"/>
  <c r="D49" i="2"/>
  <c r="R48" i="2"/>
  <c r="Q48" i="2"/>
  <c r="O48" i="2"/>
  <c r="N48" i="2"/>
  <c r="L48" i="2"/>
  <c r="K48" i="2"/>
  <c r="I48" i="2"/>
  <c r="H48" i="2"/>
  <c r="G48" i="2"/>
  <c r="E48" i="2"/>
  <c r="D48" i="2"/>
  <c r="R47" i="2"/>
  <c r="Q47" i="2"/>
  <c r="O47" i="2"/>
  <c r="N47" i="2"/>
  <c r="L47" i="2"/>
  <c r="K47" i="2"/>
  <c r="I47" i="2"/>
  <c r="H47" i="2"/>
  <c r="G47" i="2"/>
  <c r="E47" i="2"/>
  <c r="D47" i="2"/>
  <c r="R46" i="2"/>
  <c r="Q46" i="2"/>
  <c r="O46" i="2"/>
  <c r="N46" i="2"/>
  <c r="L46" i="2"/>
  <c r="K46" i="2"/>
  <c r="I46" i="2"/>
  <c r="H46" i="2"/>
  <c r="G46" i="2"/>
  <c r="E46" i="2"/>
  <c r="D46" i="2"/>
  <c r="R45" i="2"/>
  <c r="Q45" i="2"/>
  <c r="O45" i="2"/>
  <c r="N45" i="2"/>
  <c r="L45" i="2"/>
  <c r="K45" i="2"/>
  <c r="I45" i="2"/>
  <c r="H45" i="2"/>
  <c r="G45" i="2"/>
  <c r="E45" i="2"/>
  <c r="D45" i="2"/>
  <c r="R44" i="2"/>
  <c r="Q44" i="2"/>
  <c r="O44" i="2"/>
  <c r="N44" i="2"/>
  <c r="L44" i="2"/>
  <c r="K44" i="2"/>
  <c r="I44" i="2"/>
  <c r="H44" i="2"/>
  <c r="G44" i="2"/>
  <c r="E44" i="2"/>
  <c r="D44" i="2"/>
  <c r="R43" i="2"/>
  <c r="Q43" i="2"/>
  <c r="O43" i="2"/>
  <c r="N43" i="2"/>
  <c r="L43" i="2"/>
  <c r="K43" i="2"/>
  <c r="I43" i="2"/>
  <c r="H43" i="2"/>
  <c r="G43" i="2"/>
  <c r="E43" i="2"/>
  <c r="D43" i="2"/>
  <c r="R42" i="2"/>
  <c r="Q42" i="2"/>
  <c r="O42" i="2"/>
  <c r="N42" i="2"/>
  <c r="L42" i="2"/>
  <c r="K42" i="2"/>
  <c r="I42" i="2"/>
  <c r="H42" i="2"/>
  <c r="G42" i="2"/>
  <c r="E42" i="2"/>
  <c r="D42" i="2"/>
  <c r="R41" i="2"/>
  <c r="Q41" i="2"/>
  <c r="O41" i="2"/>
  <c r="N41" i="2"/>
  <c r="L41" i="2"/>
  <c r="K41" i="2"/>
  <c r="I41" i="2"/>
  <c r="H41" i="2"/>
  <c r="G41" i="2"/>
  <c r="E41" i="2"/>
  <c r="D41" i="2"/>
  <c r="R40" i="2"/>
  <c r="Q40" i="2"/>
  <c r="O40" i="2"/>
  <c r="N40" i="2"/>
  <c r="L40" i="2"/>
  <c r="K40" i="2"/>
  <c r="I40" i="2"/>
  <c r="H40" i="2"/>
  <c r="G40" i="2"/>
  <c r="E40" i="2"/>
  <c r="D40" i="2"/>
  <c r="R39" i="2"/>
  <c r="Q39" i="2"/>
  <c r="O39" i="2"/>
  <c r="N39" i="2"/>
  <c r="L39" i="2"/>
  <c r="K39" i="2"/>
  <c r="I39" i="2"/>
  <c r="H39" i="2"/>
  <c r="G39" i="2"/>
  <c r="E39" i="2"/>
  <c r="D39" i="2"/>
  <c r="R38" i="2"/>
  <c r="Q38" i="2"/>
  <c r="O38" i="2"/>
  <c r="N38" i="2"/>
  <c r="L38" i="2"/>
  <c r="K38" i="2"/>
  <c r="I38" i="2"/>
  <c r="H38" i="2"/>
  <c r="G38" i="2"/>
  <c r="E38" i="2"/>
  <c r="D38" i="2"/>
  <c r="R37" i="2"/>
  <c r="Q37" i="2"/>
  <c r="O37" i="2"/>
  <c r="N37" i="2"/>
  <c r="L37" i="2"/>
  <c r="K37" i="2"/>
  <c r="I37" i="2"/>
  <c r="H37" i="2"/>
  <c r="G37" i="2"/>
  <c r="E37" i="2"/>
  <c r="D37" i="2"/>
  <c r="R36" i="2"/>
  <c r="Q36" i="2"/>
  <c r="O36" i="2"/>
  <c r="N36" i="2"/>
  <c r="L36" i="2"/>
  <c r="K36" i="2"/>
  <c r="I36" i="2"/>
  <c r="H36" i="2"/>
  <c r="G36" i="2"/>
  <c r="E36" i="2"/>
  <c r="D36" i="2"/>
  <c r="R35" i="2"/>
  <c r="Q35" i="2"/>
  <c r="O35" i="2"/>
  <c r="N35" i="2"/>
  <c r="L35" i="2"/>
  <c r="K35" i="2"/>
  <c r="I35" i="2"/>
  <c r="H35" i="2"/>
  <c r="G35" i="2"/>
  <c r="E35" i="2"/>
  <c r="D35" i="2"/>
  <c r="R34" i="2"/>
  <c r="Q34" i="2"/>
  <c r="O34" i="2"/>
  <c r="N34" i="2"/>
  <c r="L34" i="2"/>
  <c r="K34" i="2"/>
  <c r="I34" i="2"/>
  <c r="H34" i="2"/>
  <c r="G34" i="2"/>
  <c r="E34" i="2"/>
  <c r="D34" i="2"/>
  <c r="R33" i="2"/>
  <c r="Q33" i="2"/>
  <c r="O33" i="2"/>
  <c r="N33" i="2"/>
  <c r="L33" i="2"/>
  <c r="K33" i="2"/>
  <c r="I33" i="2"/>
  <c r="H33" i="2"/>
  <c r="G33" i="2"/>
  <c r="E33" i="2"/>
  <c r="D33" i="2"/>
  <c r="R32" i="2"/>
  <c r="Q32" i="2"/>
  <c r="O32" i="2"/>
  <c r="N32" i="2"/>
  <c r="L32" i="2"/>
  <c r="K32" i="2"/>
  <c r="I32" i="2"/>
  <c r="H32" i="2"/>
  <c r="G32" i="2"/>
  <c r="E32" i="2"/>
  <c r="D32" i="2"/>
  <c r="R31" i="2"/>
  <c r="Q31" i="2"/>
  <c r="O31" i="2"/>
  <c r="N31" i="2"/>
  <c r="L31" i="2"/>
  <c r="K31" i="2"/>
  <c r="I31" i="2"/>
  <c r="H31" i="2"/>
  <c r="G31" i="2"/>
  <c r="E31" i="2"/>
  <c r="D31" i="2"/>
  <c r="R30" i="2"/>
  <c r="Q30" i="2"/>
  <c r="O30" i="2"/>
  <c r="N30" i="2"/>
  <c r="L30" i="2"/>
  <c r="K30" i="2"/>
  <c r="I30" i="2"/>
  <c r="H30" i="2"/>
  <c r="G30" i="2"/>
  <c r="E30" i="2"/>
  <c r="D30" i="2"/>
  <c r="R29" i="2"/>
  <c r="Q29" i="2"/>
  <c r="O29" i="2"/>
  <c r="N29" i="2"/>
  <c r="L29" i="2"/>
  <c r="K29" i="2"/>
  <c r="I29" i="2"/>
  <c r="H29" i="2"/>
  <c r="G29" i="2"/>
  <c r="E29" i="2"/>
  <c r="D29" i="2"/>
  <c r="R28" i="2"/>
  <c r="Q28" i="2"/>
  <c r="O28" i="2"/>
  <c r="N28" i="2"/>
  <c r="L28" i="2"/>
  <c r="K28" i="2"/>
  <c r="I28" i="2"/>
  <c r="H28" i="2"/>
  <c r="G28" i="2"/>
  <c r="E28" i="2"/>
  <c r="D28" i="2"/>
  <c r="R27" i="2"/>
  <c r="Q27" i="2"/>
  <c r="O27" i="2"/>
  <c r="N27" i="2"/>
  <c r="L27" i="2"/>
  <c r="K27" i="2"/>
  <c r="I27" i="2"/>
  <c r="H27" i="2"/>
  <c r="G27" i="2"/>
  <c r="E27" i="2"/>
  <c r="D27" i="2"/>
  <c r="R26" i="2"/>
  <c r="Q26" i="2"/>
  <c r="O26" i="2"/>
  <c r="N26" i="2"/>
  <c r="L26" i="2"/>
  <c r="K26" i="2"/>
  <c r="I26" i="2"/>
  <c r="H26" i="2"/>
  <c r="G26" i="2"/>
  <c r="E26" i="2"/>
  <c r="D26" i="2"/>
  <c r="R25" i="2"/>
  <c r="Q25" i="2"/>
  <c r="O25" i="2"/>
  <c r="N25" i="2"/>
  <c r="L25" i="2"/>
  <c r="K25" i="2"/>
  <c r="I25" i="2"/>
  <c r="H25" i="2"/>
  <c r="G25" i="2"/>
  <c r="E25" i="2"/>
  <c r="D25" i="2"/>
  <c r="R24" i="2"/>
  <c r="Q24" i="2"/>
  <c r="O24" i="2"/>
  <c r="N24" i="2"/>
  <c r="L24" i="2"/>
  <c r="K24" i="2"/>
  <c r="I24" i="2"/>
  <c r="H24" i="2"/>
  <c r="G24" i="2"/>
  <c r="E24" i="2"/>
  <c r="D24" i="2"/>
  <c r="R23" i="2"/>
  <c r="Q23" i="2"/>
  <c r="O23" i="2"/>
  <c r="N23" i="2"/>
  <c r="L23" i="2"/>
  <c r="K23" i="2"/>
  <c r="I23" i="2"/>
  <c r="H23" i="2"/>
  <c r="G23" i="2"/>
  <c r="E23" i="2"/>
  <c r="D23" i="2"/>
  <c r="R22" i="2"/>
  <c r="Q22" i="2"/>
  <c r="O22" i="2"/>
  <c r="N22" i="2"/>
  <c r="L22" i="2"/>
  <c r="K22" i="2"/>
  <c r="I22" i="2"/>
  <c r="H22" i="2"/>
  <c r="G22" i="2"/>
  <c r="E22" i="2"/>
  <c r="D22" i="2"/>
  <c r="R21" i="2"/>
  <c r="Q21" i="2"/>
  <c r="O21" i="2"/>
  <c r="N21" i="2"/>
  <c r="L21" i="2"/>
  <c r="K21" i="2"/>
  <c r="I21" i="2"/>
  <c r="H21" i="2"/>
  <c r="G21" i="2"/>
  <c r="E21" i="2"/>
  <c r="D21" i="2"/>
  <c r="R20" i="2"/>
  <c r="Q20" i="2"/>
  <c r="O20" i="2"/>
  <c r="N20" i="2"/>
  <c r="L20" i="2"/>
  <c r="K20" i="2"/>
  <c r="I20" i="2"/>
  <c r="H20" i="2"/>
  <c r="G20" i="2"/>
  <c r="E20" i="2"/>
  <c r="D20" i="2"/>
  <c r="R19" i="2"/>
  <c r="Q19" i="2"/>
  <c r="O19" i="2"/>
  <c r="N19" i="2"/>
  <c r="L19" i="2"/>
  <c r="K19" i="2"/>
  <c r="I19" i="2"/>
  <c r="H19" i="2"/>
  <c r="G19" i="2"/>
  <c r="E19" i="2"/>
  <c r="D19" i="2"/>
  <c r="R18" i="2"/>
  <c r="Q18" i="2"/>
  <c r="O18" i="2"/>
  <c r="N18" i="2"/>
  <c r="L18" i="2"/>
  <c r="K18" i="2"/>
  <c r="I18" i="2"/>
  <c r="H18" i="2"/>
  <c r="G18" i="2"/>
  <c r="E18" i="2"/>
  <c r="D18" i="2"/>
  <c r="R17" i="2"/>
  <c r="Q17" i="2"/>
  <c r="O17" i="2"/>
  <c r="N17" i="2"/>
  <c r="L17" i="2"/>
  <c r="K17" i="2"/>
  <c r="I17" i="2"/>
  <c r="H17" i="2"/>
  <c r="G17" i="2"/>
  <c r="E17" i="2"/>
  <c r="D17" i="2"/>
  <c r="R16" i="2"/>
  <c r="Q16" i="2"/>
  <c r="O16" i="2"/>
  <c r="N16" i="2"/>
  <c r="L16" i="2"/>
  <c r="K16" i="2"/>
  <c r="I16" i="2"/>
  <c r="H16" i="2"/>
  <c r="G16" i="2"/>
  <c r="E16" i="2"/>
  <c r="D16" i="2"/>
  <c r="R15" i="2"/>
  <c r="Q15" i="2"/>
  <c r="O15" i="2"/>
  <c r="N15" i="2"/>
  <c r="L15" i="2"/>
  <c r="K15" i="2"/>
  <c r="I15" i="2"/>
  <c r="H15" i="2"/>
  <c r="G15" i="2"/>
  <c r="E15" i="2"/>
  <c r="D15" i="2"/>
  <c r="R14" i="2"/>
  <c r="Q14" i="2"/>
  <c r="O14" i="2"/>
  <c r="N14" i="2"/>
  <c r="L14" i="2"/>
  <c r="K14" i="2"/>
  <c r="I14" i="2"/>
  <c r="H14" i="2"/>
  <c r="G14" i="2"/>
  <c r="E14" i="2"/>
  <c r="D14" i="2"/>
  <c r="R13" i="2"/>
  <c r="Q13" i="2"/>
  <c r="O13" i="2"/>
  <c r="N13" i="2"/>
  <c r="L13" i="2"/>
  <c r="K13" i="2"/>
  <c r="I13" i="2"/>
  <c r="H13" i="2"/>
  <c r="G13" i="2"/>
  <c r="E13" i="2"/>
  <c r="D13" i="2"/>
  <c r="R12" i="2"/>
  <c r="Q12" i="2"/>
  <c r="O12" i="2"/>
  <c r="N12" i="2"/>
  <c r="L12" i="2"/>
  <c r="K12" i="2"/>
  <c r="I12" i="2"/>
  <c r="H12" i="2"/>
  <c r="G12" i="2"/>
  <c r="E12" i="2"/>
  <c r="D12" i="2"/>
  <c r="R11" i="2"/>
  <c r="Q11" i="2"/>
  <c r="O11" i="2"/>
  <c r="N11" i="2"/>
  <c r="L11" i="2"/>
  <c r="K11" i="2"/>
  <c r="I11" i="2"/>
  <c r="H11" i="2"/>
  <c r="G11" i="2"/>
  <c r="E11" i="2"/>
  <c r="D11" i="2"/>
  <c r="R10" i="2"/>
  <c r="Q10" i="2"/>
  <c r="O10" i="2"/>
  <c r="N10" i="2"/>
  <c r="L10" i="2"/>
  <c r="K10" i="2"/>
  <c r="I10" i="2"/>
  <c r="H10" i="2"/>
  <c r="G10" i="2"/>
  <c r="E10" i="2"/>
  <c r="D10" i="2"/>
  <c r="R9" i="2"/>
  <c r="Q9" i="2"/>
  <c r="O9" i="2"/>
  <c r="N9" i="2"/>
  <c r="L9" i="2"/>
  <c r="K9" i="2"/>
  <c r="I9" i="2"/>
  <c r="H9" i="2"/>
  <c r="G9" i="2"/>
  <c r="E9" i="2"/>
  <c r="D9" i="2"/>
  <c r="R8" i="2"/>
  <c r="Q8" i="2"/>
  <c r="O8" i="2"/>
  <c r="N8" i="2"/>
  <c r="L8" i="2"/>
  <c r="K8" i="2"/>
  <c r="I8" i="2"/>
  <c r="H8" i="2"/>
  <c r="G8" i="2"/>
  <c r="E8" i="2"/>
  <c r="D8" i="2"/>
  <c r="R7" i="2"/>
  <c r="Q7" i="2"/>
  <c r="O7" i="2"/>
  <c r="N7" i="2"/>
  <c r="L7" i="2"/>
  <c r="K7" i="2"/>
  <c r="I7" i="2"/>
  <c r="H7" i="2"/>
  <c r="G7" i="2"/>
  <c r="E7" i="2"/>
  <c r="D7" i="2"/>
  <c r="R6" i="2"/>
  <c r="Q6" i="2"/>
  <c r="O6" i="2"/>
  <c r="N6" i="2"/>
  <c r="L6" i="2"/>
  <c r="K6" i="2"/>
  <c r="I6" i="2"/>
  <c r="H6" i="2"/>
  <c r="G6" i="2"/>
  <c r="E6" i="2"/>
  <c r="D6" i="2"/>
  <c r="R5" i="2"/>
  <c r="Q5" i="2"/>
  <c r="O5" i="2"/>
  <c r="N5" i="2"/>
  <c r="L5" i="2"/>
  <c r="K5" i="2"/>
  <c r="I5" i="2"/>
  <c r="H5" i="2"/>
  <c r="G5" i="2"/>
  <c r="E5" i="2"/>
  <c r="D5" i="2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R4" i="2"/>
  <c r="Q4" i="2"/>
  <c r="O4" i="2"/>
  <c r="N4" i="2"/>
  <c r="L4" i="2"/>
  <c r="K4" i="2"/>
  <c r="I4" i="2"/>
  <c r="H4" i="2"/>
  <c r="G4" i="2"/>
  <c r="E4" i="2"/>
  <c r="D4" i="2"/>
  <c r="R3" i="2"/>
  <c r="Q3" i="2"/>
  <c r="O3" i="2"/>
  <c r="N3" i="2"/>
  <c r="L3" i="2"/>
  <c r="K3" i="2"/>
  <c r="I3" i="2"/>
  <c r="H3" i="2"/>
  <c r="G3" i="2"/>
  <c r="E3" i="2"/>
  <c r="D3" i="2"/>
  <c r="A5" i="1"/>
  <c r="I5" i="1" s="1"/>
  <c r="J5" i="1" s="1"/>
  <c r="AO4" i="1"/>
  <c r="AJ4" i="1"/>
  <c r="AE4" i="1"/>
  <c r="B4" i="1"/>
  <c r="C4" i="1" s="1"/>
  <c r="AO3" i="1"/>
  <c r="AJ3" i="1"/>
  <c r="AE3" i="1"/>
  <c r="B3" i="1"/>
  <c r="C3" i="1" s="1"/>
  <c r="P5" i="1" l="1"/>
  <c r="K5" i="1"/>
  <c r="H408" i="2"/>
  <c r="N408" i="2"/>
  <c r="N409" i="2" s="1"/>
  <c r="K408" i="2"/>
  <c r="K409" i="2" s="1"/>
  <c r="Q408" i="2"/>
  <c r="Q409" i="2" s="1"/>
  <c r="AJ5" i="1"/>
  <c r="Z5" i="1"/>
  <c r="AP418" i="1"/>
  <c r="U5" i="1"/>
  <c r="AO5" i="1"/>
  <c r="A6" i="1"/>
  <c r="E4" i="1"/>
  <c r="G4" i="1" s="1"/>
  <c r="H4" i="1"/>
  <c r="D4" i="1"/>
  <c r="AC4" i="1" s="1"/>
  <c r="E3" i="1"/>
  <c r="T3" i="1" s="1"/>
  <c r="H3" i="1"/>
  <c r="D3" i="1"/>
  <c r="AH3" i="1" s="1"/>
  <c r="AE5" i="1"/>
  <c r="B5" i="1"/>
  <c r="C5" i="1" s="1"/>
  <c r="H409" i="2"/>
  <c r="H415" i="2"/>
  <c r="I408" i="2"/>
  <c r="O408" i="2"/>
  <c r="O409" i="2" s="1"/>
  <c r="N410" i="2" s="1"/>
  <c r="L408" i="2"/>
  <c r="L409" i="2" s="1"/>
  <c r="K411" i="2" s="1"/>
  <c r="K412" i="2" s="1"/>
  <c r="R408" i="2"/>
  <c r="R409" i="2" s="1"/>
  <c r="Q410" i="2" s="1"/>
  <c r="AI3" i="1" l="1"/>
  <c r="AH4" i="1"/>
  <c r="AI4" i="1"/>
  <c r="AD3" i="1"/>
  <c r="S3" i="1"/>
  <c r="AC3" i="1"/>
  <c r="AD4" i="1"/>
  <c r="Y3" i="1"/>
  <c r="Y4" i="1"/>
  <c r="F4" i="1"/>
  <c r="X4" i="1"/>
  <c r="X3" i="1"/>
  <c r="O4" i="1"/>
  <c r="S4" i="1"/>
  <c r="T4" i="1"/>
  <c r="V3" i="1"/>
  <c r="N3" i="1"/>
  <c r="G3" i="1"/>
  <c r="O3" i="1"/>
  <c r="N4" i="1"/>
  <c r="K6" i="1"/>
  <c r="I6" i="1"/>
  <c r="J6" i="1" s="1"/>
  <c r="L3" i="1"/>
  <c r="M3" i="1"/>
  <c r="L4" i="1"/>
  <c r="M4" i="1"/>
  <c r="Z6" i="1"/>
  <c r="P6" i="1"/>
  <c r="Q3" i="1"/>
  <c r="R3" i="1"/>
  <c r="Q4" i="1"/>
  <c r="Q411" i="2"/>
  <c r="Q412" i="2" s="1"/>
  <c r="R4" i="1"/>
  <c r="AA4" i="1"/>
  <c r="AB4" i="1"/>
  <c r="AA3" i="1"/>
  <c r="AB3" i="1"/>
  <c r="V4" i="1"/>
  <c r="W4" i="1"/>
  <c r="AE6" i="1"/>
  <c r="U6" i="1"/>
  <c r="W3" i="1"/>
  <c r="AK4" i="1"/>
  <c r="AP4" i="1"/>
  <c r="F3" i="1"/>
  <c r="AP3" i="1"/>
  <c r="AQ4" i="1"/>
  <c r="AQ3" i="1"/>
  <c r="AF4" i="1"/>
  <c r="AL4" i="1"/>
  <c r="AO6" i="1"/>
  <c r="AJ6" i="1"/>
  <c r="AK3" i="1"/>
  <c r="B6" i="1"/>
  <c r="C6" i="1" s="1"/>
  <c r="E6" i="1" s="1"/>
  <c r="G6" i="1" s="1"/>
  <c r="AL3" i="1"/>
  <c r="AG4" i="1"/>
  <c r="AG3" i="1"/>
  <c r="AF3" i="1"/>
  <c r="A7" i="1"/>
  <c r="E5" i="1"/>
  <c r="M5" i="1" s="1"/>
  <c r="D5" i="1"/>
  <c r="L5" i="1" s="1"/>
  <c r="H5" i="1"/>
  <c r="N411" i="2"/>
  <c r="N412" i="2" s="1"/>
  <c r="K413" i="2" s="1"/>
  <c r="I415" i="2"/>
  <c r="I409" i="2"/>
  <c r="H411" i="2" s="1"/>
  <c r="H412" i="2" s="1"/>
  <c r="K410" i="2"/>
  <c r="AI6" i="1" l="1"/>
  <c r="AH5" i="1"/>
  <c r="AI5" i="1"/>
  <c r="AD6" i="1"/>
  <c r="AD5" i="1"/>
  <c r="AC5" i="1"/>
  <c r="S5" i="1"/>
  <c r="X5" i="1"/>
  <c r="Y6" i="1"/>
  <c r="Y5" i="1"/>
  <c r="T6" i="1"/>
  <c r="O5" i="1"/>
  <c r="T5" i="1"/>
  <c r="O6" i="1"/>
  <c r="N5" i="1"/>
  <c r="K7" i="1"/>
  <c r="I7" i="1"/>
  <c r="J7" i="1" s="1"/>
  <c r="M6" i="1"/>
  <c r="H410" i="2"/>
  <c r="AP5" i="1"/>
  <c r="Q5" i="1"/>
  <c r="AQ5" i="1"/>
  <c r="R5" i="1"/>
  <c r="R6" i="1"/>
  <c r="Z7" i="1"/>
  <c r="P7" i="1"/>
  <c r="AA5" i="1"/>
  <c r="AB6" i="1"/>
  <c r="V5" i="1"/>
  <c r="AB5" i="1"/>
  <c r="AJ7" i="1"/>
  <c r="U7" i="1"/>
  <c r="W5" i="1"/>
  <c r="W6" i="1"/>
  <c r="H6" i="1"/>
  <c r="D6" i="1"/>
  <c r="N6" i="1" s="1"/>
  <c r="AQ6" i="1"/>
  <c r="AG6" i="1"/>
  <c r="G5" i="1"/>
  <c r="AL5" i="1"/>
  <c r="AL6" i="1"/>
  <c r="AO7" i="1"/>
  <c r="F5" i="1"/>
  <c r="AK5" i="1"/>
  <c r="AF5" i="1"/>
  <c r="AE7" i="1"/>
  <c r="A8" i="1"/>
  <c r="B7" i="1"/>
  <c r="C7" i="1" s="1"/>
  <c r="E7" i="1" s="1"/>
  <c r="G7" i="1" s="1"/>
  <c r="AG5" i="1"/>
  <c r="Q413" i="2"/>
  <c r="AH6" i="1" l="1"/>
  <c r="AI7" i="1"/>
  <c r="AC6" i="1"/>
  <c r="AD7" i="1"/>
  <c r="Y7" i="1"/>
  <c r="X6" i="1"/>
  <c r="S6" i="1"/>
  <c r="T7" i="1"/>
  <c r="O7" i="1"/>
  <c r="K8" i="1"/>
  <c r="I8" i="1"/>
  <c r="J8" i="1" s="1"/>
  <c r="Q6" i="1"/>
  <c r="L6" i="1"/>
  <c r="M7" i="1"/>
  <c r="AF6" i="1"/>
  <c r="AP6" i="1"/>
  <c r="R7" i="1"/>
  <c r="Z8" i="1"/>
  <c r="P8" i="1"/>
  <c r="F6" i="1"/>
  <c r="AA6" i="1"/>
  <c r="AB7" i="1"/>
  <c r="AK6" i="1"/>
  <c r="B8" i="1"/>
  <c r="C8" i="1" s="1"/>
  <c r="D8" i="1" s="1"/>
  <c r="F8" i="1" s="1"/>
  <c r="U8" i="1"/>
  <c r="W7" i="1"/>
  <c r="V6" i="1"/>
  <c r="AQ7" i="1"/>
  <c r="AO8" i="1"/>
  <c r="AL7" i="1"/>
  <c r="D7" i="1"/>
  <c r="N7" i="1" s="1"/>
  <c r="A9" i="1"/>
  <c r="H7" i="1"/>
  <c r="AJ8" i="1"/>
  <c r="AE8" i="1"/>
  <c r="AG7" i="1"/>
  <c r="AC7" i="1" l="1"/>
  <c r="AH8" i="1"/>
  <c r="AH7" i="1"/>
  <c r="AC8" i="1"/>
  <c r="S7" i="1"/>
  <c r="X7" i="1"/>
  <c r="X8" i="1"/>
  <c r="S8" i="1"/>
  <c r="N8" i="1"/>
  <c r="K9" i="1"/>
  <c r="I9" i="1"/>
  <c r="J9" i="1" s="1"/>
  <c r="Q7" i="1"/>
  <c r="L7" i="1"/>
  <c r="L8" i="1"/>
  <c r="Z9" i="1"/>
  <c r="P9" i="1"/>
  <c r="Q8" i="1"/>
  <c r="AP7" i="1"/>
  <c r="AA7" i="1"/>
  <c r="AA8" i="1"/>
  <c r="H8" i="1"/>
  <c r="E8" i="1"/>
  <c r="T8" i="1" s="1"/>
  <c r="V7" i="1"/>
  <c r="A10" i="1"/>
  <c r="U9" i="1"/>
  <c r="V8" i="1"/>
  <c r="B9" i="1"/>
  <c r="C9" i="1" s="1"/>
  <c r="H9" i="1" s="1"/>
  <c r="AP8" i="1"/>
  <c r="AF8" i="1"/>
  <c r="AK8" i="1"/>
  <c r="AJ9" i="1"/>
  <c r="F7" i="1"/>
  <c r="AK7" i="1"/>
  <c r="AO9" i="1"/>
  <c r="AE9" i="1"/>
  <c r="AF7" i="1"/>
  <c r="AI8" i="1" l="1"/>
  <c r="AD8" i="1"/>
  <c r="Y8" i="1"/>
  <c r="O8" i="1"/>
  <c r="K10" i="1"/>
  <c r="I10" i="1"/>
  <c r="J10" i="1" s="1"/>
  <c r="W8" i="1"/>
  <c r="M8" i="1"/>
  <c r="E9" i="1"/>
  <c r="O9" i="1" s="1"/>
  <c r="AO10" i="1"/>
  <c r="P10" i="1"/>
  <c r="R8" i="1"/>
  <c r="B10" i="1"/>
  <c r="C10" i="1" s="1"/>
  <c r="D10" i="1" s="1"/>
  <c r="F10" i="1" s="1"/>
  <c r="A11" i="1"/>
  <c r="AJ11" i="1" s="1"/>
  <c r="D9" i="1"/>
  <c r="N9" i="1" s="1"/>
  <c r="G8" i="1"/>
  <c r="AB8" i="1"/>
  <c r="AQ8" i="1"/>
  <c r="AG8" i="1"/>
  <c r="AL8" i="1"/>
  <c r="U10" i="1"/>
  <c r="Z10" i="1"/>
  <c r="AJ10" i="1"/>
  <c r="AE10" i="1"/>
  <c r="AI10" i="1" l="1"/>
  <c r="AH10" i="1"/>
  <c r="AI9" i="1"/>
  <c r="AH9" i="1"/>
  <c r="AD9" i="1"/>
  <c r="AC10" i="1"/>
  <c r="AC9" i="1"/>
  <c r="X10" i="1"/>
  <c r="X9" i="1"/>
  <c r="Y9" i="1"/>
  <c r="S9" i="1"/>
  <c r="S10" i="1"/>
  <c r="T9" i="1"/>
  <c r="N10" i="1"/>
  <c r="AO11" i="1"/>
  <c r="I11" i="1"/>
  <c r="J11" i="1" s="1"/>
  <c r="L10" i="1"/>
  <c r="F9" i="1"/>
  <c r="L9" i="1"/>
  <c r="P11" i="1"/>
  <c r="K11" i="1"/>
  <c r="G9" i="1"/>
  <c r="M9" i="1"/>
  <c r="AG9" i="1"/>
  <c r="AQ9" i="1"/>
  <c r="AB9" i="1"/>
  <c r="W9" i="1"/>
  <c r="AL9" i="1"/>
  <c r="R9" i="1"/>
  <c r="Q9" i="1"/>
  <c r="AE11" i="1"/>
  <c r="A12" i="1"/>
  <c r="I12" i="1" s="1"/>
  <c r="J12" i="1" s="1"/>
  <c r="Z11" i="1"/>
  <c r="B11" i="1"/>
  <c r="C11" i="1" s="1"/>
  <c r="E11" i="1" s="1"/>
  <c r="H10" i="1"/>
  <c r="U11" i="1"/>
  <c r="Q10" i="1"/>
  <c r="E10" i="1"/>
  <c r="O10" i="1" s="1"/>
  <c r="AK9" i="1"/>
  <c r="V9" i="1"/>
  <c r="AA9" i="1"/>
  <c r="AF9" i="1"/>
  <c r="AP9" i="1"/>
  <c r="AA10" i="1"/>
  <c r="V10" i="1"/>
  <c r="AP10" i="1"/>
  <c r="AK10" i="1"/>
  <c r="AF10" i="1"/>
  <c r="AI11" i="1" l="1"/>
  <c r="AD11" i="1"/>
  <c r="AD10" i="1"/>
  <c r="Y11" i="1"/>
  <c r="Y10" i="1"/>
  <c r="T11" i="1"/>
  <c r="T10" i="1"/>
  <c r="O11" i="1"/>
  <c r="H11" i="1"/>
  <c r="AB11" i="1"/>
  <c r="G10" i="1"/>
  <c r="M10" i="1"/>
  <c r="P12" i="1"/>
  <c r="K12" i="1"/>
  <c r="M11" i="1"/>
  <c r="B12" i="1"/>
  <c r="C12" i="1" s="1"/>
  <c r="E12" i="1" s="1"/>
  <c r="D11" i="1"/>
  <c r="Q11" i="1" s="1"/>
  <c r="AO12" i="1"/>
  <c r="A13" i="1"/>
  <c r="I13" i="1" s="1"/>
  <c r="J13" i="1" s="1"/>
  <c r="Z12" i="1"/>
  <c r="AJ12" i="1"/>
  <c r="AE12" i="1"/>
  <c r="U12" i="1"/>
  <c r="AL10" i="1"/>
  <c r="AG10" i="1"/>
  <c r="R10" i="1"/>
  <c r="W10" i="1"/>
  <c r="AB10" i="1"/>
  <c r="R11" i="1"/>
  <c r="AQ10" i="1"/>
  <c r="G11" i="1"/>
  <c r="W11" i="1"/>
  <c r="AQ11" i="1"/>
  <c r="AL11" i="1"/>
  <c r="AG11" i="1"/>
  <c r="AI12" i="1" l="1"/>
  <c r="AH11" i="1"/>
  <c r="AC11" i="1"/>
  <c r="AD12" i="1"/>
  <c r="A14" i="1"/>
  <c r="I14" i="1" s="1"/>
  <c r="J14" i="1" s="1"/>
  <c r="X11" i="1"/>
  <c r="Y12" i="1"/>
  <c r="S11" i="1"/>
  <c r="T12" i="1"/>
  <c r="AE13" i="1"/>
  <c r="O12" i="1"/>
  <c r="N11" i="1"/>
  <c r="AF11" i="1"/>
  <c r="B13" i="1"/>
  <c r="C13" i="1" s="1"/>
  <c r="D13" i="1" s="1"/>
  <c r="AP11" i="1"/>
  <c r="V11" i="1"/>
  <c r="AA11" i="1"/>
  <c r="P13" i="1"/>
  <c r="K13" i="1"/>
  <c r="M12" i="1"/>
  <c r="F11" i="1"/>
  <c r="AK11" i="1"/>
  <c r="L11" i="1"/>
  <c r="AB12" i="1"/>
  <c r="R12" i="1"/>
  <c r="D12" i="1"/>
  <c r="AA12" i="1" s="1"/>
  <c r="AJ13" i="1"/>
  <c r="H12" i="1"/>
  <c r="Z13" i="1"/>
  <c r="AO13" i="1"/>
  <c r="U13" i="1"/>
  <c r="G12" i="1"/>
  <c r="W12" i="1"/>
  <c r="AQ12" i="1"/>
  <c r="AL12" i="1"/>
  <c r="AG12" i="1"/>
  <c r="AH13" i="1" l="1"/>
  <c r="AH12" i="1"/>
  <c r="Z14" i="1"/>
  <c r="X12" i="1"/>
  <c r="U14" i="1"/>
  <c r="AJ14" i="1"/>
  <c r="AC13" i="1"/>
  <c r="K14" i="1"/>
  <c r="AC12" i="1"/>
  <c r="AO14" i="1"/>
  <c r="P14" i="1"/>
  <c r="A15" i="1"/>
  <c r="I15" i="1" s="1"/>
  <c r="J15" i="1" s="1"/>
  <c r="B14" i="1"/>
  <c r="C14" i="1" s="1"/>
  <c r="D14" i="1" s="1"/>
  <c r="AE14" i="1"/>
  <c r="X13" i="1"/>
  <c r="H13" i="1"/>
  <c r="S13" i="1"/>
  <c r="E13" i="1"/>
  <c r="R13" i="1" s="1"/>
  <c r="S12" i="1"/>
  <c r="N13" i="1"/>
  <c r="N12" i="1"/>
  <c r="V12" i="1"/>
  <c r="AK12" i="1"/>
  <c r="F12" i="1"/>
  <c r="L13" i="1"/>
  <c r="L12" i="1"/>
  <c r="Q12" i="1"/>
  <c r="AF12" i="1"/>
  <c r="AP12" i="1"/>
  <c r="AA13" i="1"/>
  <c r="Q13" i="1"/>
  <c r="F13" i="1"/>
  <c r="V13" i="1"/>
  <c r="AK13" i="1"/>
  <c r="AP13" i="1"/>
  <c r="AF13" i="1"/>
  <c r="AJ15" i="1"/>
  <c r="Z15" i="1" l="1"/>
  <c r="K15" i="1"/>
  <c r="AH14" i="1"/>
  <c r="B15" i="1"/>
  <c r="C15" i="1" s="1"/>
  <c r="D15" i="1" s="1"/>
  <c r="L15" i="1" s="1"/>
  <c r="U15" i="1"/>
  <c r="AI13" i="1"/>
  <c r="AQ13" i="1"/>
  <c r="W13" i="1"/>
  <c r="M13" i="1"/>
  <c r="E14" i="1"/>
  <c r="M14" i="1" s="1"/>
  <c r="AB13" i="1"/>
  <c r="AO15" i="1"/>
  <c r="P15" i="1"/>
  <c r="AD13" i="1"/>
  <c r="AE15" i="1"/>
  <c r="A16" i="1"/>
  <c r="I16" i="1" s="1"/>
  <c r="J16" i="1" s="1"/>
  <c r="AC14" i="1"/>
  <c r="H14" i="1"/>
  <c r="L14" i="1"/>
  <c r="X14" i="1"/>
  <c r="Y13" i="1"/>
  <c r="O13" i="1"/>
  <c r="T13" i="1"/>
  <c r="AG13" i="1"/>
  <c r="G13" i="1"/>
  <c r="AL13" i="1"/>
  <c r="S14" i="1"/>
  <c r="N14" i="1"/>
  <c r="AA14" i="1"/>
  <c r="Q14" i="1"/>
  <c r="Z16" i="1"/>
  <c r="F14" i="1"/>
  <c r="V14" i="1"/>
  <c r="AP14" i="1"/>
  <c r="AK14" i="1"/>
  <c r="AF14" i="1"/>
  <c r="E15" i="1"/>
  <c r="M15" i="1" s="1"/>
  <c r="H15" i="1"/>
  <c r="AO16" i="1" l="1"/>
  <c r="A17" i="1"/>
  <c r="I17" i="1" s="1"/>
  <c r="J17" i="1" s="1"/>
  <c r="P16" i="1"/>
  <c r="AD15" i="1"/>
  <c r="AI14" i="1"/>
  <c r="G14" i="1"/>
  <c r="R14" i="1"/>
  <c r="AI15" i="1"/>
  <c r="AH15" i="1"/>
  <c r="AQ14" i="1"/>
  <c r="AB14" i="1"/>
  <c r="O14" i="1"/>
  <c r="AG14" i="1"/>
  <c r="Y14" i="1"/>
  <c r="AL14" i="1"/>
  <c r="W14" i="1"/>
  <c r="T14" i="1"/>
  <c r="AD14" i="1"/>
  <c r="B16" i="1"/>
  <c r="C16" i="1" s="1"/>
  <c r="E16" i="1" s="1"/>
  <c r="AE16" i="1"/>
  <c r="U16" i="1"/>
  <c r="AJ16" i="1"/>
  <c r="K16" i="1"/>
  <c r="AC15" i="1"/>
  <c r="X15" i="1"/>
  <c r="T15" i="1"/>
  <c r="Y15" i="1"/>
  <c r="S15" i="1"/>
  <c r="N15" i="1"/>
  <c r="O15" i="1"/>
  <c r="P17" i="1"/>
  <c r="K17" i="1"/>
  <c r="AB15" i="1"/>
  <c r="R15" i="1"/>
  <c r="AA15" i="1"/>
  <c r="Q15" i="1"/>
  <c r="U17" i="1"/>
  <c r="Z17" i="1"/>
  <c r="F15" i="1"/>
  <c r="V15" i="1"/>
  <c r="G15" i="1"/>
  <c r="W15" i="1"/>
  <c r="AL15" i="1"/>
  <c r="AP15" i="1"/>
  <c r="AQ15" i="1"/>
  <c r="AF15" i="1"/>
  <c r="AK15" i="1"/>
  <c r="AG15" i="1"/>
  <c r="A18" i="1"/>
  <c r="I18" i="1" s="1"/>
  <c r="J18" i="1" s="1"/>
  <c r="AO17" i="1"/>
  <c r="AJ17" i="1"/>
  <c r="B17" i="1"/>
  <c r="C17" i="1" s="1"/>
  <c r="AE17" i="1"/>
  <c r="D16" i="1" l="1"/>
  <c r="L16" i="1" s="1"/>
  <c r="H16" i="1"/>
  <c r="AI16" i="1"/>
  <c r="AH16" i="1"/>
  <c r="M16" i="1"/>
  <c r="AD16" i="1"/>
  <c r="AC16" i="1"/>
  <c r="X16" i="1"/>
  <c r="Y16" i="1"/>
  <c r="T16" i="1"/>
  <c r="N16" i="1"/>
  <c r="O16" i="1"/>
  <c r="P18" i="1"/>
  <c r="K18" i="1"/>
  <c r="AB16" i="1"/>
  <c r="R16" i="1"/>
  <c r="Q16" i="1"/>
  <c r="AA16" i="1"/>
  <c r="U18" i="1"/>
  <c r="Z18" i="1"/>
  <c r="G16" i="1"/>
  <c r="W16" i="1"/>
  <c r="F16" i="1"/>
  <c r="AQ16" i="1"/>
  <c r="AP16" i="1"/>
  <c r="AL16" i="1"/>
  <c r="AG16" i="1"/>
  <c r="AF16" i="1"/>
  <c r="E17" i="1"/>
  <c r="R17" i="1" s="1"/>
  <c r="H17" i="1"/>
  <c r="D17" i="1"/>
  <c r="L17" i="1" s="1"/>
  <c r="AE18" i="1"/>
  <c r="A19" i="1"/>
  <c r="I19" i="1" s="1"/>
  <c r="J19" i="1" s="1"/>
  <c r="AO18" i="1"/>
  <c r="B18" i="1"/>
  <c r="C18" i="1" s="1"/>
  <c r="AJ18" i="1"/>
  <c r="V16" i="1" l="1"/>
  <c r="AK16" i="1"/>
  <c r="S16" i="1"/>
  <c r="AI17" i="1"/>
  <c r="AH17" i="1"/>
  <c r="AD17" i="1"/>
  <c r="AC17" i="1"/>
  <c r="X17" i="1"/>
  <c r="Y17" i="1"/>
  <c r="S17" i="1"/>
  <c r="T17" i="1"/>
  <c r="O17" i="1"/>
  <c r="N17" i="1"/>
  <c r="P19" i="1"/>
  <c r="K19" i="1"/>
  <c r="M17" i="1"/>
  <c r="AA17" i="1"/>
  <c r="Q17" i="1"/>
  <c r="AB17" i="1"/>
  <c r="U19" i="1"/>
  <c r="Z19" i="1"/>
  <c r="G17" i="1"/>
  <c r="W17" i="1"/>
  <c r="F17" i="1"/>
  <c r="V17" i="1"/>
  <c r="AQ17" i="1"/>
  <c r="AP17" i="1"/>
  <c r="AK17" i="1"/>
  <c r="AL17" i="1"/>
  <c r="AG17" i="1"/>
  <c r="AF17" i="1"/>
  <c r="E18" i="1"/>
  <c r="M18" i="1" s="1"/>
  <c r="H18" i="1"/>
  <c r="D18" i="1"/>
  <c r="L18" i="1" s="1"/>
  <c r="A20" i="1"/>
  <c r="I20" i="1" s="1"/>
  <c r="J20" i="1" s="1"/>
  <c r="AO19" i="1"/>
  <c r="AJ19" i="1"/>
  <c r="B19" i="1"/>
  <c r="C19" i="1" s="1"/>
  <c r="AE19" i="1"/>
  <c r="AH18" i="1" l="1"/>
  <c r="AI18" i="1"/>
  <c r="AC18" i="1"/>
  <c r="AD18" i="1"/>
  <c r="Y18" i="1"/>
  <c r="X18" i="1"/>
  <c r="O18" i="1"/>
  <c r="T18" i="1"/>
  <c r="S18" i="1"/>
  <c r="N18" i="1"/>
  <c r="P20" i="1"/>
  <c r="K20" i="1"/>
  <c r="AA18" i="1"/>
  <c r="Q18" i="1"/>
  <c r="AB18" i="1"/>
  <c r="R18" i="1"/>
  <c r="U20" i="1"/>
  <c r="Z20" i="1"/>
  <c r="G18" i="1"/>
  <c r="W18" i="1"/>
  <c r="F18" i="1"/>
  <c r="V18" i="1"/>
  <c r="AP18" i="1"/>
  <c r="AQ18" i="1"/>
  <c r="AK18" i="1"/>
  <c r="AL18" i="1"/>
  <c r="AG18" i="1"/>
  <c r="AF18" i="1"/>
  <c r="AE20" i="1"/>
  <c r="A21" i="1"/>
  <c r="I21" i="1" s="1"/>
  <c r="J21" i="1" s="1"/>
  <c r="AO20" i="1"/>
  <c r="B20" i="1"/>
  <c r="C20" i="1" s="1"/>
  <c r="AJ20" i="1"/>
  <c r="E19" i="1"/>
  <c r="M19" i="1" s="1"/>
  <c r="D19" i="1"/>
  <c r="L19" i="1" s="1"/>
  <c r="H19" i="1"/>
  <c r="AH19" i="1" l="1"/>
  <c r="AI19" i="1"/>
  <c r="AD19" i="1"/>
  <c r="AC19" i="1"/>
  <c r="X19" i="1"/>
  <c r="Y19" i="1"/>
  <c r="O19" i="1"/>
  <c r="S19" i="1"/>
  <c r="T19" i="1"/>
  <c r="N19" i="1"/>
  <c r="P21" i="1"/>
  <c r="K21" i="1"/>
  <c r="AB19" i="1"/>
  <c r="R19" i="1"/>
  <c r="AA19" i="1"/>
  <c r="Q19" i="1"/>
  <c r="U21" i="1"/>
  <c r="Z21" i="1"/>
  <c r="F19" i="1"/>
  <c r="V19" i="1"/>
  <c r="G19" i="1"/>
  <c r="W19" i="1"/>
  <c r="AP19" i="1"/>
  <c r="AQ19" i="1"/>
  <c r="AK19" i="1"/>
  <c r="AL19" i="1"/>
  <c r="AG19" i="1"/>
  <c r="AF19" i="1"/>
  <c r="A22" i="1"/>
  <c r="I22" i="1" s="1"/>
  <c r="J22" i="1" s="1"/>
  <c r="AO21" i="1"/>
  <c r="AJ21" i="1"/>
  <c r="B21" i="1"/>
  <c r="C21" i="1" s="1"/>
  <c r="AE21" i="1"/>
  <c r="E20" i="1"/>
  <c r="M20" i="1" s="1"/>
  <c r="H20" i="1"/>
  <c r="D20" i="1"/>
  <c r="L20" i="1" s="1"/>
  <c r="AH20" i="1" l="1"/>
  <c r="AI20" i="1"/>
  <c r="AC20" i="1"/>
  <c r="AD20" i="1"/>
  <c r="X20" i="1"/>
  <c r="Y20" i="1"/>
  <c r="S20" i="1"/>
  <c r="T20" i="1"/>
  <c r="N20" i="1"/>
  <c r="O20" i="1"/>
  <c r="P22" i="1"/>
  <c r="K22" i="1"/>
  <c r="AB20" i="1"/>
  <c r="R20" i="1"/>
  <c r="AA20" i="1"/>
  <c r="Q20" i="1"/>
  <c r="U22" i="1"/>
  <c r="Z22" i="1"/>
  <c r="F20" i="1"/>
  <c r="V20" i="1"/>
  <c r="G20" i="1"/>
  <c r="W20" i="1"/>
  <c r="AQ20" i="1"/>
  <c r="AP20" i="1"/>
  <c r="AK20" i="1"/>
  <c r="AL20" i="1"/>
  <c r="AF20" i="1"/>
  <c r="AG20" i="1"/>
  <c r="E21" i="1"/>
  <c r="M21" i="1" s="1"/>
  <c r="H21" i="1"/>
  <c r="D21" i="1"/>
  <c r="L21" i="1" s="1"/>
  <c r="AE22" i="1"/>
  <c r="A23" i="1"/>
  <c r="I23" i="1" s="1"/>
  <c r="J23" i="1" s="1"/>
  <c r="AO22" i="1"/>
  <c r="AJ22" i="1"/>
  <c r="B22" i="1"/>
  <c r="C22" i="1" s="1"/>
  <c r="AH21" i="1" l="1"/>
  <c r="AI21" i="1"/>
  <c r="AD21" i="1"/>
  <c r="AC21" i="1"/>
  <c r="X21" i="1"/>
  <c r="Y21" i="1"/>
  <c r="O21" i="1"/>
  <c r="T21" i="1"/>
  <c r="S21" i="1"/>
  <c r="N21" i="1"/>
  <c r="P23" i="1"/>
  <c r="K23" i="1"/>
  <c r="AB21" i="1"/>
  <c r="R21" i="1"/>
  <c r="AA21" i="1"/>
  <c r="Q21" i="1"/>
  <c r="U23" i="1"/>
  <c r="Z23" i="1"/>
  <c r="G21" i="1"/>
  <c r="W21" i="1"/>
  <c r="F21" i="1"/>
  <c r="V21" i="1"/>
  <c r="AP21" i="1"/>
  <c r="AQ21" i="1"/>
  <c r="AK21" i="1"/>
  <c r="AL21" i="1"/>
  <c r="AF21" i="1"/>
  <c r="AG21" i="1"/>
  <c r="E22" i="1"/>
  <c r="R22" i="1" s="1"/>
  <c r="H22" i="1"/>
  <c r="D22" i="1"/>
  <c r="L22" i="1" s="1"/>
  <c r="A24" i="1"/>
  <c r="I24" i="1" s="1"/>
  <c r="J24" i="1" s="1"/>
  <c r="AO23" i="1"/>
  <c r="AJ23" i="1"/>
  <c r="B23" i="1"/>
  <c r="C23" i="1" s="1"/>
  <c r="AE23" i="1"/>
  <c r="AH22" i="1" l="1"/>
  <c r="AI22" i="1"/>
  <c r="AD22" i="1"/>
  <c r="AC22" i="1"/>
  <c r="Y22" i="1"/>
  <c r="X22" i="1"/>
  <c r="S22" i="1"/>
  <c r="T22" i="1"/>
  <c r="N22" i="1"/>
  <c r="O22" i="1"/>
  <c r="M22" i="1"/>
  <c r="P24" i="1"/>
  <c r="K24" i="1"/>
  <c r="AA22" i="1"/>
  <c r="Q22" i="1"/>
  <c r="AB22" i="1"/>
  <c r="U24" i="1"/>
  <c r="Z24" i="1"/>
  <c r="G22" i="1"/>
  <c r="W22" i="1"/>
  <c r="F22" i="1"/>
  <c r="V22" i="1"/>
  <c r="AQ22" i="1"/>
  <c r="AG22" i="1"/>
  <c r="AP22" i="1"/>
  <c r="AK22" i="1"/>
  <c r="AL22" i="1"/>
  <c r="AF22" i="1"/>
  <c r="AE24" i="1"/>
  <c r="A25" i="1"/>
  <c r="I25" i="1" s="1"/>
  <c r="J25" i="1" s="1"/>
  <c r="AO24" i="1"/>
  <c r="AJ24" i="1"/>
  <c r="B24" i="1"/>
  <c r="C24" i="1" s="1"/>
  <c r="E23" i="1"/>
  <c r="M23" i="1" s="1"/>
  <c r="H23" i="1"/>
  <c r="D23" i="1"/>
  <c r="L23" i="1" s="1"/>
  <c r="AH23" i="1" l="1"/>
  <c r="AI23" i="1"/>
  <c r="AC23" i="1"/>
  <c r="AD23" i="1"/>
  <c r="X23" i="1"/>
  <c r="Y23" i="1"/>
  <c r="T23" i="1"/>
  <c r="S23" i="1"/>
  <c r="N23" i="1"/>
  <c r="O23" i="1"/>
  <c r="P25" i="1"/>
  <c r="K25" i="1"/>
  <c r="AB23" i="1"/>
  <c r="R23" i="1"/>
  <c r="AA23" i="1"/>
  <c r="Q23" i="1"/>
  <c r="U25" i="1"/>
  <c r="Z25" i="1"/>
  <c r="F23" i="1"/>
  <c r="V23" i="1"/>
  <c r="G23" i="1"/>
  <c r="W23" i="1"/>
  <c r="AQ23" i="1"/>
  <c r="AP23" i="1"/>
  <c r="AL23" i="1"/>
  <c r="AK23" i="1"/>
  <c r="AF23" i="1"/>
  <c r="AG23" i="1"/>
  <c r="A26" i="1"/>
  <c r="I26" i="1" s="1"/>
  <c r="J26" i="1" s="1"/>
  <c r="AO25" i="1"/>
  <c r="AJ25" i="1"/>
  <c r="B25" i="1"/>
  <c r="C25" i="1" s="1"/>
  <c r="AE25" i="1"/>
  <c r="E24" i="1"/>
  <c r="M24" i="1" s="1"/>
  <c r="H24" i="1"/>
  <c r="D24" i="1"/>
  <c r="L24" i="1" s="1"/>
  <c r="AH24" i="1" l="1"/>
  <c r="AI24" i="1"/>
  <c r="AC24" i="1"/>
  <c r="AD24" i="1"/>
  <c r="Y24" i="1"/>
  <c r="X24" i="1"/>
  <c r="S24" i="1"/>
  <c r="T24" i="1"/>
  <c r="O24" i="1"/>
  <c r="N24" i="1"/>
  <c r="P26" i="1"/>
  <c r="K26" i="1"/>
  <c r="AB24" i="1"/>
  <c r="R24" i="1"/>
  <c r="AA24" i="1"/>
  <c r="Q24" i="1"/>
  <c r="U26" i="1"/>
  <c r="Z26" i="1"/>
  <c r="F24" i="1"/>
  <c r="V24" i="1"/>
  <c r="G24" i="1"/>
  <c r="W24" i="1"/>
  <c r="AP24" i="1"/>
  <c r="AQ24" i="1"/>
  <c r="AK24" i="1"/>
  <c r="AL24" i="1"/>
  <c r="AG24" i="1"/>
  <c r="AF24" i="1"/>
  <c r="E25" i="1"/>
  <c r="M25" i="1" s="1"/>
  <c r="H25" i="1"/>
  <c r="D25" i="1"/>
  <c r="L25" i="1" s="1"/>
  <c r="AE26" i="1"/>
  <c r="A27" i="1"/>
  <c r="I27" i="1" s="1"/>
  <c r="J27" i="1" s="1"/>
  <c r="AO26" i="1"/>
  <c r="B26" i="1"/>
  <c r="C26" i="1" s="1"/>
  <c r="AJ26" i="1"/>
  <c r="AI25" i="1" l="1"/>
  <c r="AH25" i="1"/>
  <c r="AC25" i="1"/>
  <c r="AD25" i="1"/>
  <c r="X25" i="1"/>
  <c r="Y25" i="1"/>
  <c r="O25" i="1"/>
  <c r="T25" i="1"/>
  <c r="S25" i="1"/>
  <c r="N25" i="1"/>
  <c r="P27" i="1"/>
  <c r="K27" i="1"/>
  <c r="AB25" i="1"/>
  <c r="R25" i="1"/>
  <c r="AA25" i="1"/>
  <c r="Q25" i="1"/>
  <c r="U27" i="1"/>
  <c r="Z27" i="1"/>
  <c r="G25" i="1"/>
  <c r="W25" i="1"/>
  <c r="F25" i="1"/>
  <c r="V25" i="1"/>
  <c r="AP25" i="1"/>
  <c r="AF25" i="1"/>
  <c r="AK25" i="1"/>
  <c r="AQ25" i="1"/>
  <c r="AL25" i="1"/>
  <c r="AG25" i="1"/>
  <c r="E26" i="1"/>
  <c r="M26" i="1" s="1"/>
  <c r="H26" i="1"/>
  <c r="D26" i="1"/>
  <c r="L26" i="1" s="1"/>
  <c r="A28" i="1"/>
  <c r="I28" i="1" s="1"/>
  <c r="J28" i="1" s="1"/>
  <c r="AO27" i="1"/>
  <c r="AJ27" i="1"/>
  <c r="B27" i="1"/>
  <c r="C27" i="1" s="1"/>
  <c r="AE27" i="1"/>
  <c r="AH26" i="1" l="1"/>
  <c r="AI26" i="1"/>
  <c r="AC26" i="1"/>
  <c r="AD26" i="1"/>
  <c r="X26" i="1"/>
  <c r="Y26" i="1"/>
  <c r="T26" i="1"/>
  <c r="S26" i="1"/>
  <c r="N26" i="1"/>
  <c r="O26" i="1"/>
  <c r="P28" i="1"/>
  <c r="K28" i="1"/>
  <c r="AB26" i="1"/>
  <c r="R26" i="1"/>
  <c r="AA26" i="1"/>
  <c r="Q26" i="1"/>
  <c r="U28" i="1"/>
  <c r="Z28" i="1"/>
  <c r="G26" i="1"/>
  <c r="W26" i="1"/>
  <c r="F26" i="1"/>
  <c r="V26" i="1"/>
  <c r="AP26" i="1"/>
  <c r="AQ26" i="1"/>
  <c r="AK26" i="1"/>
  <c r="AL26" i="1"/>
  <c r="AG26" i="1"/>
  <c r="AF26" i="1"/>
  <c r="AE28" i="1"/>
  <c r="A29" i="1"/>
  <c r="I29" i="1" s="1"/>
  <c r="J29" i="1" s="1"/>
  <c r="AO28" i="1"/>
  <c r="B28" i="1"/>
  <c r="C28" i="1" s="1"/>
  <c r="AJ28" i="1"/>
  <c r="E27" i="1"/>
  <c r="M27" i="1" s="1"/>
  <c r="D27" i="1"/>
  <c r="L27" i="1" s="1"/>
  <c r="H27" i="1"/>
  <c r="AH27" i="1" l="1"/>
  <c r="AI27" i="1"/>
  <c r="AC27" i="1"/>
  <c r="AD27" i="1"/>
  <c r="S27" i="1"/>
  <c r="X27" i="1"/>
  <c r="Y27" i="1"/>
  <c r="T27" i="1"/>
  <c r="N27" i="1"/>
  <c r="O27" i="1"/>
  <c r="P29" i="1"/>
  <c r="K29" i="1"/>
  <c r="AB27" i="1"/>
  <c r="R27" i="1"/>
  <c r="AA27" i="1"/>
  <c r="Q27" i="1"/>
  <c r="U29" i="1"/>
  <c r="Z29" i="1"/>
  <c r="F27" i="1"/>
  <c r="V27" i="1"/>
  <c r="G27" i="1"/>
  <c r="W27" i="1"/>
  <c r="AP27" i="1"/>
  <c r="AQ27" i="1"/>
  <c r="AL27" i="1"/>
  <c r="AK27" i="1"/>
  <c r="AF27" i="1"/>
  <c r="AG27" i="1"/>
  <c r="A30" i="1"/>
  <c r="I30" i="1" s="1"/>
  <c r="J30" i="1" s="1"/>
  <c r="AO29" i="1"/>
  <c r="AJ29" i="1"/>
  <c r="B29" i="1"/>
  <c r="C29" i="1" s="1"/>
  <c r="AE29" i="1"/>
  <c r="E28" i="1"/>
  <c r="M28" i="1" s="1"/>
  <c r="H28" i="1"/>
  <c r="D28" i="1"/>
  <c r="L28" i="1" s="1"/>
  <c r="AH28" i="1" l="1"/>
  <c r="AI28" i="1"/>
  <c r="AC28" i="1"/>
  <c r="AD28" i="1"/>
  <c r="S28" i="1"/>
  <c r="X28" i="1"/>
  <c r="Y28" i="1"/>
  <c r="T28" i="1"/>
  <c r="N28" i="1"/>
  <c r="O28" i="1"/>
  <c r="P30" i="1"/>
  <c r="K30" i="1"/>
  <c r="AB28" i="1"/>
  <c r="R28" i="1"/>
  <c r="AA28" i="1"/>
  <c r="Q28" i="1"/>
  <c r="U30" i="1"/>
  <c r="Z30" i="1"/>
  <c r="F28" i="1"/>
  <c r="V28" i="1"/>
  <c r="G28" i="1"/>
  <c r="W28" i="1"/>
  <c r="AQ28" i="1"/>
  <c r="AP28" i="1"/>
  <c r="AK28" i="1"/>
  <c r="AL28" i="1"/>
  <c r="AF28" i="1"/>
  <c r="AG28" i="1"/>
  <c r="E29" i="1"/>
  <c r="M29" i="1" s="1"/>
  <c r="H29" i="1"/>
  <c r="D29" i="1"/>
  <c r="L29" i="1" s="1"/>
  <c r="AE30" i="1"/>
  <c r="A31" i="1"/>
  <c r="I31" i="1" s="1"/>
  <c r="J31" i="1" s="1"/>
  <c r="AO30" i="1"/>
  <c r="AJ30" i="1"/>
  <c r="B30" i="1"/>
  <c r="C30" i="1" s="1"/>
  <c r="AI30" i="1" l="1"/>
  <c r="AH29" i="1"/>
  <c r="AI29" i="1"/>
  <c r="AD29" i="1"/>
  <c r="AC29" i="1"/>
  <c r="X29" i="1"/>
  <c r="Y29" i="1"/>
  <c r="S29" i="1"/>
  <c r="O29" i="1"/>
  <c r="T29" i="1"/>
  <c r="N29" i="1"/>
  <c r="P31" i="1"/>
  <c r="K31" i="1"/>
  <c r="AB29" i="1"/>
  <c r="R29" i="1"/>
  <c r="AA29" i="1"/>
  <c r="Q29" i="1"/>
  <c r="AF29" i="1"/>
  <c r="U31" i="1"/>
  <c r="Z31" i="1"/>
  <c r="F29" i="1"/>
  <c r="V29" i="1"/>
  <c r="G29" i="1"/>
  <c r="W29" i="1"/>
  <c r="AG29" i="1"/>
  <c r="AL29" i="1"/>
  <c r="AP29" i="1"/>
  <c r="AQ29" i="1"/>
  <c r="AK29" i="1"/>
  <c r="E30" i="1"/>
  <c r="M30" i="1" s="1"/>
  <c r="H30" i="1"/>
  <c r="D30" i="1"/>
  <c r="L30" i="1" s="1"/>
  <c r="A32" i="1"/>
  <c r="I32" i="1" s="1"/>
  <c r="J32" i="1" s="1"/>
  <c r="AO31" i="1"/>
  <c r="AJ31" i="1"/>
  <c r="B31" i="1"/>
  <c r="C31" i="1" s="1"/>
  <c r="AE31" i="1"/>
  <c r="AH30" i="1" l="1"/>
  <c r="AD30" i="1"/>
  <c r="AC30" i="1"/>
  <c r="X30" i="1"/>
  <c r="Y30" i="1"/>
  <c r="S30" i="1"/>
  <c r="T30" i="1"/>
  <c r="N30" i="1"/>
  <c r="O30" i="1"/>
  <c r="P32" i="1"/>
  <c r="K32" i="1"/>
  <c r="AB30" i="1"/>
  <c r="R30" i="1"/>
  <c r="AA30" i="1"/>
  <c r="Q30" i="1"/>
  <c r="U32" i="1"/>
  <c r="Z32" i="1"/>
  <c r="G30" i="1"/>
  <c r="W30" i="1"/>
  <c r="F30" i="1"/>
  <c r="V30" i="1"/>
  <c r="AQ30" i="1"/>
  <c r="AP30" i="1"/>
  <c r="AK30" i="1"/>
  <c r="AL30" i="1"/>
  <c r="AG30" i="1"/>
  <c r="AF30" i="1"/>
  <c r="E31" i="1"/>
  <c r="M31" i="1" s="1"/>
  <c r="H31" i="1"/>
  <c r="D31" i="1"/>
  <c r="L31" i="1" s="1"/>
  <c r="AE32" i="1"/>
  <c r="A33" i="1"/>
  <c r="I33" i="1" s="1"/>
  <c r="J33" i="1" s="1"/>
  <c r="AO32" i="1"/>
  <c r="B32" i="1"/>
  <c r="C32" i="1" s="1"/>
  <c r="AJ32" i="1"/>
  <c r="AI31" i="1" l="1"/>
  <c r="AH31" i="1"/>
  <c r="AC31" i="1"/>
  <c r="AD31" i="1"/>
  <c r="X31" i="1"/>
  <c r="Y31" i="1"/>
  <c r="S31" i="1"/>
  <c r="T31" i="1"/>
  <c r="N31" i="1"/>
  <c r="O31" i="1"/>
  <c r="P33" i="1"/>
  <c r="K33" i="1"/>
  <c r="AB31" i="1"/>
  <c r="R31" i="1"/>
  <c r="AA31" i="1"/>
  <c r="Q31" i="1"/>
  <c r="U33" i="1"/>
  <c r="Z33" i="1"/>
  <c r="F31" i="1"/>
  <c r="V31" i="1"/>
  <c r="G31" i="1"/>
  <c r="W31" i="1"/>
  <c r="AP31" i="1"/>
  <c r="AQ31" i="1"/>
  <c r="AK31" i="1"/>
  <c r="AL31" i="1"/>
  <c r="AF31" i="1"/>
  <c r="AG31" i="1"/>
  <c r="E32" i="1"/>
  <c r="M32" i="1" s="1"/>
  <c r="H32" i="1"/>
  <c r="D32" i="1"/>
  <c r="L32" i="1" s="1"/>
  <c r="A34" i="1"/>
  <c r="I34" i="1" s="1"/>
  <c r="J34" i="1" s="1"/>
  <c r="AO33" i="1"/>
  <c r="AJ33" i="1"/>
  <c r="B33" i="1"/>
  <c r="C33" i="1" s="1"/>
  <c r="AE33" i="1"/>
  <c r="AH32" i="1" l="1"/>
  <c r="AI32" i="1"/>
  <c r="AC32" i="1"/>
  <c r="AD32" i="1"/>
  <c r="X32" i="1"/>
  <c r="Y32" i="1"/>
  <c r="S32" i="1"/>
  <c r="T32" i="1"/>
  <c r="N32" i="1"/>
  <c r="O32" i="1"/>
  <c r="P34" i="1"/>
  <c r="K34" i="1"/>
  <c r="AB32" i="1"/>
  <c r="R32" i="1"/>
  <c r="AA32" i="1"/>
  <c r="Q32" i="1"/>
  <c r="U34" i="1"/>
  <c r="Z34" i="1"/>
  <c r="G32" i="1"/>
  <c r="W32" i="1"/>
  <c r="F32" i="1"/>
  <c r="V32" i="1"/>
  <c r="AP32" i="1"/>
  <c r="AQ32" i="1"/>
  <c r="AK32" i="1"/>
  <c r="AL32" i="1"/>
  <c r="AF32" i="1"/>
  <c r="AG32" i="1"/>
  <c r="AE34" i="1"/>
  <c r="A35" i="1"/>
  <c r="I35" i="1" s="1"/>
  <c r="J35" i="1" s="1"/>
  <c r="AO34" i="1"/>
  <c r="B34" i="1"/>
  <c r="C34" i="1" s="1"/>
  <c r="AJ34" i="1"/>
  <c r="E33" i="1"/>
  <c r="M33" i="1" s="1"/>
  <c r="D33" i="1"/>
  <c r="N33" i="1" s="1"/>
  <c r="H33" i="1"/>
  <c r="AI33" i="1" l="1"/>
  <c r="AH33" i="1"/>
  <c r="AC33" i="1"/>
  <c r="AD33" i="1"/>
  <c r="X33" i="1"/>
  <c r="Y33" i="1"/>
  <c r="S33" i="1"/>
  <c r="L33" i="1"/>
  <c r="T33" i="1"/>
  <c r="O33" i="1"/>
  <c r="P35" i="1"/>
  <c r="K35" i="1"/>
  <c r="AB33" i="1"/>
  <c r="R33" i="1"/>
  <c r="AA33" i="1"/>
  <c r="Q33" i="1"/>
  <c r="U35" i="1"/>
  <c r="Z35" i="1"/>
  <c r="F33" i="1"/>
  <c r="V33" i="1"/>
  <c r="G33" i="1"/>
  <c r="W33" i="1"/>
  <c r="AQ33" i="1"/>
  <c r="AP33" i="1"/>
  <c r="AK33" i="1"/>
  <c r="AL33" i="1"/>
  <c r="AF33" i="1"/>
  <c r="AG33" i="1"/>
  <c r="E34" i="1"/>
  <c r="M34" i="1" s="1"/>
  <c r="H34" i="1"/>
  <c r="D34" i="1"/>
  <c r="L34" i="1" s="1"/>
  <c r="A36" i="1"/>
  <c r="I36" i="1" s="1"/>
  <c r="J36" i="1" s="1"/>
  <c r="AO35" i="1"/>
  <c r="AJ35" i="1"/>
  <c r="B35" i="1"/>
  <c r="C35" i="1" s="1"/>
  <c r="AE35" i="1"/>
  <c r="AH34" i="1" l="1"/>
  <c r="AI34" i="1"/>
  <c r="AC34" i="1"/>
  <c r="AD34" i="1"/>
  <c r="Y34" i="1"/>
  <c r="X34" i="1"/>
  <c r="S34" i="1"/>
  <c r="T34" i="1"/>
  <c r="N34" i="1"/>
  <c r="O34" i="1"/>
  <c r="P36" i="1"/>
  <c r="K36" i="1"/>
  <c r="AB34" i="1"/>
  <c r="R34" i="1"/>
  <c r="AA34" i="1"/>
  <c r="Q34" i="1"/>
  <c r="U36" i="1"/>
  <c r="Z36" i="1"/>
  <c r="G34" i="1"/>
  <c r="W34" i="1"/>
  <c r="F34" i="1"/>
  <c r="V34" i="1"/>
  <c r="AQ34" i="1"/>
  <c r="AP34" i="1"/>
  <c r="AL34" i="1"/>
  <c r="AG34" i="1"/>
  <c r="AK34" i="1"/>
  <c r="AF34" i="1"/>
  <c r="E35" i="1"/>
  <c r="O35" i="1" s="1"/>
  <c r="D35" i="1"/>
  <c r="N35" i="1" s="1"/>
  <c r="H35" i="1"/>
  <c r="AE36" i="1"/>
  <c r="A37" i="1"/>
  <c r="I37" i="1" s="1"/>
  <c r="J37" i="1" s="1"/>
  <c r="AO36" i="1"/>
  <c r="AJ36" i="1"/>
  <c r="B36" i="1"/>
  <c r="C36" i="1" s="1"/>
  <c r="AH35" i="1" l="1"/>
  <c r="AI35" i="1"/>
  <c r="AC35" i="1"/>
  <c r="AD35" i="1"/>
  <c r="X35" i="1"/>
  <c r="Y35" i="1"/>
  <c r="S35" i="1"/>
  <c r="T35" i="1"/>
  <c r="L35" i="1"/>
  <c r="M35" i="1"/>
  <c r="P37" i="1"/>
  <c r="K37" i="1"/>
  <c r="AP35" i="1"/>
  <c r="Q35" i="1"/>
  <c r="AB35" i="1"/>
  <c r="R35" i="1"/>
  <c r="AA35" i="1"/>
  <c r="U37" i="1"/>
  <c r="Z37" i="1"/>
  <c r="F35" i="1"/>
  <c r="V35" i="1"/>
  <c r="G35" i="1"/>
  <c r="W35" i="1"/>
  <c r="AQ35" i="1"/>
  <c r="AK35" i="1"/>
  <c r="AL35" i="1"/>
  <c r="AF35" i="1"/>
  <c r="AG35" i="1"/>
  <c r="E36" i="1"/>
  <c r="R36" i="1" s="1"/>
  <c r="H36" i="1"/>
  <c r="D36" i="1"/>
  <c r="L36" i="1" s="1"/>
  <c r="A38" i="1"/>
  <c r="I38" i="1" s="1"/>
  <c r="J38" i="1" s="1"/>
  <c r="AO37" i="1"/>
  <c r="AJ37" i="1"/>
  <c r="B37" i="1"/>
  <c r="C37" i="1" s="1"/>
  <c r="AE37" i="1"/>
  <c r="AH36" i="1" l="1"/>
  <c r="AI36" i="1"/>
  <c r="AC36" i="1"/>
  <c r="AD36" i="1"/>
  <c r="X36" i="1"/>
  <c r="Y36" i="1"/>
  <c r="S36" i="1"/>
  <c r="T36" i="1"/>
  <c r="N36" i="1"/>
  <c r="O36" i="1"/>
  <c r="P38" i="1"/>
  <c r="K38" i="1"/>
  <c r="M36" i="1"/>
  <c r="AA36" i="1"/>
  <c r="Q36" i="1"/>
  <c r="AB36" i="1"/>
  <c r="U38" i="1"/>
  <c r="Z38" i="1"/>
  <c r="G36" i="1"/>
  <c r="W36" i="1"/>
  <c r="F36" i="1"/>
  <c r="V36" i="1"/>
  <c r="AP36" i="1"/>
  <c r="AQ36" i="1"/>
  <c r="AK36" i="1"/>
  <c r="AL36" i="1"/>
  <c r="AF36" i="1"/>
  <c r="AG36" i="1"/>
  <c r="E37" i="1"/>
  <c r="M37" i="1" s="1"/>
  <c r="H37" i="1"/>
  <c r="D37" i="1"/>
  <c r="N37" i="1" s="1"/>
  <c r="AE38" i="1"/>
  <c r="A39" i="1"/>
  <c r="I39" i="1" s="1"/>
  <c r="J39" i="1" s="1"/>
  <c r="AO38" i="1"/>
  <c r="AJ38" i="1"/>
  <c r="B38" i="1"/>
  <c r="C38" i="1" s="1"/>
  <c r="AH37" i="1" l="1"/>
  <c r="AI37" i="1"/>
  <c r="AD37" i="1"/>
  <c r="AC37" i="1"/>
  <c r="X37" i="1"/>
  <c r="Y37" i="1"/>
  <c r="T37" i="1"/>
  <c r="S37" i="1"/>
  <c r="L37" i="1"/>
  <c r="O37" i="1"/>
  <c r="P39" i="1"/>
  <c r="K39" i="1"/>
  <c r="AA37" i="1"/>
  <c r="Q37" i="1"/>
  <c r="AB37" i="1"/>
  <c r="R37" i="1"/>
  <c r="AP37" i="1"/>
  <c r="U39" i="1"/>
  <c r="Z39" i="1"/>
  <c r="F37" i="1"/>
  <c r="V37" i="1"/>
  <c r="G37" i="1"/>
  <c r="W37" i="1"/>
  <c r="AQ37" i="1"/>
  <c r="AK37" i="1"/>
  <c r="AL37" i="1"/>
  <c r="AG37" i="1"/>
  <c r="AF37" i="1"/>
  <c r="E38" i="1"/>
  <c r="M38" i="1" s="1"/>
  <c r="H38" i="1"/>
  <c r="D38" i="1"/>
  <c r="L38" i="1" s="1"/>
  <c r="A40" i="1"/>
  <c r="I40" i="1" s="1"/>
  <c r="J40" i="1" s="1"/>
  <c r="AO39" i="1"/>
  <c r="AJ39" i="1"/>
  <c r="B39" i="1"/>
  <c r="C39" i="1" s="1"/>
  <c r="AE39" i="1"/>
  <c r="AH38" i="1" l="1"/>
  <c r="AI38" i="1"/>
  <c r="AD38" i="1"/>
  <c r="AC38" i="1"/>
  <c r="S38" i="1"/>
  <c r="Y38" i="1"/>
  <c r="X38" i="1"/>
  <c r="T38" i="1"/>
  <c r="N38" i="1"/>
  <c r="O38" i="1"/>
  <c r="P40" i="1"/>
  <c r="K40" i="1"/>
  <c r="AB38" i="1"/>
  <c r="R38" i="1"/>
  <c r="AA38" i="1"/>
  <c r="Q38" i="1"/>
  <c r="U40" i="1"/>
  <c r="Z40" i="1"/>
  <c r="G38" i="1"/>
  <c r="W38" i="1"/>
  <c r="F38" i="1"/>
  <c r="V38" i="1"/>
  <c r="AP38" i="1"/>
  <c r="AQ38" i="1"/>
  <c r="AK38" i="1"/>
  <c r="AL38" i="1"/>
  <c r="AG38" i="1"/>
  <c r="AF38" i="1"/>
  <c r="E39" i="1"/>
  <c r="O39" i="1" s="1"/>
  <c r="H39" i="1"/>
  <c r="D39" i="1"/>
  <c r="L39" i="1" s="1"/>
  <c r="AE40" i="1"/>
  <c r="A41" i="1"/>
  <c r="I41" i="1" s="1"/>
  <c r="J41" i="1" s="1"/>
  <c r="AO40" i="1"/>
  <c r="B40" i="1"/>
  <c r="C40" i="1" s="1"/>
  <c r="AJ40" i="1"/>
  <c r="AH39" i="1" l="1"/>
  <c r="AI39" i="1"/>
  <c r="AC39" i="1"/>
  <c r="AD39" i="1"/>
  <c r="X39" i="1"/>
  <c r="Y39" i="1"/>
  <c r="S39" i="1"/>
  <c r="T39" i="1"/>
  <c r="N39" i="1"/>
  <c r="M39" i="1"/>
  <c r="P41" i="1"/>
  <c r="K41" i="1"/>
  <c r="AB39" i="1"/>
  <c r="R39" i="1"/>
  <c r="AA39" i="1"/>
  <c r="Q39" i="1"/>
  <c r="U41" i="1"/>
  <c r="Z41" i="1"/>
  <c r="G39" i="1"/>
  <c r="W39" i="1"/>
  <c r="F39" i="1"/>
  <c r="V39" i="1"/>
  <c r="AP39" i="1"/>
  <c r="AQ39" i="1"/>
  <c r="AK39" i="1"/>
  <c r="AL39" i="1"/>
  <c r="AF39" i="1"/>
  <c r="AG39" i="1"/>
  <c r="E40" i="1"/>
  <c r="M40" i="1" s="1"/>
  <c r="H40" i="1"/>
  <c r="D40" i="1"/>
  <c r="L40" i="1" s="1"/>
  <c r="A42" i="1"/>
  <c r="I42" i="1" s="1"/>
  <c r="J42" i="1" s="1"/>
  <c r="AO41" i="1"/>
  <c r="AJ41" i="1"/>
  <c r="B41" i="1"/>
  <c r="C41" i="1" s="1"/>
  <c r="AE41" i="1"/>
  <c r="AH40" i="1" l="1"/>
  <c r="AI40" i="1"/>
  <c r="AC40" i="1"/>
  <c r="AD40" i="1"/>
  <c r="X40" i="1"/>
  <c r="Y40" i="1"/>
  <c r="S40" i="1"/>
  <c r="T40" i="1"/>
  <c r="N40" i="1"/>
  <c r="O40" i="1"/>
  <c r="P42" i="1"/>
  <c r="K42" i="1"/>
  <c r="AQ40" i="1"/>
  <c r="R40" i="1"/>
  <c r="AA40" i="1"/>
  <c r="Q40" i="1"/>
  <c r="U42" i="1"/>
  <c r="Z42" i="1"/>
  <c r="AB40" i="1"/>
  <c r="F40" i="1"/>
  <c r="V40" i="1"/>
  <c r="G40" i="1"/>
  <c r="W40" i="1"/>
  <c r="AP40" i="1"/>
  <c r="AK40" i="1"/>
  <c r="AL40" i="1"/>
  <c r="AF40" i="1"/>
  <c r="AG40" i="1"/>
  <c r="E41" i="1"/>
  <c r="M41" i="1" s="1"/>
  <c r="H41" i="1"/>
  <c r="D41" i="1"/>
  <c r="N41" i="1" s="1"/>
  <c r="AE42" i="1"/>
  <c r="A43" i="1"/>
  <c r="I43" i="1" s="1"/>
  <c r="J43" i="1" s="1"/>
  <c r="AO42" i="1"/>
  <c r="B42" i="1"/>
  <c r="C42" i="1" s="1"/>
  <c r="AJ42" i="1"/>
  <c r="AI41" i="1" l="1"/>
  <c r="AH41" i="1"/>
  <c r="AC41" i="1"/>
  <c r="AD41" i="1"/>
  <c r="X41" i="1"/>
  <c r="Y41" i="1"/>
  <c r="S41" i="1"/>
  <c r="T41" i="1"/>
  <c r="L41" i="1"/>
  <c r="O41" i="1"/>
  <c r="P43" i="1"/>
  <c r="K43" i="1"/>
  <c r="AB41" i="1"/>
  <c r="R41" i="1"/>
  <c r="AA41" i="1"/>
  <c r="Q41" i="1"/>
  <c r="U43" i="1"/>
  <c r="Z43" i="1"/>
  <c r="G41" i="1"/>
  <c r="W41" i="1"/>
  <c r="F41" i="1"/>
  <c r="V41" i="1"/>
  <c r="AP41" i="1"/>
  <c r="AQ41" i="1"/>
  <c r="AK41" i="1"/>
  <c r="AL41" i="1"/>
  <c r="AG41" i="1"/>
  <c r="AF41" i="1"/>
  <c r="E42" i="1"/>
  <c r="M42" i="1" s="1"/>
  <c r="H42" i="1"/>
  <c r="D42" i="1"/>
  <c r="L42" i="1" s="1"/>
  <c r="A44" i="1"/>
  <c r="I44" i="1" s="1"/>
  <c r="J44" i="1" s="1"/>
  <c r="AO43" i="1"/>
  <c r="AJ43" i="1"/>
  <c r="B43" i="1"/>
  <c r="C43" i="1" s="1"/>
  <c r="AE43" i="1"/>
  <c r="AH42" i="1" l="1"/>
  <c r="AI42" i="1"/>
  <c r="AC42" i="1"/>
  <c r="AD42" i="1"/>
  <c r="S42" i="1"/>
  <c r="X42" i="1"/>
  <c r="Y42" i="1"/>
  <c r="T42" i="1"/>
  <c r="O42" i="1"/>
  <c r="N42" i="1"/>
  <c r="P44" i="1"/>
  <c r="K44" i="1"/>
  <c r="AB42" i="1"/>
  <c r="R42" i="1"/>
  <c r="AA42" i="1"/>
  <c r="Q42" i="1"/>
  <c r="U44" i="1"/>
  <c r="Z44" i="1"/>
  <c r="G42" i="1"/>
  <c r="W42" i="1"/>
  <c r="F42" i="1"/>
  <c r="V42" i="1"/>
  <c r="AQ42" i="1"/>
  <c r="AP42" i="1"/>
  <c r="AK42" i="1"/>
  <c r="AL42" i="1"/>
  <c r="AF42" i="1"/>
  <c r="AG42" i="1"/>
  <c r="E43" i="1"/>
  <c r="M43" i="1" s="1"/>
  <c r="D43" i="1"/>
  <c r="L43" i="1" s="1"/>
  <c r="H43" i="1"/>
  <c r="AE44" i="1"/>
  <c r="A45" i="1"/>
  <c r="I45" i="1" s="1"/>
  <c r="J45" i="1" s="1"/>
  <c r="AO44" i="1"/>
  <c r="B44" i="1"/>
  <c r="C44" i="1" s="1"/>
  <c r="AJ44" i="1"/>
  <c r="AH43" i="1" l="1"/>
  <c r="AI43" i="1"/>
  <c r="AC43" i="1"/>
  <c r="AD43" i="1"/>
  <c r="X43" i="1"/>
  <c r="Y43" i="1"/>
  <c r="S43" i="1"/>
  <c r="T43" i="1"/>
  <c r="N43" i="1"/>
  <c r="O43" i="1"/>
  <c r="P45" i="1"/>
  <c r="K45" i="1"/>
  <c r="AA43" i="1"/>
  <c r="Q43" i="1"/>
  <c r="AQ43" i="1"/>
  <c r="R43" i="1"/>
  <c r="U45" i="1"/>
  <c r="Z45" i="1"/>
  <c r="AB43" i="1"/>
  <c r="F43" i="1"/>
  <c r="V43" i="1"/>
  <c r="G43" i="1"/>
  <c r="W43" i="1"/>
  <c r="AP43" i="1"/>
  <c r="AL43" i="1"/>
  <c r="AK43" i="1"/>
  <c r="AF43" i="1"/>
  <c r="AG43" i="1"/>
  <c r="E44" i="1"/>
  <c r="R44" i="1" s="1"/>
  <c r="H44" i="1"/>
  <c r="D44" i="1"/>
  <c r="L44" i="1" s="1"/>
  <c r="A46" i="1"/>
  <c r="I46" i="1" s="1"/>
  <c r="J46" i="1" s="1"/>
  <c r="AO45" i="1"/>
  <c r="AJ45" i="1"/>
  <c r="B45" i="1"/>
  <c r="C45" i="1" s="1"/>
  <c r="AE45" i="1"/>
  <c r="AH44" i="1" l="1"/>
  <c r="AI44" i="1"/>
  <c r="AC44" i="1"/>
  <c r="AD44" i="1"/>
  <c r="X44" i="1"/>
  <c r="Y44" i="1"/>
  <c r="T44" i="1"/>
  <c r="S44" i="1"/>
  <c r="N44" i="1"/>
  <c r="O44" i="1"/>
  <c r="P46" i="1"/>
  <c r="K46" i="1"/>
  <c r="M44" i="1"/>
  <c r="AA44" i="1"/>
  <c r="Q44" i="1"/>
  <c r="AB44" i="1"/>
  <c r="U46" i="1"/>
  <c r="Z46" i="1"/>
  <c r="G44" i="1"/>
  <c r="W44" i="1"/>
  <c r="F44" i="1"/>
  <c r="V44" i="1"/>
  <c r="AP44" i="1"/>
  <c r="AQ44" i="1"/>
  <c r="AK44" i="1"/>
  <c r="AL44" i="1"/>
  <c r="AF44" i="1"/>
  <c r="AG44" i="1"/>
  <c r="E45" i="1"/>
  <c r="M45" i="1" s="1"/>
  <c r="H45" i="1"/>
  <c r="D45" i="1"/>
  <c r="N45" i="1" s="1"/>
  <c r="AE46" i="1"/>
  <c r="A47" i="1"/>
  <c r="I47" i="1" s="1"/>
  <c r="J47" i="1" s="1"/>
  <c r="AO46" i="1"/>
  <c r="AJ46" i="1"/>
  <c r="B46" i="1"/>
  <c r="C46" i="1" s="1"/>
  <c r="AH45" i="1" l="1"/>
  <c r="AI45" i="1"/>
  <c r="AD45" i="1"/>
  <c r="AC45" i="1"/>
  <c r="Y45" i="1"/>
  <c r="X45" i="1"/>
  <c r="S45" i="1"/>
  <c r="T45" i="1"/>
  <c r="L45" i="1"/>
  <c r="O45" i="1"/>
  <c r="P47" i="1"/>
  <c r="K47" i="1"/>
  <c r="AA45" i="1"/>
  <c r="Q45" i="1"/>
  <c r="AB45" i="1"/>
  <c r="R45" i="1"/>
  <c r="U47" i="1"/>
  <c r="Z47" i="1"/>
  <c r="F45" i="1"/>
  <c r="V45" i="1"/>
  <c r="G45" i="1"/>
  <c r="W45" i="1"/>
  <c r="AP45" i="1"/>
  <c r="AQ45" i="1"/>
  <c r="AK45" i="1"/>
  <c r="AL45" i="1"/>
  <c r="AF45" i="1"/>
  <c r="AG45" i="1"/>
  <c r="E46" i="1"/>
  <c r="M46" i="1" s="1"/>
  <c r="H46" i="1"/>
  <c r="D46" i="1"/>
  <c r="L46" i="1" s="1"/>
  <c r="A48" i="1"/>
  <c r="I48" i="1" s="1"/>
  <c r="J48" i="1" s="1"/>
  <c r="AO47" i="1"/>
  <c r="AJ47" i="1"/>
  <c r="B47" i="1"/>
  <c r="C47" i="1" s="1"/>
  <c r="AE47" i="1"/>
  <c r="AH46" i="1" l="1"/>
  <c r="AI46" i="1"/>
  <c r="AD46" i="1"/>
  <c r="AC46" i="1"/>
  <c r="Y46" i="1"/>
  <c r="X46" i="1"/>
  <c r="S46" i="1"/>
  <c r="T46" i="1"/>
  <c r="N46" i="1"/>
  <c r="O46" i="1"/>
  <c r="P48" i="1"/>
  <c r="K48" i="1"/>
  <c r="AB46" i="1"/>
  <c r="R46" i="1"/>
  <c r="AA46" i="1"/>
  <c r="Q46" i="1"/>
  <c r="U48" i="1"/>
  <c r="Z48" i="1"/>
  <c r="F46" i="1"/>
  <c r="V46" i="1"/>
  <c r="G46" i="1"/>
  <c r="W46" i="1"/>
  <c r="AP46" i="1"/>
  <c r="AQ46" i="1"/>
  <c r="AK46" i="1"/>
  <c r="AL46" i="1"/>
  <c r="AG46" i="1"/>
  <c r="AF46" i="1"/>
  <c r="AE48" i="1"/>
  <c r="A49" i="1"/>
  <c r="I49" i="1" s="1"/>
  <c r="J49" i="1" s="1"/>
  <c r="AO48" i="1"/>
  <c r="AJ48" i="1"/>
  <c r="B48" i="1"/>
  <c r="C48" i="1" s="1"/>
  <c r="E47" i="1"/>
  <c r="O47" i="1" s="1"/>
  <c r="H47" i="1"/>
  <c r="D47" i="1"/>
  <c r="L47" i="1" s="1"/>
  <c r="AH47" i="1" l="1"/>
  <c r="AI47" i="1"/>
  <c r="AC47" i="1"/>
  <c r="AD47" i="1"/>
  <c r="X47" i="1"/>
  <c r="Y47" i="1"/>
  <c r="N47" i="1"/>
  <c r="S47" i="1"/>
  <c r="T47" i="1"/>
  <c r="M47" i="1"/>
  <c r="P49" i="1"/>
  <c r="K49" i="1"/>
  <c r="AB47" i="1"/>
  <c r="R47" i="1"/>
  <c r="AA47" i="1"/>
  <c r="Q47" i="1"/>
  <c r="U49" i="1"/>
  <c r="Z49" i="1"/>
  <c r="G47" i="1"/>
  <c r="W47" i="1"/>
  <c r="F47" i="1"/>
  <c r="V47" i="1"/>
  <c r="AQ47" i="1"/>
  <c r="AP47" i="1"/>
  <c r="AL47" i="1"/>
  <c r="AK47" i="1"/>
  <c r="AF47" i="1"/>
  <c r="AG47" i="1"/>
  <c r="A50" i="1"/>
  <c r="I50" i="1" s="1"/>
  <c r="J50" i="1" s="1"/>
  <c r="AO49" i="1"/>
  <c r="AJ49" i="1"/>
  <c r="B49" i="1"/>
  <c r="C49" i="1" s="1"/>
  <c r="AE49" i="1"/>
  <c r="E48" i="1"/>
  <c r="M48" i="1" s="1"/>
  <c r="H48" i="1"/>
  <c r="D48" i="1"/>
  <c r="L48" i="1" s="1"/>
  <c r="AH48" i="1" l="1"/>
  <c r="AI48" i="1"/>
  <c r="AC48" i="1"/>
  <c r="AD48" i="1"/>
  <c r="X48" i="1"/>
  <c r="Y48" i="1"/>
  <c r="T48" i="1"/>
  <c r="S48" i="1"/>
  <c r="N48" i="1"/>
  <c r="O48" i="1"/>
  <c r="P50" i="1"/>
  <c r="K50" i="1"/>
  <c r="AB48" i="1"/>
  <c r="R48" i="1"/>
  <c r="AA48" i="1"/>
  <c r="Q48" i="1"/>
  <c r="U50" i="1"/>
  <c r="Z50" i="1"/>
  <c r="F48" i="1"/>
  <c r="V48" i="1"/>
  <c r="G48" i="1"/>
  <c r="W48" i="1"/>
  <c r="AP48" i="1"/>
  <c r="AQ48" i="1"/>
  <c r="AK48" i="1"/>
  <c r="AL48" i="1"/>
  <c r="AF48" i="1"/>
  <c r="AG48" i="1"/>
  <c r="E49" i="1"/>
  <c r="M49" i="1" s="1"/>
  <c r="D49" i="1"/>
  <c r="L49" i="1" s="1"/>
  <c r="H49" i="1"/>
  <c r="AE50" i="1"/>
  <c r="A51" i="1"/>
  <c r="I51" i="1" s="1"/>
  <c r="J51" i="1" s="1"/>
  <c r="AO50" i="1"/>
  <c r="B50" i="1"/>
  <c r="C50" i="1" s="1"/>
  <c r="AJ50" i="1"/>
  <c r="AH49" i="1" l="1"/>
  <c r="AI49" i="1"/>
  <c r="AC49" i="1"/>
  <c r="AD49" i="1"/>
  <c r="X49" i="1"/>
  <c r="Y49" i="1"/>
  <c r="O49" i="1"/>
  <c r="S49" i="1"/>
  <c r="T49" i="1"/>
  <c r="N49" i="1"/>
  <c r="P51" i="1"/>
  <c r="K51" i="1"/>
  <c r="AF49" i="1"/>
  <c r="Q49" i="1"/>
  <c r="AB49" i="1"/>
  <c r="R49" i="1"/>
  <c r="AA49" i="1"/>
  <c r="U51" i="1"/>
  <c r="Z51" i="1"/>
  <c r="G49" i="1"/>
  <c r="W49" i="1"/>
  <c r="F49" i="1"/>
  <c r="V49" i="1"/>
  <c r="AP49" i="1"/>
  <c r="AQ49" i="1"/>
  <c r="AK49" i="1"/>
  <c r="AL49" i="1"/>
  <c r="AG49" i="1"/>
  <c r="E50" i="1"/>
  <c r="M50" i="1" s="1"/>
  <c r="H50" i="1"/>
  <c r="D50" i="1"/>
  <c r="L50" i="1" s="1"/>
  <c r="A52" i="1"/>
  <c r="I52" i="1" s="1"/>
  <c r="J52" i="1" s="1"/>
  <c r="AO51" i="1"/>
  <c r="AJ51" i="1"/>
  <c r="B51" i="1"/>
  <c r="C51" i="1" s="1"/>
  <c r="AE51" i="1"/>
  <c r="AI50" i="1" l="1"/>
  <c r="AH50" i="1"/>
  <c r="AC50" i="1"/>
  <c r="AD50" i="1"/>
  <c r="Y50" i="1"/>
  <c r="X50" i="1"/>
  <c r="S50" i="1"/>
  <c r="T50" i="1"/>
  <c r="N50" i="1"/>
  <c r="O50" i="1"/>
  <c r="P52" i="1"/>
  <c r="K52" i="1"/>
  <c r="AB50" i="1"/>
  <c r="R50" i="1"/>
  <c r="AA50" i="1"/>
  <c r="Q50" i="1"/>
  <c r="U52" i="1"/>
  <c r="Z52" i="1"/>
  <c r="F50" i="1"/>
  <c r="V50" i="1"/>
  <c r="G50" i="1"/>
  <c r="W50" i="1"/>
  <c r="AP50" i="1"/>
  <c r="AQ50" i="1"/>
  <c r="AK50" i="1"/>
  <c r="AL50" i="1"/>
  <c r="AG50" i="1"/>
  <c r="AF50" i="1"/>
  <c r="AE52" i="1"/>
  <c r="A53" i="1"/>
  <c r="I53" i="1" s="1"/>
  <c r="J53" i="1" s="1"/>
  <c r="AO52" i="1"/>
  <c r="B52" i="1"/>
  <c r="C52" i="1" s="1"/>
  <c r="AJ52" i="1"/>
  <c r="E51" i="1"/>
  <c r="M51" i="1" s="1"/>
  <c r="D51" i="1"/>
  <c r="L51" i="1" s="1"/>
  <c r="H51" i="1"/>
  <c r="AH51" i="1" l="1"/>
  <c r="AI51" i="1"/>
  <c r="AD51" i="1"/>
  <c r="AC51" i="1"/>
  <c r="X51" i="1"/>
  <c r="Y51" i="1"/>
  <c r="S51" i="1"/>
  <c r="T51" i="1"/>
  <c r="N51" i="1"/>
  <c r="O51" i="1"/>
  <c r="P53" i="1"/>
  <c r="K53" i="1"/>
  <c r="AB51" i="1"/>
  <c r="R51" i="1"/>
  <c r="AA51" i="1"/>
  <c r="Q51" i="1"/>
  <c r="U53" i="1"/>
  <c r="Z53" i="1"/>
  <c r="F51" i="1"/>
  <c r="V51" i="1"/>
  <c r="G51" i="1"/>
  <c r="W51" i="1"/>
  <c r="AP51" i="1"/>
  <c r="AQ51" i="1"/>
  <c r="AK51" i="1"/>
  <c r="AL51" i="1"/>
  <c r="AG51" i="1"/>
  <c r="AF51" i="1"/>
  <c r="E52" i="1"/>
  <c r="M52" i="1" s="1"/>
  <c r="H52" i="1"/>
  <c r="D52" i="1"/>
  <c r="L52" i="1" s="1"/>
  <c r="A54" i="1"/>
  <c r="I54" i="1" s="1"/>
  <c r="J54" i="1" s="1"/>
  <c r="AO53" i="1"/>
  <c r="AJ53" i="1"/>
  <c r="B53" i="1"/>
  <c r="C53" i="1" s="1"/>
  <c r="AE53" i="1"/>
  <c r="AH52" i="1" l="1"/>
  <c r="AI52" i="1"/>
  <c r="AC52" i="1"/>
  <c r="AD52" i="1"/>
  <c r="X52" i="1"/>
  <c r="Y52" i="1"/>
  <c r="S52" i="1"/>
  <c r="T52" i="1"/>
  <c r="N52" i="1"/>
  <c r="O52" i="1"/>
  <c r="P54" i="1"/>
  <c r="K54" i="1"/>
  <c r="AB52" i="1"/>
  <c r="R52" i="1"/>
  <c r="AA52" i="1"/>
  <c r="Q52" i="1"/>
  <c r="U54" i="1"/>
  <c r="Z54" i="1"/>
  <c r="F52" i="1"/>
  <c r="V52" i="1"/>
  <c r="G52" i="1"/>
  <c r="W52" i="1"/>
  <c r="AP52" i="1"/>
  <c r="AK52" i="1"/>
  <c r="AQ52" i="1"/>
  <c r="AL52" i="1"/>
  <c r="AG52" i="1"/>
  <c r="AF52" i="1"/>
  <c r="E53" i="1"/>
  <c r="M53" i="1" s="1"/>
  <c r="H53" i="1"/>
  <c r="D53" i="1"/>
  <c r="L53" i="1" s="1"/>
  <c r="AE54" i="1"/>
  <c r="A55" i="1"/>
  <c r="I55" i="1" s="1"/>
  <c r="J55" i="1" s="1"/>
  <c r="AO54" i="1"/>
  <c r="AJ54" i="1"/>
  <c r="B54" i="1"/>
  <c r="C54" i="1" s="1"/>
  <c r="AH53" i="1" l="1"/>
  <c r="AI53" i="1"/>
  <c r="AD53" i="1"/>
  <c r="AC53" i="1"/>
  <c r="Y53" i="1"/>
  <c r="X53" i="1"/>
  <c r="N53" i="1"/>
  <c r="T53" i="1"/>
  <c r="S53" i="1"/>
  <c r="O53" i="1"/>
  <c r="P55" i="1"/>
  <c r="K55" i="1"/>
  <c r="AB53" i="1"/>
  <c r="R53" i="1"/>
  <c r="AA53" i="1"/>
  <c r="Q53" i="1"/>
  <c r="U55" i="1"/>
  <c r="Z55" i="1"/>
  <c r="F53" i="1"/>
  <c r="V53" i="1"/>
  <c r="G53" i="1"/>
  <c r="W53" i="1"/>
  <c r="AP53" i="1"/>
  <c r="AQ53" i="1"/>
  <c r="AK53" i="1"/>
  <c r="AL53" i="1"/>
  <c r="AF53" i="1"/>
  <c r="AG53" i="1"/>
  <c r="E54" i="1"/>
  <c r="R54" i="1" s="1"/>
  <c r="H54" i="1"/>
  <c r="D54" i="1"/>
  <c r="Q54" i="1" s="1"/>
  <c r="A56" i="1"/>
  <c r="I56" i="1" s="1"/>
  <c r="J56" i="1" s="1"/>
  <c r="AO55" i="1"/>
  <c r="AJ55" i="1"/>
  <c r="B55" i="1"/>
  <c r="C55" i="1" s="1"/>
  <c r="AE55" i="1"/>
  <c r="AH54" i="1" l="1"/>
  <c r="AI54" i="1"/>
  <c r="AD54" i="1"/>
  <c r="AC54" i="1"/>
  <c r="Y54" i="1"/>
  <c r="X54" i="1"/>
  <c r="S54" i="1"/>
  <c r="T54" i="1"/>
  <c r="N54" i="1"/>
  <c r="O54" i="1"/>
  <c r="L54" i="1"/>
  <c r="AB54" i="1"/>
  <c r="M54" i="1"/>
  <c r="P56" i="1"/>
  <c r="K56" i="1"/>
  <c r="AA54" i="1"/>
  <c r="U56" i="1"/>
  <c r="Z56" i="1"/>
  <c r="F54" i="1"/>
  <c r="V54" i="1"/>
  <c r="G54" i="1"/>
  <c r="W54" i="1"/>
  <c r="AP54" i="1"/>
  <c r="AQ54" i="1"/>
  <c r="AL54" i="1"/>
  <c r="AK54" i="1"/>
  <c r="AG54" i="1"/>
  <c r="AF54" i="1"/>
  <c r="E55" i="1"/>
  <c r="M55" i="1" s="1"/>
  <c r="H55" i="1"/>
  <c r="D55" i="1"/>
  <c r="L55" i="1" s="1"/>
  <c r="AE56" i="1"/>
  <c r="A57" i="1"/>
  <c r="I57" i="1" s="1"/>
  <c r="J57" i="1" s="1"/>
  <c r="AO56" i="1"/>
  <c r="AJ56" i="1"/>
  <c r="B56" i="1"/>
  <c r="C56" i="1" s="1"/>
  <c r="AH55" i="1" l="1"/>
  <c r="AI55" i="1"/>
  <c r="Y55" i="1"/>
  <c r="AC55" i="1"/>
  <c r="AD55" i="1"/>
  <c r="X55" i="1"/>
  <c r="S55" i="1"/>
  <c r="T55" i="1"/>
  <c r="N55" i="1"/>
  <c r="O55" i="1"/>
  <c r="P57" i="1"/>
  <c r="K57" i="1"/>
  <c r="AB55" i="1"/>
  <c r="R55" i="1"/>
  <c r="AA55" i="1"/>
  <c r="Q55" i="1"/>
  <c r="U57" i="1"/>
  <c r="Z57" i="1"/>
  <c r="G55" i="1"/>
  <c r="W55" i="1"/>
  <c r="F55" i="1"/>
  <c r="V55" i="1"/>
  <c r="AQ55" i="1"/>
  <c r="AP55" i="1"/>
  <c r="AK55" i="1"/>
  <c r="AL55" i="1"/>
  <c r="AF55" i="1"/>
  <c r="AG55" i="1"/>
  <c r="E56" i="1"/>
  <c r="M56" i="1" s="1"/>
  <c r="H56" i="1"/>
  <c r="D56" i="1"/>
  <c r="L56" i="1" s="1"/>
  <c r="A58" i="1"/>
  <c r="I58" i="1" s="1"/>
  <c r="J58" i="1" s="1"/>
  <c r="AO57" i="1"/>
  <c r="AJ57" i="1"/>
  <c r="B57" i="1"/>
  <c r="C57" i="1" s="1"/>
  <c r="AE57" i="1"/>
  <c r="AH56" i="1" l="1"/>
  <c r="AI56" i="1"/>
  <c r="AC56" i="1"/>
  <c r="AD56" i="1"/>
  <c r="Y56" i="1"/>
  <c r="X56" i="1"/>
  <c r="S56" i="1"/>
  <c r="T56" i="1"/>
  <c r="N56" i="1"/>
  <c r="O56" i="1"/>
  <c r="P58" i="1"/>
  <c r="K58" i="1"/>
  <c r="AB56" i="1"/>
  <c r="R56" i="1"/>
  <c r="AA56" i="1"/>
  <c r="Q56" i="1"/>
  <c r="U58" i="1"/>
  <c r="Z58" i="1"/>
  <c r="F56" i="1"/>
  <c r="V56" i="1"/>
  <c r="G56" i="1"/>
  <c r="W56" i="1"/>
  <c r="AQ56" i="1"/>
  <c r="AP56" i="1"/>
  <c r="AK56" i="1"/>
  <c r="AL56" i="1"/>
  <c r="AF56" i="1"/>
  <c r="AG56" i="1"/>
  <c r="AE58" i="1"/>
  <c r="AJ58" i="1"/>
  <c r="B58" i="1"/>
  <c r="C58" i="1" s="1"/>
  <c r="A59" i="1"/>
  <c r="I59" i="1" s="1"/>
  <c r="J59" i="1" s="1"/>
  <c r="AO58" i="1"/>
  <c r="E57" i="1"/>
  <c r="M57" i="1" s="1"/>
  <c r="D57" i="1"/>
  <c r="N57" i="1" s="1"/>
  <c r="H57" i="1"/>
  <c r="AI57" i="1" l="1"/>
  <c r="AH57" i="1"/>
  <c r="AC57" i="1"/>
  <c r="AD57" i="1"/>
  <c r="Y57" i="1"/>
  <c r="X57" i="1"/>
  <c r="O57" i="1"/>
  <c r="L57" i="1"/>
  <c r="S57" i="1"/>
  <c r="T57" i="1"/>
  <c r="P59" i="1"/>
  <c r="K59" i="1"/>
  <c r="AB57" i="1"/>
  <c r="R57" i="1"/>
  <c r="AA57" i="1"/>
  <c r="Q57" i="1"/>
  <c r="U59" i="1"/>
  <c r="Z59" i="1"/>
  <c r="F57" i="1"/>
  <c r="V57" i="1"/>
  <c r="G57" i="1"/>
  <c r="W57" i="1"/>
  <c r="AK57" i="1"/>
  <c r="AP57" i="1"/>
  <c r="AQ57" i="1"/>
  <c r="AL57" i="1"/>
  <c r="AF57" i="1"/>
  <c r="AG57" i="1"/>
  <c r="A60" i="1"/>
  <c r="I60" i="1" s="1"/>
  <c r="J60" i="1" s="1"/>
  <c r="AO59" i="1"/>
  <c r="AJ59" i="1"/>
  <c r="B59" i="1"/>
  <c r="C59" i="1" s="1"/>
  <c r="AE59" i="1"/>
  <c r="E58" i="1"/>
  <c r="R58" i="1" s="1"/>
  <c r="H58" i="1"/>
  <c r="D58" i="1"/>
  <c r="Q58" i="1" s="1"/>
  <c r="AH58" i="1" l="1"/>
  <c r="AI58" i="1"/>
  <c r="AC58" i="1"/>
  <c r="AD58" i="1"/>
  <c r="X58" i="1"/>
  <c r="Y58" i="1"/>
  <c r="T58" i="1"/>
  <c r="S58" i="1"/>
  <c r="N58" i="1"/>
  <c r="M58" i="1"/>
  <c r="O58" i="1"/>
  <c r="L58" i="1"/>
  <c r="P60" i="1"/>
  <c r="K60" i="1"/>
  <c r="AA58" i="1"/>
  <c r="AQ58" i="1"/>
  <c r="AB58" i="1"/>
  <c r="U60" i="1"/>
  <c r="Z60" i="1"/>
  <c r="G58" i="1"/>
  <c r="W58" i="1"/>
  <c r="F58" i="1"/>
  <c r="V58" i="1"/>
  <c r="AP58" i="1"/>
  <c r="AK58" i="1"/>
  <c r="AL58" i="1"/>
  <c r="AG58" i="1"/>
  <c r="AF58" i="1"/>
  <c r="D59" i="1"/>
  <c r="L59" i="1" s="1"/>
  <c r="E59" i="1"/>
  <c r="M59" i="1" s="1"/>
  <c r="H59" i="1"/>
  <c r="AE60" i="1"/>
  <c r="B60" i="1"/>
  <c r="C60" i="1" s="1"/>
  <c r="A61" i="1"/>
  <c r="I61" i="1" s="1"/>
  <c r="J61" i="1" s="1"/>
  <c r="AO60" i="1"/>
  <c r="AJ60" i="1"/>
  <c r="AH59" i="1" l="1"/>
  <c r="AI59" i="1"/>
  <c r="AC59" i="1"/>
  <c r="AD59" i="1"/>
  <c r="X59" i="1"/>
  <c r="Y59" i="1"/>
  <c r="S59" i="1"/>
  <c r="T59" i="1"/>
  <c r="N59" i="1"/>
  <c r="O59" i="1"/>
  <c r="P61" i="1"/>
  <c r="K61" i="1"/>
  <c r="AA59" i="1"/>
  <c r="Q59" i="1"/>
  <c r="AB59" i="1"/>
  <c r="R59" i="1"/>
  <c r="U61" i="1"/>
  <c r="Z61" i="1"/>
  <c r="G59" i="1"/>
  <c r="W59" i="1"/>
  <c r="F59" i="1"/>
  <c r="V59" i="1"/>
  <c r="AP59" i="1"/>
  <c r="AQ59" i="1"/>
  <c r="AK59" i="1"/>
  <c r="AG59" i="1"/>
  <c r="AL59" i="1"/>
  <c r="AF59" i="1"/>
  <c r="A62" i="1"/>
  <c r="I62" i="1" s="1"/>
  <c r="J62" i="1" s="1"/>
  <c r="AO61" i="1"/>
  <c r="AJ61" i="1"/>
  <c r="B61" i="1"/>
  <c r="C61" i="1" s="1"/>
  <c r="AE61" i="1"/>
  <c r="E60" i="1"/>
  <c r="M60" i="1" s="1"/>
  <c r="H60" i="1"/>
  <c r="D60" i="1"/>
  <c r="L60" i="1" s="1"/>
  <c r="AH60" i="1" l="1"/>
  <c r="AI60" i="1"/>
  <c r="AD60" i="1"/>
  <c r="AC60" i="1"/>
  <c r="X60" i="1"/>
  <c r="Y60" i="1"/>
  <c r="T60" i="1"/>
  <c r="S60" i="1"/>
  <c r="N60" i="1"/>
  <c r="O60" i="1"/>
  <c r="P62" i="1"/>
  <c r="K62" i="1"/>
  <c r="AB60" i="1"/>
  <c r="R60" i="1"/>
  <c r="AA60" i="1"/>
  <c r="Q60" i="1"/>
  <c r="U62" i="1"/>
  <c r="Z62" i="1"/>
  <c r="F60" i="1"/>
  <c r="V60" i="1"/>
  <c r="G60" i="1"/>
  <c r="W60" i="1"/>
  <c r="AQ60" i="1"/>
  <c r="AP60" i="1"/>
  <c r="AK60" i="1"/>
  <c r="AL60" i="1"/>
  <c r="AF60" i="1"/>
  <c r="AG60" i="1"/>
  <c r="D61" i="1"/>
  <c r="Q61" i="1" s="1"/>
  <c r="H61" i="1"/>
  <c r="E61" i="1"/>
  <c r="R61" i="1" s="1"/>
  <c r="AE62" i="1"/>
  <c r="B62" i="1"/>
  <c r="C62" i="1" s="1"/>
  <c r="A63" i="1"/>
  <c r="I63" i="1" s="1"/>
  <c r="J63" i="1" s="1"/>
  <c r="AO62" i="1"/>
  <c r="AJ62" i="1"/>
  <c r="AH61" i="1" l="1"/>
  <c r="AI61" i="1"/>
  <c r="AD61" i="1"/>
  <c r="AC61" i="1"/>
  <c r="X61" i="1"/>
  <c r="Y61" i="1"/>
  <c r="T61" i="1"/>
  <c r="S61" i="1"/>
  <c r="O61" i="1"/>
  <c r="N61" i="1"/>
  <c r="L61" i="1"/>
  <c r="P63" i="1"/>
  <c r="K63" i="1"/>
  <c r="M61" i="1"/>
  <c r="AA61" i="1"/>
  <c r="AB61" i="1"/>
  <c r="U63" i="1"/>
  <c r="Z63" i="1"/>
  <c r="F61" i="1"/>
  <c r="V61" i="1"/>
  <c r="G61" i="1"/>
  <c r="W61" i="1"/>
  <c r="AP61" i="1"/>
  <c r="AQ61" i="1"/>
  <c r="AL61" i="1"/>
  <c r="AK61" i="1"/>
  <c r="AF61" i="1"/>
  <c r="AG61" i="1"/>
  <c r="A64" i="1"/>
  <c r="I64" i="1" s="1"/>
  <c r="J64" i="1" s="1"/>
  <c r="AO63" i="1"/>
  <c r="AJ63" i="1"/>
  <c r="B63" i="1"/>
  <c r="C63" i="1" s="1"/>
  <c r="AE63" i="1"/>
  <c r="E62" i="1"/>
  <c r="M62" i="1" s="1"/>
  <c r="H62" i="1"/>
  <c r="D62" i="1"/>
  <c r="Q62" i="1" s="1"/>
  <c r="AH62" i="1" l="1"/>
  <c r="AI62" i="1"/>
  <c r="AD62" i="1"/>
  <c r="AC62" i="1"/>
  <c r="Y62" i="1"/>
  <c r="X62" i="1"/>
  <c r="T62" i="1"/>
  <c r="S62" i="1"/>
  <c r="N62" i="1"/>
  <c r="O62" i="1"/>
  <c r="P64" i="1"/>
  <c r="K64" i="1"/>
  <c r="L62" i="1"/>
  <c r="AA62" i="1"/>
  <c r="AB62" i="1"/>
  <c r="R62" i="1"/>
  <c r="U64" i="1"/>
  <c r="Z64" i="1"/>
  <c r="F62" i="1"/>
  <c r="V62" i="1"/>
  <c r="G62" i="1"/>
  <c r="W62" i="1"/>
  <c r="AQ62" i="1"/>
  <c r="AP62" i="1"/>
  <c r="AK62" i="1"/>
  <c r="AL62" i="1"/>
  <c r="AG62" i="1"/>
  <c r="AF62" i="1"/>
  <c r="D63" i="1"/>
  <c r="N63" i="1" s="1"/>
  <c r="E63" i="1"/>
  <c r="O63" i="1" s="1"/>
  <c r="H63" i="1"/>
  <c r="AE64" i="1"/>
  <c r="B64" i="1"/>
  <c r="C64" i="1" s="1"/>
  <c r="AJ64" i="1"/>
  <c r="A65" i="1"/>
  <c r="I65" i="1" s="1"/>
  <c r="J65" i="1" s="1"/>
  <c r="AO64" i="1"/>
  <c r="AH63" i="1" l="1"/>
  <c r="AI63" i="1"/>
  <c r="AC63" i="1"/>
  <c r="AD63" i="1"/>
  <c r="X63" i="1"/>
  <c r="Y63" i="1"/>
  <c r="S63" i="1"/>
  <c r="T63" i="1"/>
  <c r="L63" i="1"/>
  <c r="M63" i="1"/>
  <c r="P65" i="1"/>
  <c r="K65" i="1"/>
  <c r="AB63" i="1"/>
  <c r="R63" i="1"/>
  <c r="AA63" i="1"/>
  <c r="Q63" i="1"/>
  <c r="U65" i="1"/>
  <c r="Z65" i="1"/>
  <c r="F63" i="1"/>
  <c r="V63" i="1"/>
  <c r="G63" i="1"/>
  <c r="W63" i="1"/>
  <c r="AP63" i="1"/>
  <c r="AQ63" i="1"/>
  <c r="AK63" i="1"/>
  <c r="AL63" i="1"/>
  <c r="AF63" i="1"/>
  <c r="AG63" i="1"/>
  <c r="A66" i="1"/>
  <c r="I66" i="1" s="1"/>
  <c r="J66" i="1" s="1"/>
  <c r="AO65" i="1"/>
  <c r="AJ65" i="1"/>
  <c r="B65" i="1"/>
  <c r="C65" i="1" s="1"/>
  <c r="AE65" i="1"/>
  <c r="E64" i="1"/>
  <c r="O64" i="1" s="1"/>
  <c r="H64" i="1"/>
  <c r="D64" i="1"/>
  <c r="L64" i="1" s="1"/>
  <c r="AH64" i="1" l="1"/>
  <c r="AI64" i="1"/>
  <c r="AC64" i="1"/>
  <c r="AD64" i="1"/>
  <c r="X64" i="1"/>
  <c r="Y64" i="1"/>
  <c r="T64" i="1"/>
  <c r="S64" i="1"/>
  <c r="N64" i="1"/>
  <c r="M64" i="1"/>
  <c r="P66" i="1"/>
  <c r="K66" i="1"/>
  <c r="AB64" i="1"/>
  <c r="R64" i="1"/>
  <c r="AA64" i="1"/>
  <c r="Q64" i="1"/>
  <c r="U66" i="1"/>
  <c r="Z66" i="1"/>
  <c r="F64" i="1"/>
  <c r="V64" i="1"/>
  <c r="G64" i="1"/>
  <c r="W64" i="1"/>
  <c r="AP64" i="1"/>
  <c r="AQ64" i="1"/>
  <c r="AL64" i="1"/>
  <c r="AK64" i="1"/>
  <c r="AF64" i="1"/>
  <c r="AG64" i="1"/>
  <c r="H65" i="1"/>
  <c r="E65" i="1"/>
  <c r="O65" i="1" s="1"/>
  <c r="D65" i="1"/>
  <c r="N65" i="1" s="1"/>
  <c r="AE66" i="1"/>
  <c r="AJ66" i="1"/>
  <c r="A67" i="1"/>
  <c r="I67" i="1" s="1"/>
  <c r="J67" i="1" s="1"/>
  <c r="AO66" i="1"/>
  <c r="B66" i="1"/>
  <c r="C66" i="1" s="1"/>
  <c r="AI65" i="1" l="1"/>
  <c r="AH65" i="1"/>
  <c r="AC65" i="1"/>
  <c r="AD65" i="1"/>
  <c r="X65" i="1"/>
  <c r="Y65" i="1"/>
  <c r="S65" i="1"/>
  <c r="T65" i="1"/>
  <c r="L65" i="1"/>
  <c r="M65" i="1"/>
  <c r="P67" i="1"/>
  <c r="K67" i="1"/>
  <c r="AA65" i="1"/>
  <c r="Q65" i="1"/>
  <c r="AB65" i="1"/>
  <c r="R65" i="1"/>
  <c r="U67" i="1"/>
  <c r="Z67" i="1"/>
  <c r="F65" i="1"/>
  <c r="V65" i="1"/>
  <c r="G65" i="1"/>
  <c r="W65" i="1"/>
  <c r="AL65" i="1"/>
  <c r="AP65" i="1"/>
  <c r="AQ65" i="1"/>
  <c r="AK65" i="1"/>
  <c r="AG65" i="1"/>
  <c r="AF65" i="1"/>
  <c r="E66" i="1"/>
  <c r="M66" i="1" s="1"/>
  <c r="H66" i="1"/>
  <c r="D66" i="1"/>
  <c r="L66" i="1" s="1"/>
  <c r="A68" i="1"/>
  <c r="I68" i="1" s="1"/>
  <c r="J68" i="1" s="1"/>
  <c r="AO67" i="1"/>
  <c r="AJ67" i="1"/>
  <c r="B67" i="1"/>
  <c r="C67" i="1" s="1"/>
  <c r="AE67" i="1"/>
  <c r="AH66" i="1" l="1"/>
  <c r="AI66" i="1"/>
  <c r="AC66" i="1"/>
  <c r="AD66" i="1"/>
  <c r="X66" i="1"/>
  <c r="Y66" i="1"/>
  <c r="S66" i="1"/>
  <c r="T66" i="1"/>
  <c r="N66" i="1"/>
  <c r="O66" i="1"/>
  <c r="P68" i="1"/>
  <c r="K68" i="1"/>
  <c r="AB66" i="1"/>
  <c r="R66" i="1"/>
  <c r="AA66" i="1"/>
  <c r="Q66" i="1"/>
  <c r="U68" i="1"/>
  <c r="Z68" i="1"/>
  <c r="F66" i="1"/>
  <c r="V66" i="1"/>
  <c r="G66" i="1"/>
  <c r="W66" i="1"/>
  <c r="AP66" i="1"/>
  <c r="AQ66" i="1"/>
  <c r="AL66" i="1"/>
  <c r="AK66" i="1"/>
  <c r="AG66" i="1"/>
  <c r="AF66" i="1"/>
  <c r="D67" i="1"/>
  <c r="Q67" i="1" s="1"/>
  <c r="H67" i="1"/>
  <c r="E67" i="1"/>
  <c r="M67" i="1" s="1"/>
  <c r="AE68" i="1"/>
  <c r="B68" i="1"/>
  <c r="C68" i="1" s="1"/>
  <c r="A69" i="1"/>
  <c r="I69" i="1" s="1"/>
  <c r="J69" i="1" s="1"/>
  <c r="AO68" i="1"/>
  <c r="AJ68" i="1"/>
  <c r="AH67" i="1" l="1"/>
  <c r="AI67" i="1"/>
  <c r="AC67" i="1"/>
  <c r="AD67" i="1"/>
  <c r="X67" i="1"/>
  <c r="Y67" i="1"/>
  <c r="T67" i="1"/>
  <c r="S67" i="1"/>
  <c r="N67" i="1"/>
  <c r="O67" i="1"/>
  <c r="L67" i="1"/>
  <c r="AA67" i="1"/>
  <c r="P69" i="1"/>
  <c r="K69" i="1"/>
  <c r="AB67" i="1"/>
  <c r="R67" i="1"/>
  <c r="U69" i="1"/>
  <c r="Z69" i="1"/>
  <c r="F67" i="1"/>
  <c r="V67" i="1"/>
  <c r="G67" i="1"/>
  <c r="W67" i="1"/>
  <c r="AQ67" i="1"/>
  <c r="AP67" i="1"/>
  <c r="AL67" i="1"/>
  <c r="AG67" i="1"/>
  <c r="AK67" i="1"/>
  <c r="AF67" i="1"/>
  <c r="A70" i="1"/>
  <c r="I70" i="1" s="1"/>
  <c r="J70" i="1" s="1"/>
  <c r="AO69" i="1"/>
  <c r="AJ69" i="1"/>
  <c r="B69" i="1"/>
  <c r="C69" i="1" s="1"/>
  <c r="AE69" i="1"/>
  <c r="E68" i="1"/>
  <c r="M68" i="1" s="1"/>
  <c r="H68" i="1"/>
  <c r="D68" i="1"/>
  <c r="Q68" i="1" s="1"/>
  <c r="AI68" i="1" l="1"/>
  <c r="AH68" i="1"/>
  <c r="AC68" i="1"/>
  <c r="AD68" i="1"/>
  <c r="X68" i="1"/>
  <c r="Y68" i="1"/>
  <c r="S68" i="1"/>
  <c r="T68" i="1"/>
  <c r="N68" i="1"/>
  <c r="O68" i="1"/>
  <c r="P70" i="1"/>
  <c r="K70" i="1"/>
  <c r="L68" i="1"/>
  <c r="AB68" i="1"/>
  <c r="R68" i="1"/>
  <c r="AA68" i="1"/>
  <c r="U70" i="1"/>
  <c r="Z70" i="1"/>
  <c r="F68" i="1"/>
  <c r="V68" i="1"/>
  <c r="G68" i="1"/>
  <c r="W68" i="1"/>
  <c r="AP68" i="1"/>
  <c r="AQ68" i="1"/>
  <c r="AK68" i="1"/>
  <c r="AL68" i="1"/>
  <c r="AF68" i="1"/>
  <c r="AG68" i="1"/>
  <c r="D69" i="1"/>
  <c r="Q69" i="1" s="1"/>
  <c r="E69" i="1"/>
  <c r="M69" i="1" s="1"/>
  <c r="H69" i="1"/>
  <c r="AE70" i="1"/>
  <c r="B70" i="1"/>
  <c r="C70" i="1" s="1"/>
  <c r="A71" i="1"/>
  <c r="I71" i="1" s="1"/>
  <c r="J71" i="1" s="1"/>
  <c r="AO70" i="1"/>
  <c r="AJ70" i="1"/>
  <c r="AI69" i="1" l="1"/>
  <c r="AH69" i="1"/>
  <c r="AD69" i="1"/>
  <c r="AC69" i="1"/>
  <c r="Y69" i="1"/>
  <c r="X69" i="1"/>
  <c r="T69" i="1"/>
  <c r="S69" i="1"/>
  <c r="N69" i="1"/>
  <c r="O69" i="1"/>
  <c r="P71" i="1"/>
  <c r="K71" i="1"/>
  <c r="L69" i="1"/>
  <c r="AB69" i="1"/>
  <c r="R69" i="1"/>
  <c r="AA69" i="1"/>
  <c r="U71" i="1"/>
  <c r="Z71" i="1"/>
  <c r="F69" i="1"/>
  <c r="V69" i="1"/>
  <c r="G69" i="1"/>
  <c r="W69" i="1"/>
  <c r="AK69" i="1"/>
  <c r="AP69" i="1"/>
  <c r="AQ69" i="1"/>
  <c r="AL69" i="1"/>
  <c r="AG69" i="1"/>
  <c r="AF69" i="1"/>
  <c r="E70" i="1"/>
  <c r="R70" i="1" s="1"/>
  <c r="H70" i="1"/>
  <c r="D70" i="1"/>
  <c r="Q70" i="1" s="1"/>
  <c r="A72" i="1"/>
  <c r="I72" i="1" s="1"/>
  <c r="J72" i="1" s="1"/>
  <c r="AO71" i="1"/>
  <c r="AJ71" i="1"/>
  <c r="B71" i="1"/>
  <c r="C71" i="1" s="1"/>
  <c r="AE71" i="1"/>
  <c r="AI70" i="1" l="1"/>
  <c r="AH70" i="1"/>
  <c r="AC70" i="1"/>
  <c r="AD70" i="1"/>
  <c r="Y70" i="1"/>
  <c r="X70" i="1"/>
  <c r="S70" i="1"/>
  <c r="T70" i="1"/>
  <c r="N70" i="1"/>
  <c r="O70" i="1"/>
  <c r="M70" i="1"/>
  <c r="P72" i="1"/>
  <c r="K72" i="1"/>
  <c r="L70" i="1"/>
  <c r="AB70" i="1"/>
  <c r="AA70" i="1"/>
  <c r="U72" i="1"/>
  <c r="Z72" i="1"/>
  <c r="F70" i="1"/>
  <c r="V70" i="1"/>
  <c r="G70" i="1"/>
  <c r="W70" i="1"/>
  <c r="AP70" i="1"/>
  <c r="AQ70" i="1"/>
  <c r="AK70" i="1"/>
  <c r="AL70" i="1"/>
  <c r="AF70" i="1"/>
  <c r="AG70" i="1"/>
  <c r="AE72" i="1"/>
  <c r="B72" i="1"/>
  <c r="C72" i="1" s="1"/>
  <c r="AJ72" i="1"/>
  <c r="A73" i="1"/>
  <c r="I73" i="1" s="1"/>
  <c r="J73" i="1" s="1"/>
  <c r="AO72" i="1"/>
  <c r="D71" i="1"/>
  <c r="L71" i="1" s="1"/>
  <c r="H71" i="1"/>
  <c r="E71" i="1"/>
  <c r="M71" i="1" s="1"/>
  <c r="AH71" i="1" l="1"/>
  <c r="AI71" i="1"/>
  <c r="AC71" i="1"/>
  <c r="AD71" i="1"/>
  <c r="Y71" i="1"/>
  <c r="X71" i="1"/>
  <c r="S71" i="1"/>
  <c r="T71" i="1"/>
  <c r="N71" i="1"/>
  <c r="O71" i="1"/>
  <c r="P73" i="1"/>
  <c r="K73" i="1"/>
  <c r="AA71" i="1"/>
  <c r="Q71" i="1"/>
  <c r="AB71" i="1"/>
  <c r="R71" i="1"/>
  <c r="U73" i="1"/>
  <c r="Z73" i="1"/>
  <c r="G71" i="1"/>
  <c r="W71" i="1"/>
  <c r="F71" i="1"/>
  <c r="V71" i="1"/>
  <c r="AQ71" i="1"/>
  <c r="AP71" i="1"/>
  <c r="AK71" i="1"/>
  <c r="AL71" i="1"/>
  <c r="AF71" i="1"/>
  <c r="AG71" i="1"/>
  <c r="A74" i="1"/>
  <c r="I74" i="1" s="1"/>
  <c r="J74" i="1" s="1"/>
  <c r="AO73" i="1"/>
  <c r="AJ73" i="1"/>
  <c r="B73" i="1"/>
  <c r="C73" i="1" s="1"/>
  <c r="AE73" i="1"/>
  <c r="E72" i="1"/>
  <c r="M72" i="1" s="1"/>
  <c r="H72" i="1"/>
  <c r="D72" i="1"/>
  <c r="Q72" i="1" s="1"/>
  <c r="AH72" i="1" l="1"/>
  <c r="AI72" i="1"/>
  <c r="AC72" i="1"/>
  <c r="AD72" i="1"/>
  <c r="X72" i="1"/>
  <c r="Y72" i="1"/>
  <c r="T72" i="1"/>
  <c r="S72" i="1"/>
  <c r="N72" i="1"/>
  <c r="O72" i="1"/>
  <c r="L72" i="1"/>
  <c r="P74" i="1"/>
  <c r="K74" i="1"/>
  <c r="AA72" i="1"/>
  <c r="AB72" i="1"/>
  <c r="R72" i="1"/>
  <c r="U74" i="1"/>
  <c r="Z74" i="1"/>
  <c r="F72" i="1"/>
  <c r="V72" i="1"/>
  <c r="G72" i="1"/>
  <c r="W72" i="1"/>
  <c r="AK72" i="1"/>
  <c r="AP72" i="1"/>
  <c r="AQ72" i="1"/>
  <c r="AL72" i="1"/>
  <c r="AG72" i="1"/>
  <c r="AF72" i="1"/>
  <c r="E73" i="1"/>
  <c r="M73" i="1" s="1"/>
  <c r="H73" i="1"/>
  <c r="D73" i="1"/>
  <c r="L73" i="1" s="1"/>
  <c r="AE74" i="1"/>
  <c r="B74" i="1"/>
  <c r="C74" i="1" s="1"/>
  <c r="AJ74" i="1"/>
  <c r="A75" i="1"/>
  <c r="I75" i="1" s="1"/>
  <c r="J75" i="1" s="1"/>
  <c r="AO74" i="1"/>
  <c r="AI73" i="1" l="1"/>
  <c r="AH73" i="1"/>
  <c r="AC73" i="1"/>
  <c r="AD73" i="1"/>
  <c r="X73" i="1"/>
  <c r="Y73" i="1"/>
  <c r="S73" i="1"/>
  <c r="T73" i="1"/>
  <c r="O73" i="1"/>
  <c r="N73" i="1"/>
  <c r="P75" i="1"/>
  <c r="K75" i="1"/>
  <c r="AB73" i="1"/>
  <c r="R73" i="1"/>
  <c r="AA73" i="1"/>
  <c r="Q73" i="1"/>
  <c r="U75" i="1"/>
  <c r="Z75" i="1"/>
  <c r="F73" i="1"/>
  <c r="V73" i="1"/>
  <c r="G73" i="1"/>
  <c r="W73" i="1"/>
  <c r="AP73" i="1"/>
  <c r="AQ73" i="1"/>
  <c r="AK73" i="1"/>
  <c r="AL73" i="1"/>
  <c r="AF73" i="1"/>
  <c r="AG73" i="1"/>
  <c r="A76" i="1"/>
  <c r="I76" i="1" s="1"/>
  <c r="J76" i="1" s="1"/>
  <c r="AO75" i="1"/>
  <c r="AJ75" i="1"/>
  <c r="B75" i="1"/>
  <c r="C75" i="1" s="1"/>
  <c r="AE75" i="1"/>
  <c r="E74" i="1"/>
  <c r="O74" i="1" s="1"/>
  <c r="H74" i="1"/>
  <c r="D74" i="1"/>
  <c r="L74" i="1" s="1"/>
  <c r="AH74" i="1" l="1"/>
  <c r="AI74" i="1"/>
  <c r="AC74" i="1"/>
  <c r="AD74" i="1"/>
  <c r="X74" i="1"/>
  <c r="Y74" i="1"/>
  <c r="T74" i="1"/>
  <c r="S74" i="1"/>
  <c r="M74" i="1"/>
  <c r="N74" i="1"/>
  <c r="P76" i="1"/>
  <c r="K76" i="1"/>
  <c r="AB74" i="1"/>
  <c r="R74" i="1"/>
  <c r="AA74" i="1"/>
  <c r="Q74" i="1"/>
  <c r="U76" i="1"/>
  <c r="Z76" i="1"/>
  <c r="F74" i="1"/>
  <c r="V74" i="1"/>
  <c r="G74" i="1"/>
  <c r="W74" i="1"/>
  <c r="AP74" i="1"/>
  <c r="AQ74" i="1"/>
  <c r="AK74" i="1"/>
  <c r="AL74" i="1"/>
  <c r="AF74" i="1"/>
  <c r="AG74" i="1"/>
  <c r="D75" i="1"/>
  <c r="L75" i="1" s="1"/>
  <c r="E75" i="1"/>
  <c r="M75" i="1" s="1"/>
  <c r="H75" i="1"/>
  <c r="AE76" i="1"/>
  <c r="AJ76" i="1"/>
  <c r="A77" i="1"/>
  <c r="I77" i="1" s="1"/>
  <c r="J77" i="1" s="1"/>
  <c r="AO76" i="1"/>
  <c r="B76" i="1"/>
  <c r="C76" i="1" s="1"/>
  <c r="AH75" i="1" l="1"/>
  <c r="AI75" i="1"/>
  <c r="AC75" i="1"/>
  <c r="AD75" i="1"/>
  <c r="X75" i="1"/>
  <c r="Y75" i="1"/>
  <c r="S75" i="1"/>
  <c r="T75" i="1"/>
  <c r="N75" i="1"/>
  <c r="O75" i="1"/>
  <c r="P77" i="1"/>
  <c r="K77" i="1"/>
  <c r="AB75" i="1"/>
  <c r="R75" i="1"/>
  <c r="AA75" i="1"/>
  <c r="Q75" i="1"/>
  <c r="U77" i="1"/>
  <c r="Z77" i="1"/>
  <c r="F75" i="1"/>
  <c r="V75" i="1"/>
  <c r="G75" i="1"/>
  <c r="W75" i="1"/>
  <c r="AP75" i="1"/>
  <c r="AQ75" i="1"/>
  <c r="AK75" i="1"/>
  <c r="AL75" i="1"/>
  <c r="AF75" i="1"/>
  <c r="AG75" i="1"/>
  <c r="A78" i="1"/>
  <c r="I78" i="1" s="1"/>
  <c r="J78" i="1" s="1"/>
  <c r="AO77" i="1"/>
  <c r="AJ77" i="1"/>
  <c r="B77" i="1"/>
  <c r="C77" i="1" s="1"/>
  <c r="AE77" i="1"/>
  <c r="E76" i="1"/>
  <c r="M76" i="1" s="1"/>
  <c r="H76" i="1"/>
  <c r="D76" i="1"/>
  <c r="Q76" i="1" s="1"/>
  <c r="AH76" i="1" l="1"/>
  <c r="AI76" i="1"/>
  <c r="AC76" i="1"/>
  <c r="AD76" i="1"/>
  <c r="X76" i="1"/>
  <c r="Y76" i="1"/>
  <c r="S76" i="1"/>
  <c r="T76" i="1"/>
  <c r="N76" i="1"/>
  <c r="O76" i="1"/>
  <c r="L76" i="1"/>
  <c r="P78" i="1"/>
  <c r="K78" i="1"/>
  <c r="AA76" i="1"/>
  <c r="AB76" i="1"/>
  <c r="R76" i="1"/>
  <c r="U78" i="1"/>
  <c r="Z78" i="1"/>
  <c r="F76" i="1"/>
  <c r="V76" i="1"/>
  <c r="G76" i="1"/>
  <c r="W76" i="1"/>
  <c r="AP76" i="1"/>
  <c r="AQ76" i="1"/>
  <c r="AK76" i="1"/>
  <c r="AL76" i="1"/>
  <c r="AF76" i="1"/>
  <c r="AG76" i="1"/>
  <c r="H77" i="1"/>
  <c r="D77" i="1"/>
  <c r="L77" i="1" s="1"/>
  <c r="E77" i="1"/>
  <c r="M77" i="1" s="1"/>
  <c r="AE78" i="1"/>
  <c r="B78" i="1"/>
  <c r="C78" i="1" s="1"/>
  <c r="A79" i="1"/>
  <c r="I79" i="1" s="1"/>
  <c r="J79" i="1" s="1"/>
  <c r="AO78" i="1"/>
  <c r="AJ78" i="1"/>
  <c r="AH77" i="1" l="1"/>
  <c r="AI77" i="1"/>
  <c r="AC77" i="1"/>
  <c r="AD77" i="1"/>
  <c r="X77" i="1"/>
  <c r="Y77" i="1"/>
  <c r="T77" i="1"/>
  <c r="S77" i="1"/>
  <c r="N77" i="1"/>
  <c r="O77" i="1"/>
  <c r="P79" i="1"/>
  <c r="K79" i="1"/>
  <c r="AB77" i="1"/>
  <c r="R77" i="1"/>
  <c r="AA77" i="1"/>
  <c r="Q77" i="1"/>
  <c r="U79" i="1"/>
  <c r="Z79" i="1"/>
  <c r="G77" i="1"/>
  <c r="W77" i="1"/>
  <c r="F77" i="1"/>
  <c r="V77" i="1"/>
  <c r="AP77" i="1"/>
  <c r="AQ77" i="1"/>
  <c r="AL77" i="1"/>
  <c r="AK77" i="1"/>
  <c r="AG77" i="1"/>
  <c r="AF77" i="1"/>
  <c r="A80" i="1"/>
  <c r="I80" i="1" s="1"/>
  <c r="J80" i="1" s="1"/>
  <c r="AO79" i="1"/>
  <c r="AJ79" i="1"/>
  <c r="B79" i="1"/>
  <c r="C79" i="1" s="1"/>
  <c r="AE79" i="1"/>
  <c r="E78" i="1"/>
  <c r="O78" i="1" s="1"/>
  <c r="H78" i="1"/>
  <c r="D78" i="1"/>
  <c r="Q78" i="1" s="1"/>
  <c r="AH78" i="1" l="1"/>
  <c r="AI78" i="1"/>
  <c r="AC78" i="1"/>
  <c r="AD78" i="1"/>
  <c r="X78" i="1"/>
  <c r="Y78" i="1"/>
  <c r="S78" i="1"/>
  <c r="T78" i="1"/>
  <c r="M78" i="1"/>
  <c r="N78" i="1"/>
  <c r="L78" i="1"/>
  <c r="P80" i="1"/>
  <c r="K80" i="1"/>
  <c r="AA78" i="1"/>
  <c r="AB78" i="1"/>
  <c r="R78" i="1"/>
  <c r="U80" i="1"/>
  <c r="Z80" i="1"/>
  <c r="F78" i="1"/>
  <c r="V78" i="1"/>
  <c r="G78" i="1"/>
  <c r="W78" i="1"/>
  <c r="AP78" i="1"/>
  <c r="AQ78" i="1"/>
  <c r="AK78" i="1"/>
  <c r="AL78" i="1"/>
  <c r="AG78" i="1"/>
  <c r="AF78" i="1"/>
  <c r="D79" i="1"/>
  <c r="L79" i="1" s="1"/>
  <c r="E79" i="1"/>
  <c r="M79" i="1" s="1"/>
  <c r="H79" i="1"/>
  <c r="A81" i="1"/>
  <c r="I81" i="1" s="1"/>
  <c r="J81" i="1" s="1"/>
  <c r="AJ80" i="1"/>
  <c r="AE80" i="1"/>
  <c r="B80" i="1"/>
  <c r="C80" i="1" s="1"/>
  <c r="AO80" i="1"/>
  <c r="AH79" i="1" l="1"/>
  <c r="AI79" i="1"/>
  <c r="AC79" i="1"/>
  <c r="AD79" i="1"/>
  <c r="Y79" i="1"/>
  <c r="X79" i="1"/>
  <c r="T79" i="1"/>
  <c r="S79" i="1"/>
  <c r="N79" i="1"/>
  <c r="O79" i="1"/>
  <c r="P81" i="1"/>
  <c r="K81" i="1"/>
  <c r="AA79" i="1"/>
  <c r="Q79" i="1"/>
  <c r="AB79" i="1"/>
  <c r="R79" i="1"/>
  <c r="U81" i="1"/>
  <c r="Z81" i="1"/>
  <c r="G79" i="1"/>
  <c r="W79" i="1"/>
  <c r="F79" i="1"/>
  <c r="V79" i="1"/>
  <c r="AQ79" i="1"/>
  <c r="AP79" i="1"/>
  <c r="AK79" i="1"/>
  <c r="AL79" i="1"/>
  <c r="AF79" i="1"/>
  <c r="AG79" i="1"/>
  <c r="AJ81" i="1"/>
  <c r="B81" i="1"/>
  <c r="C81" i="1" s="1"/>
  <c r="AO81" i="1"/>
  <c r="A82" i="1"/>
  <c r="I82" i="1" s="1"/>
  <c r="J82" i="1" s="1"/>
  <c r="AE81" i="1"/>
  <c r="H80" i="1"/>
  <c r="E80" i="1"/>
  <c r="R80" i="1" s="1"/>
  <c r="D80" i="1"/>
  <c r="Q80" i="1" s="1"/>
  <c r="AH80" i="1" l="1"/>
  <c r="AI80" i="1"/>
  <c r="AC80" i="1"/>
  <c r="AD80" i="1"/>
  <c r="X80" i="1"/>
  <c r="T80" i="1"/>
  <c r="Y80" i="1"/>
  <c r="S80" i="1"/>
  <c r="N80" i="1"/>
  <c r="O80" i="1"/>
  <c r="L80" i="1"/>
  <c r="P82" i="1"/>
  <c r="K82" i="1"/>
  <c r="M80" i="1"/>
  <c r="AB80" i="1"/>
  <c r="AA80" i="1"/>
  <c r="U82" i="1"/>
  <c r="Z82" i="1"/>
  <c r="F80" i="1"/>
  <c r="V80" i="1"/>
  <c r="G80" i="1"/>
  <c r="W80" i="1"/>
  <c r="AP80" i="1"/>
  <c r="AQ80" i="1"/>
  <c r="AK80" i="1"/>
  <c r="AL80" i="1"/>
  <c r="AF80" i="1"/>
  <c r="AG80" i="1"/>
  <c r="AE82" i="1"/>
  <c r="A83" i="1"/>
  <c r="I83" i="1" s="1"/>
  <c r="J83" i="1" s="1"/>
  <c r="B82" i="1"/>
  <c r="C82" i="1" s="1"/>
  <c r="AO82" i="1"/>
  <c r="AJ82" i="1"/>
  <c r="H81" i="1"/>
  <c r="E81" i="1"/>
  <c r="R81" i="1" s="1"/>
  <c r="D81" i="1"/>
  <c r="Q81" i="1" s="1"/>
  <c r="AH81" i="1" l="1"/>
  <c r="AI81" i="1"/>
  <c r="AC81" i="1"/>
  <c r="AD81" i="1"/>
  <c r="X81" i="1"/>
  <c r="Y81" i="1"/>
  <c r="T81" i="1"/>
  <c r="S81" i="1"/>
  <c r="N81" i="1"/>
  <c r="O81" i="1"/>
  <c r="M81" i="1"/>
  <c r="P83" i="1"/>
  <c r="K83" i="1"/>
  <c r="L81" i="1"/>
  <c r="AA81" i="1"/>
  <c r="AB81" i="1"/>
  <c r="U83" i="1"/>
  <c r="Z83" i="1"/>
  <c r="F81" i="1"/>
  <c r="V81" i="1"/>
  <c r="G81" i="1"/>
  <c r="W81" i="1"/>
  <c r="AP81" i="1"/>
  <c r="AQ81" i="1"/>
  <c r="AK81" i="1"/>
  <c r="AL81" i="1"/>
  <c r="AG81" i="1"/>
  <c r="AF81" i="1"/>
  <c r="H82" i="1"/>
  <c r="D82" i="1"/>
  <c r="L82" i="1" s="1"/>
  <c r="E82" i="1"/>
  <c r="M82" i="1" s="1"/>
  <c r="AJ83" i="1"/>
  <c r="B83" i="1"/>
  <c r="C83" i="1" s="1"/>
  <c r="AO83" i="1"/>
  <c r="A84" i="1"/>
  <c r="I84" i="1" s="1"/>
  <c r="J84" i="1" s="1"/>
  <c r="AE83" i="1"/>
  <c r="AI82" i="1" l="1"/>
  <c r="AC82" i="1"/>
  <c r="AH82" i="1"/>
  <c r="AD82" i="1"/>
  <c r="X82" i="1"/>
  <c r="Y82" i="1"/>
  <c r="T82" i="1"/>
  <c r="S82" i="1"/>
  <c r="N82" i="1"/>
  <c r="O82" i="1"/>
  <c r="P84" i="1"/>
  <c r="K84" i="1"/>
  <c r="AB82" i="1"/>
  <c r="R82" i="1"/>
  <c r="AA82" i="1"/>
  <c r="Q82" i="1"/>
  <c r="U84" i="1"/>
  <c r="Z84" i="1"/>
  <c r="G82" i="1"/>
  <c r="W82" i="1"/>
  <c r="F82" i="1"/>
  <c r="V82" i="1"/>
  <c r="AP82" i="1"/>
  <c r="AQ82" i="1"/>
  <c r="AK82" i="1"/>
  <c r="AL82" i="1"/>
  <c r="AG82" i="1"/>
  <c r="AF82" i="1"/>
  <c r="A85" i="1"/>
  <c r="I85" i="1" s="1"/>
  <c r="J85" i="1" s="1"/>
  <c r="AO84" i="1"/>
  <c r="B84" i="1"/>
  <c r="C84" i="1" s="1"/>
  <c r="AE84" i="1"/>
  <c r="AJ84" i="1"/>
  <c r="E83" i="1"/>
  <c r="O83" i="1" s="1"/>
  <c r="D83" i="1"/>
  <c r="N83" i="1" s="1"/>
  <c r="H83" i="1"/>
  <c r="AH83" i="1" l="1"/>
  <c r="AI83" i="1"/>
  <c r="AD83" i="1"/>
  <c r="X83" i="1"/>
  <c r="AC83" i="1"/>
  <c r="Y83" i="1"/>
  <c r="S83" i="1"/>
  <c r="T83" i="1"/>
  <c r="L83" i="1"/>
  <c r="M83" i="1"/>
  <c r="P85" i="1"/>
  <c r="K85" i="1"/>
  <c r="AA83" i="1"/>
  <c r="Q83" i="1"/>
  <c r="AB83" i="1"/>
  <c r="R83" i="1"/>
  <c r="U85" i="1"/>
  <c r="Z85" i="1"/>
  <c r="F83" i="1"/>
  <c r="V83" i="1"/>
  <c r="G83" i="1"/>
  <c r="W83" i="1"/>
  <c r="AK83" i="1"/>
  <c r="AQ83" i="1"/>
  <c r="AP83" i="1"/>
  <c r="AL83" i="1"/>
  <c r="AG83" i="1"/>
  <c r="AF83" i="1"/>
  <c r="H84" i="1"/>
  <c r="D84" i="1"/>
  <c r="L84" i="1" s="1"/>
  <c r="E84" i="1"/>
  <c r="M84" i="1" s="1"/>
  <c r="AJ85" i="1"/>
  <c r="B85" i="1"/>
  <c r="C85" i="1" s="1"/>
  <c r="AE85" i="1"/>
  <c r="A86" i="1"/>
  <c r="I86" i="1" s="1"/>
  <c r="J86" i="1" s="1"/>
  <c r="AO85" i="1"/>
  <c r="AH84" i="1" l="1"/>
  <c r="AI84" i="1"/>
  <c r="AD84" i="1"/>
  <c r="T84" i="1"/>
  <c r="AC84" i="1"/>
  <c r="X84" i="1"/>
  <c r="Y84" i="1"/>
  <c r="S84" i="1"/>
  <c r="N84" i="1"/>
  <c r="O84" i="1"/>
  <c r="P86" i="1"/>
  <c r="K86" i="1"/>
  <c r="AB84" i="1"/>
  <c r="R84" i="1"/>
  <c r="AA84" i="1"/>
  <c r="Q84" i="1"/>
  <c r="U86" i="1"/>
  <c r="Z86" i="1"/>
  <c r="F84" i="1"/>
  <c r="V84" i="1"/>
  <c r="G84" i="1"/>
  <c r="W84" i="1"/>
  <c r="AP84" i="1"/>
  <c r="AQ84" i="1"/>
  <c r="AK84" i="1"/>
  <c r="AL84" i="1"/>
  <c r="AG84" i="1"/>
  <c r="AF84" i="1"/>
  <c r="A87" i="1"/>
  <c r="I87" i="1" s="1"/>
  <c r="J87" i="1" s="1"/>
  <c r="AO86" i="1"/>
  <c r="AJ86" i="1"/>
  <c r="B86" i="1"/>
  <c r="C86" i="1" s="1"/>
  <c r="AE86" i="1"/>
  <c r="E85" i="1"/>
  <c r="M85" i="1" s="1"/>
  <c r="H85" i="1"/>
  <c r="D85" i="1"/>
  <c r="L85" i="1" s="1"/>
  <c r="AH85" i="1" l="1"/>
  <c r="AI85" i="1"/>
  <c r="AD85" i="1"/>
  <c r="X85" i="1"/>
  <c r="AC85" i="1"/>
  <c r="Y85" i="1"/>
  <c r="S85" i="1"/>
  <c r="T85" i="1"/>
  <c r="N85" i="1"/>
  <c r="O85" i="1"/>
  <c r="P87" i="1"/>
  <c r="K87" i="1"/>
  <c r="AB85" i="1"/>
  <c r="R85" i="1"/>
  <c r="AA85" i="1"/>
  <c r="Q85" i="1"/>
  <c r="U87" i="1"/>
  <c r="Z87" i="1"/>
  <c r="F85" i="1"/>
  <c r="V85" i="1"/>
  <c r="G85" i="1"/>
  <c r="W85" i="1"/>
  <c r="AP85" i="1"/>
  <c r="AQ85" i="1"/>
  <c r="AK85" i="1"/>
  <c r="AL85" i="1"/>
  <c r="AF85" i="1"/>
  <c r="AG85" i="1"/>
  <c r="H86" i="1"/>
  <c r="D86" i="1"/>
  <c r="L86" i="1" s="1"/>
  <c r="E86" i="1"/>
  <c r="M86" i="1" s="1"/>
  <c r="AJ87" i="1"/>
  <c r="B87" i="1"/>
  <c r="C87" i="1" s="1"/>
  <c r="AE87" i="1"/>
  <c r="A88" i="1"/>
  <c r="I88" i="1" s="1"/>
  <c r="J88" i="1" s="1"/>
  <c r="AO87" i="1"/>
  <c r="AI86" i="1" l="1"/>
  <c r="AC86" i="1"/>
  <c r="AH86" i="1"/>
  <c r="T86" i="1"/>
  <c r="AD86" i="1"/>
  <c r="Y86" i="1"/>
  <c r="X86" i="1"/>
  <c r="S86" i="1"/>
  <c r="N86" i="1"/>
  <c r="O86" i="1"/>
  <c r="P88" i="1"/>
  <c r="K88" i="1"/>
  <c r="AB86" i="1"/>
  <c r="R86" i="1"/>
  <c r="AA86" i="1"/>
  <c r="Q86" i="1"/>
  <c r="U88" i="1"/>
  <c r="Z88" i="1"/>
  <c r="F86" i="1"/>
  <c r="V86" i="1"/>
  <c r="G86" i="1"/>
  <c r="W86" i="1"/>
  <c r="AP86" i="1"/>
  <c r="AQ86" i="1"/>
  <c r="AK86" i="1"/>
  <c r="AL86" i="1"/>
  <c r="AG86" i="1"/>
  <c r="AF86" i="1"/>
  <c r="A89" i="1"/>
  <c r="I89" i="1" s="1"/>
  <c r="J89" i="1" s="1"/>
  <c r="AO88" i="1"/>
  <c r="AE88" i="1"/>
  <c r="AJ88" i="1"/>
  <c r="B88" i="1"/>
  <c r="C88" i="1" s="1"/>
  <c r="E87" i="1"/>
  <c r="M87" i="1" s="1"/>
  <c r="D87" i="1"/>
  <c r="L87" i="1" s="1"/>
  <c r="H87" i="1"/>
  <c r="AI87" i="1" l="1"/>
  <c r="AH87" i="1"/>
  <c r="AC87" i="1"/>
  <c r="AD87" i="1"/>
  <c r="X87" i="1"/>
  <c r="Y87" i="1"/>
  <c r="S87" i="1"/>
  <c r="T87" i="1"/>
  <c r="N87" i="1"/>
  <c r="O87" i="1"/>
  <c r="P89" i="1"/>
  <c r="K89" i="1"/>
  <c r="AB87" i="1"/>
  <c r="R87" i="1"/>
  <c r="AA87" i="1"/>
  <c r="Q87" i="1"/>
  <c r="U89" i="1"/>
  <c r="Z89" i="1"/>
  <c r="F87" i="1"/>
  <c r="V87" i="1"/>
  <c r="G87" i="1"/>
  <c r="W87" i="1"/>
  <c r="AP87" i="1"/>
  <c r="AQ87" i="1"/>
  <c r="AK87" i="1"/>
  <c r="AL87" i="1"/>
  <c r="AF87" i="1"/>
  <c r="AG87" i="1"/>
  <c r="H88" i="1"/>
  <c r="D88" i="1"/>
  <c r="L88" i="1" s="1"/>
  <c r="E88" i="1"/>
  <c r="M88" i="1" s="1"/>
  <c r="A90" i="1"/>
  <c r="I90" i="1" s="1"/>
  <c r="J90" i="1" s="1"/>
  <c r="AO89" i="1"/>
  <c r="AJ89" i="1"/>
  <c r="B89" i="1"/>
  <c r="C89" i="1" s="1"/>
  <c r="AE89" i="1"/>
  <c r="AI88" i="1" l="1"/>
  <c r="AH88" i="1"/>
  <c r="AC88" i="1"/>
  <c r="AD88" i="1"/>
  <c r="X88" i="1"/>
  <c r="Y88" i="1"/>
  <c r="T88" i="1"/>
  <c r="S88" i="1"/>
  <c r="N88" i="1"/>
  <c r="O88" i="1"/>
  <c r="P90" i="1"/>
  <c r="K90" i="1"/>
  <c r="AA88" i="1"/>
  <c r="Q88" i="1"/>
  <c r="AB88" i="1"/>
  <c r="R88" i="1"/>
  <c r="U90" i="1"/>
  <c r="Z90" i="1"/>
  <c r="G88" i="1"/>
  <c r="W88" i="1"/>
  <c r="F88" i="1"/>
  <c r="V88" i="1"/>
  <c r="AP88" i="1"/>
  <c r="AQ88" i="1"/>
  <c r="AK88" i="1"/>
  <c r="AL88" i="1"/>
  <c r="AG88" i="1"/>
  <c r="AF88" i="1"/>
  <c r="E89" i="1"/>
  <c r="M89" i="1" s="1"/>
  <c r="H89" i="1"/>
  <c r="D89" i="1"/>
  <c r="L89" i="1" s="1"/>
  <c r="AE90" i="1"/>
  <c r="A91" i="1"/>
  <c r="I91" i="1" s="1"/>
  <c r="J91" i="1" s="1"/>
  <c r="AO90" i="1"/>
  <c r="AJ90" i="1"/>
  <c r="B90" i="1"/>
  <c r="C90" i="1" s="1"/>
  <c r="AI89" i="1" l="1"/>
  <c r="AH89" i="1"/>
  <c r="AC89" i="1"/>
  <c r="AD89" i="1"/>
  <c r="X89" i="1"/>
  <c r="Y89" i="1"/>
  <c r="S89" i="1"/>
  <c r="T89" i="1"/>
  <c r="N89" i="1"/>
  <c r="O89" i="1"/>
  <c r="P91" i="1"/>
  <c r="K91" i="1"/>
  <c r="AP89" i="1"/>
  <c r="Q89" i="1"/>
  <c r="AB89" i="1"/>
  <c r="R89" i="1"/>
  <c r="U91" i="1"/>
  <c r="Z91" i="1"/>
  <c r="AA89" i="1"/>
  <c r="G89" i="1"/>
  <c r="W89" i="1"/>
  <c r="F89" i="1"/>
  <c r="V89" i="1"/>
  <c r="AQ89" i="1"/>
  <c r="AK89" i="1"/>
  <c r="AL89" i="1"/>
  <c r="AF89" i="1"/>
  <c r="AG89" i="1"/>
  <c r="E90" i="1"/>
  <c r="R90" i="1" s="1"/>
  <c r="H90" i="1"/>
  <c r="D90" i="1"/>
  <c r="N90" i="1" s="1"/>
  <c r="A92" i="1"/>
  <c r="I92" i="1" s="1"/>
  <c r="J92" i="1" s="1"/>
  <c r="AO91" i="1"/>
  <c r="AJ91" i="1"/>
  <c r="B91" i="1"/>
  <c r="C91" i="1" s="1"/>
  <c r="AE91" i="1"/>
  <c r="AI90" i="1" l="1"/>
  <c r="AH90" i="1"/>
  <c r="AC90" i="1"/>
  <c r="AD90" i="1"/>
  <c r="Y90" i="1"/>
  <c r="X90" i="1"/>
  <c r="S90" i="1"/>
  <c r="T90" i="1"/>
  <c r="L90" i="1"/>
  <c r="M90" i="1"/>
  <c r="O90" i="1"/>
  <c r="P92" i="1"/>
  <c r="K92" i="1"/>
  <c r="AA90" i="1"/>
  <c r="Q90" i="1"/>
  <c r="AB90" i="1"/>
  <c r="U92" i="1"/>
  <c r="Z92" i="1"/>
  <c r="G90" i="1"/>
  <c r="W90" i="1"/>
  <c r="F90" i="1"/>
  <c r="V90" i="1"/>
  <c r="AK90" i="1"/>
  <c r="AP90" i="1"/>
  <c r="AQ90" i="1"/>
  <c r="AG90" i="1"/>
  <c r="AL90" i="1"/>
  <c r="AF90" i="1"/>
  <c r="AE92" i="1"/>
  <c r="A93" i="1"/>
  <c r="I93" i="1" s="1"/>
  <c r="J93" i="1" s="1"/>
  <c r="AO92" i="1"/>
  <c r="B92" i="1"/>
  <c r="C92" i="1" s="1"/>
  <c r="AJ92" i="1"/>
  <c r="E91" i="1"/>
  <c r="M91" i="1" s="1"/>
  <c r="D91" i="1"/>
  <c r="L91" i="1" s="1"/>
  <c r="H91" i="1"/>
  <c r="AC91" i="1" l="1"/>
  <c r="AH91" i="1"/>
  <c r="AI91" i="1"/>
  <c r="AD91" i="1"/>
  <c r="X91" i="1"/>
  <c r="Y91" i="1"/>
  <c r="T91" i="1"/>
  <c r="S91" i="1"/>
  <c r="N91" i="1"/>
  <c r="O91" i="1"/>
  <c r="P93" i="1"/>
  <c r="K93" i="1"/>
  <c r="AA91" i="1"/>
  <c r="Q91" i="1"/>
  <c r="AB91" i="1"/>
  <c r="R91" i="1"/>
  <c r="U93" i="1"/>
  <c r="Z93" i="1"/>
  <c r="F91" i="1"/>
  <c r="V91" i="1"/>
  <c r="G91" i="1"/>
  <c r="W91" i="1"/>
  <c r="AP91" i="1"/>
  <c r="AQ91" i="1"/>
  <c r="AK91" i="1"/>
  <c r="AL91" i="1"/>
  <c r="AG91" i="1"/>
  <c r="AF91" i="1"/>
  <c r="A94" i="1"/>
  <c r="I94" i="1" s="1"/>
  <c r="J94" i="1" s="1"/>
  <c r="AO93" i="1"/>
  <c r="AJ93" i="1"/>
  <c r="B93" i="1"/>
  <c r="C93" i="1" s="1"/>
  <c r="AE93" i="1"/>
  <c r="E92" i="1"/>
  <c r="O92" i="1" s="1"/>
  <c r="H92" i="1"/>
  <c r="D92" i="1"/>
  <c r="Q92" i="1" s="1"/>
  <c r="AH92" i="1" l="1"/>
  <c r="AI92" i="1"/>
  <c r="AC92" i="1"/>
  <c r="AD92" i="1"/>
  <c r="X92" i="1"/>
  <c r="Y92" i="1"/>
  <c r="S92" i="1"/>
  <c r="T92" i="1"/>
  <c r="M92" i="1"/>
  <c r="N92" i="1"/>
  <c r="L92" i="1"/>
  <c r="P94" i="1"/>
  <c r="K94" i="1"/>
  <c r="AA92" i="1"/>
  <c r="AB92" i="1"/>
  <c r="R92" i="1"/>
  <c r="U94" i="1"/>
  <c r="Z94" i="1"/>
  <c r="F92" i="1"/>
  <c r="V92" i="1"/>
  <c r="G92" i="1"/>
  <c r="W92" i="1"/>
  <c r="AP92" i="1"/>
  <c r="AQ92" i="1"/>
  <c r="AK92" i="1"/>
  <c r="AL92" i="1"/>
  <c r="AG92" i="1"/>
  <c r="AF92" i="1"/>
  <c r="E93" i="1"/>
  <c r="M93" i="1" s="1"/>
  <c r="D93" i="1"/>
  <c r="L93" i="1" s="1"/>
  <c r="H93" i="1"/>
  <c r="AE94" i="1"/>
  <c r="A95" i="1"/>
  <c r="I95" i="1" s="1"/>
  <c r="J95" i="1" s="1"/>
  <c r="AO94" i="1"/>
  <c r="B94" i="1"/>
  <c r="C94" i="1" s="1"/>
  <c r="AJ94" i="1"/>
  <c r="AH93" i="1" l="1"/>
  <c r="AI93" i="1"/>
  <c r="AC93" i="1"/>
  <c r="AD93" i="1"/>
  <c r="X93" i="1"/>
  <c r="Y93" i="1"/>
  <c r="S93" i="1"/>
  <c r="T93" i="1"/>
  <c r="N93" i="1"/>
  <c r="O93" i="1"/>
  <c r="P95" i="1"/>
  <c r="K95" i="1"/>
  <c r="AB93" i="1"/>
  <c r="R93" i="1"/>
  <c r="AA93" i="1"/>
  <c r="Q93" i="1"/>
  <c r="U95" i="1"/>
  <c r="Z95" i="1"/>
  <c r="G93" i="1"/>
  <c r="W93" i="1"/>
  <c r="F93" i="1"/>
  <c r="V93" i="1"/>
  <c r="AP93" i="1"/>
  <c r="AQ93" i="1"/>
  <c r="AK93" i="1"/>
  <c r="AL93" i="1"/>
  <c r="AG93" i="1"/>
  <c r="AF93" i="1"/>
  <c r="E94" i="1"/>
  <c r="O94" i="1" s="1"/>
  <c r="H94" i="1"/>
  <c r="D94" i="1"/>
  <c r="N94" i="1" s="1"/>
  <c r="A96" i="1"/>
  <c r="I96" i="1" s="1"/>
  <c r="J96" i="1" s="1"/>
  <c r="AO95" i="1"/>
  <c r="AJ95" i="1"/>
  <c r="B95" i="1"/>
  <c r="C95" i="1" s="1"/>
  <c r="AE95" i="1"/>
  <c r="AH94" i="1" l="1"/>
  <c r="AH95" i="1"/>
  <c r="AI94" i="1"/>
  <c r="AC94" i="1"/>
  <c r="AD94" i="1"/>
  <c r="X94" i="1"/>
  <c r="Y94" i="1"/>
  <c r="T94" i="1"/>
  <c r="S94" i="1"/>
  <c r="L94" i="1"/>
  <c r="M94" i="1"/>
  <c r="P96" i="1"/>
  <c r="K96" i="1"/>
  <c r="AB94" i="1"/>
  <c r="R94" i="1"/>
  <c r="AA94" i="1"/>
  <c r="Q94" i="1"/>
  <c r="U96" i="1"/>
  <c r="Z96" i="1"/>
  <c r="G94" i="1"/>
  <c r="W94" i="1"/>
  <c r="F94" i="1"/>
  <c r="V94" i="1"/>
  <c r="AP94" i="1"/>
  <c r="AQ94" i="1"/>
  <c r="AK94" i="1"/>
  <c r="AL94" i="1"/>
  <c r="AG94" i="1"/>
  <c r="AF94" i="1"/>
  <c r="AE96" i="1"/>
  <c r="A97" i="1"/>
  <c r="I97" i="1" s="1"/>
  <c r="J97" i="1" s="1"/>
  <c r="AO96" i="1"/>
  <c r="AJ96" i="1"/>
  <c r="B96" i="1"/>
  <c r="C96" i="1" s="1"/>
  <c r="E95" i="1"/>
  <c r="R95" i="1" s="1"/>
  <c r="H95" i="1"/>
  <c r="D95" i="1"/>
  <c r="Q95" i="1" s="1"/>
  <c r="AI95" i="1" l="1"/>
  <c r="AC95" i="1"/>
  <c r="AD95" i="1"/>
  <c r="X95" i="1"/>
  <c r="Y95" i="1"/>
  <c r="S95" i="1"/>
  <c r="T95" i="1"/>
  <c r="O95" i="1"/>
  <c r="M95" i="1"/>
  <c r="N95" i="1"/>
  <c r="L95" i="1"/>
  <c r="P97" i="1"/>
  <c r="K97" i="1"/>
  <c r="AB95" i="1"/>
  <c r="AQ95" i="1"/>
  <c r="AA95" i="1"/>
  <c r="U97" i="1"/>
  <c r="Z97" i="1"/>
  <c r="F95" i="1"/>
  <c r="V95" i="1"/>
  <c r="G95" i="1"/>
  <c r="W95" i="1"/>
  <c r="AP95" i="1"/>
  <c r="AK95" i="1"/>
  <c r="AL95" i="1"/>
  <c r="AF95" i="1"/>
  <c r="AG95" i="1"/>
  <c r="A98" i="1"/>
  <c r="I98" i="1" s="1"/>
  <c r="J98" i="1" s="1"/>
  <c r="AO97" i="1"/>
  <c r="AJ97" i="1"/>
  <c r="B97" i="1"/>
  <c r="C97" i="1" s="1"/>
  <c r="AE97" i="1"/>
  <c r="E96" i="1"/>
  <c r="M96" i="1" s="1"/>
  <c r="H96" i="1"/>
  <c r="D96" i="1"/>
  <c r="L96" i="1" s="1"/>
  <c r="AI96" i="1" l="1"/>
  <c r="AH96" i="1"/>
  <c r="AD96" i="1"/>
  <c r="AC96" i="1"/>
  <c r="X96" i="1"/>
  <c r="Y96" i="1"/>
  <c r="T96" i="1"/>
  <c r="S96" i="1"/>
  <c r="N96" i="1"/>
  <c r="O96" i="1"/>
  <c r="P98" i="1"/>
  <c r="K98" i="1"/>
  <c r="AB96" i="1"/>
  <c r="R96" i="1"/>
  <c r="AA96" i="1"/>
  <c r="Q96" i="1"/>
  <c r="U98" i="1"/>
  <c r="Z98" i="1"/>
  <c r="G96" i="1"/>
  <c r="W96" i="1"/>
  <c r="F96" i="1"/>
  <c r="V96" i="1"/>
  <c r="AP96" i="1"/>
  <c r="AQ96" i="1"/>
  <c r="AK96" i="1"/>
  <c r="AL96" i="1"/>
  <c r="AF96" i="1"/>
  <c r="AG96" i="1"/>
  <c r="E97" i="1"/>
  <c r="M97" i="1" s="1"/>
  <c r="H97" i="1"/>
  <c r="D97" i="1"/>
  <c r="L97" i="1" s="1"/>
  <c r="AE98" i="1"/>
  <c r="A99" i="1"/>
  <c r="I99" i="1" s="1"/>
  <c r="J99" i="1" s="1"/>
  <c r="AO98" i="1"/>
  <c r="AJ98" i="1"/>
  <c r="B98" i="1"/>
  <c r="C98" i="1" s="1"/>
  <c r="AC97" i="1" l="1"/>
  <c r="AH97" i="1"/>
  <c r="AI97" i="1"/>
  <c r="AD97" i="1"/>
  <c r="S97" i="1"/>
  <c r="X97" i="1"/>
  <c r="Y97" i="1"/>
  <c r="T97" i="1"/>
  <c r="N97" i="1"/>
  <c r="O97" i="1"/>
  <c r="P99" i="1"/>
  <c r="K99" i="1"/>
  <c r="AA97" i="1"/>
  <c r="Q97" i="1"/>
  <c r="AB97" i="1"/>
  <c r="R97" i="1"/>
  <c r="U99" i="1"/>
  <c r="Z99" i="1"/>
  <c r="G97" i="1"/>
  <c r="W97" i="1"/>
  <c r="F97" i="1"/>
  <c r="V97" i="1"/>
  <c r="AQ97" i="1"/>
  <c r="AP97" i="1"/>
  <c r="AK97" i="1"/>
  <c r="AL97" i="1"/>
  <c r="AG97" i="1"/>
  <c r="AF97" i="1"/>
  <c r="E98" i="1"/>
  <c r="M98" i="1" s="1"/>
  <c r="H98" i="1"/>
  <c r="D98" i="1"/>
  <c r="L98" i="1" s="1"/>
  <c r="A100" i="1"/>
  <c r="I100" i="1" s="1"/>
  <c r="J100" i="1" s="1"/>
  <c r="AO99" i="1"/>
  <c r="AJ99" i="1"/>
  <c r="B99" i="1"/>
  <c r="C99" i="1" s="1"/>
  <c r="AE99" i="1"/>
  <c r="AI98" i="1" l="1"/>
  <c r="AH98" i="1"/>
  <c r="AC98" i="1"/>
  <c r="AD98" i="1"/>
  <c r="X98" i="1"/>
  <c r="Y98" i="1"/>
  <c r="S98" i="1"/>
  <c r="T98" i="1"/>
  <c r="N98" i="1"/>
  <c r="O98" i="1"/>
  <c r="P100" i="1"/>
  <c r="K100" i="1"/>
  <c r="AB98" i="1"/>
  <c r="R98" i="1"/>
  <c r="AA98" i="1"/>
  <c r="Q98" i="1"/>
  <c r="U100" i="1"/>
  <c r="Z100" i="1"/>
  <c r="G98" i="1"/>
  <c r="W98" i="1"/>
  <c r="F98" i="1"/>
  <c r="V98" i="1"/>
  <c r="AQ98" i="1"/>
  <c r="AP98" i="1"/>
  <c r="AK98" i="1"/>
  <c r="AL98" i="1"/>
  <c r="AG98" i="1"/>
  <c r="AF98" i="1"/>
  <c r="AE100" i="1"/>
  <c r="A101" i="1"/>
  <c r="I101" i="1" s="1"/>
  <c r="J101" i="1" s="1"/>
  <c r="AO100" i="1"/>
  <c r="B100" i="1"/>
  <c r="C100" i="1" s="1"/>
  <c r="AJ100" i="1"/>
  <c r="E99" i="1"/>
  <c r="O99" i="1" s="1"/>
  <c r="D99" i="1"/>
  <c r="N99" i="1" s="1"/>
  <c r="H99" i="1"/>
  <c r="AH99" i="1" l="1"/>
  <c r="AC99" i="1"/>
  <c r="AI99" i="1"/>
  <c r="AD99" i="1"/>
  <c r="Y99" i="1"/>
  <c r="X99" i="1"/>
  <c r="S99" i="1"/>
  <c r="T99" i="1"/>
  <c r="L99" i="1"/>
  <c r="M99" i="1"/>
  <c r="P101" i="1"/>
  <c r="K101" i="1"/>
  <c r="AB99" i="1"/>
  <c r="R99" i="1"/>
  <c r="AA99" i="1"/>
  <c r="Q99" i="1"/>
  <c r="U101" i="1"/>
  <c r="Z101" i="1"/>
  <c r="F99" i="1"/>
  <c r="V99" i="1"/>
  <c r="G99" i="1"/>
  <c r="W99" i="1"/>
  <c r="AP99" i="1"/>
  <c r="AQ99" i="1"/>
  <c r="AK99" i="1"/>
  <c r="AL99" i="1"/>
  <c r="AF99" i="1"/>
  <c r="AG99" i="1"/>
  <c r="A102" i="1"/>
  <c r="I102" i="1" s="1"/>
  <c r="J102" i="1" s="1"/>
  <c r="AO101" i="1"/>
  <c r="AJ101" i="1"/>
  <c r="B101" i="1"/>
  <c r="C101" i="1" s="1"/>
  <c r="AE101" i="1"/>
  <c r="E100" i="1"/>
  <c r="O100" i="1" s="1"/>
  <c r="H100" i="1"/>
  <c r="D100" i="1"/>
  <c r="Q100" i="1" s="1"/>
  <c r="AH100" i="1" l="1"/>
  <c r="AI100" i="1"/>
  <c r="AC100" i="1"/>
  <c r="AD100" i="1"/>
  <c r="X100" i="1"/>
  <c r="Y100" i="1"/>
  <c r="N100" i="1"/>
  <c r="S100" i="1"/>
  <c r="T100" i="1"/>
  <c r="M100" i="1"/>
  <c r="P102" i="1"/>
  <c r="K102" i="1"/>
  <c r="L100" i="1"/>
  <c r="AA100" i="1"/>
  <c r="AB100" i="1"/>
  <c r="R100" i="1"/>
  <c r="U102" i="1"/>
  <c r="Z102" i="1"/>
  <c r="F100" i="1"/>
  <c r="V100" i="1"/>
  <c r="G100" i="1"/>
  <c r="W100" i="1"/>
  <c r="AP100" i="1"/>
  <c r="AQ100" i="1"/>
  <c r="AK100" i="1"/>
  <c r="AL100" i="1"/>
  <c r="AG100" i="1"/>
  <c r="AF100" i="1"/>
  <c r="E101" i="1"/>
  <c r="M101" i="1" s="1"/>
  <c r="D101" i="1"/>
  <c r="L101" i="1" s="1"/>
  <c r="H101" i="1"/>
  <c r="AE102" i="1"/>
  <c r="A103" i="1"/>
  <c r="I103" i="1" s="1"/>
  <c r="J103" i="1" s="1"/>
  <c r="AO102" i="1"/>
  <c r="B102" i="1"/>
  <c r="C102" i="1" s="1"/>
  <c r="AJ102" i="1"/>
  <c r="AH101" i="1" l="1"/>
  <c r="AI101" i="1"/>
  <c r="AC101" i="1"/>
  <c r="AD101" i="1"/>
  <c r="X101" i="1"/>
  <c r="Y101" i="1"/>
  <c r="S101" i="1"/>
  <c r="T101" i="1"/>
  <c r="N101" i="1"/>
  <c r="O101" i="1"/>
  <c r="P103" i="1"/>
  <c r="K103" i="1"/>
  <c r="AA101" i="1"/>
  <c r="Q101" i="1"/>
  <c r="AB101" i="1"/>
  <c r="R101" i="1"/>
  <c r="U103" i="1"/>
  <c r="Z103" i="1"/>
  <c r="G101" i="1"/>
  <c r="W101" i="1"/>
  <c r="F101" i="1"/>
  <c r="V101" i="1"/>
  <c r="AQ101" i="1"/>
  <c r="AP101" i="1"/>
  <c r="AK101" i="1"/>
  <c r="AL101" i="1"/>
  <c r="AF101" i="1"/>
  <c r="AG101" i="1"/>
  <c r="E102" i="1"/>
  <c r="O102" i="1" s="1"/>
  <c r="H102" i="1"/>
  <c r="D102" i="1"/>
  <c r="N102" i="1" s="1"/>
  <c r="A104" i="1"/>
  <c r="I104" i="1" s="1"/>
  <c r="J104" i="1" s="1"/>
  <c r="AO103" i="1"/>
  <c r="AJ103" i="1"/>
  <c r="B103" i="1"/>
  <c r="C103" i="1" s="1"/>
  <c r="AE103" i="1"/>
  <c r="L102" i="1" l="1"/>
  <c r="AH102" i="1"/>
  <c r="AI102" i="1"/>
  <c r="AC102" i="1"/>
  <c r="AD102" i="1"/>
  <c r="X102" i="1"/>
  <c r="Y102" i="1"/>
  <c r="T102" i="1"/>
  <c r="S102" i="1"/>
  <c r="M102" i="1"/>
  <c r="P104" i="1"/>
  <c r="K104" i="1"/>
  <c r="AA102" i="1"/>
  <c r="Q102" i="1"/>
  <c r="AB102" i="1"/>
  <c r="R102" i="1"/>
  <c r="U104" i="1"/>
  <c r="Z104" i="1"/>
  <c r="G102" i="1"/>
  <c r="W102" i="1"/>
  <c r="F102" i="1"/>
  <c r="V102" i="1"/>
  <c r="AQ102" i="1"/>
  <c r="AP102" i="1"/>
  <c r="AK102" i="1"/>
  <c r="AL102" i="1"/>
  <c r="AF102" i="1"/>
  <c r="AG102" i="1"/>
  <c r="AE104" i="1"/>
  <c r="A105" i="1"/>
  <c r="I105" i="1" s="1"/>
  <c r="J105" i="1" s="1"/>
  <c r="AO104" i="1"/>
  <c r="AJ104" i="1"/>
  <c r="B104" i="1"/>
  <c r="C104" i="1" s="1"/>
  <c r="E103" i="1"/>
  <c r="M103" i="1" s="1"/>
  <c r="H103" i="1"/>
  <c r="D103" i="1"/>
  <c r="Q103" i="1" s="1"/>
  <c r="AH103" i="1" l="1"/>
  <c r="AI103" i="1"/>
  <c r="AD103" i="1"/>
  <c r="AC103" i="1"/>
  <c r="X103" i="1"/>
  <c r="Y103" i="1"/>
  <c r="S103" i="1"/>
  <c r="T103" i="1"/>
  <c r="N103" i="1"/>
  <c r="O103" i="1"/>
  <c r="P105" i="1"/>
  <c r="K105" i="1"/>
  <c r="L103" i="1"/>
  <c r="AA103" i="1"/>
  <c r="AB103" i="1"/>
  <c r="R103" i="1"/>
  <c r="U105" i="1"/>
  <c r="Z105" i="1"/>
  <c r="F103" i="1"/>
  <c r="V103" i="1"/>
  <c r="G103" i="1"/>
  <c r="W103" i="1"/>
  <c r="AP103" i="1"/>
  <c r="AQ103" i="1"/>
  <c r="AK103" i="1"/>
  <c r="AL103" i="1"/>
  <c r="AF103" i="1"/>
  <c r="AG103" i="1"/>
  <c r="A106" i="1"/>
  <c r="I106" i="1" s="1"/>
  <c r="J106" i="1" s="1"/>
  <c r="AO105" i="1"/>
  <c r="AJ105" i="1"/>
  <c r="B105" i="1"/>
  <c r="C105" i="1" s="1"/>
  <c r="AE105" i="1"/>
  <c r="E104" i="1"/>
  <c r="M104" i="1" s="1"/>
  <c r="H104" i="1"/>
  <c r="D104" i="1"/>
  <c r="L104" i="1" s="1"/>
  <c r="AH104" i="1" l="1"/>
  <c r="AI104" i="1"/>
  <c r="AD104" i="1"/>
  <c r="AC104" i="1"/>
  <c r="X104" i="1"/>
  <c r="Y104" i="1"/>
  <c r="S104" i="1"/>
  <c r="T104" i="1"/>
  <c r="N104" i="1"/>
  <c r="O104" i="1"/>
  <c r="P106" i="1"/>
  <c r="K106" i="1"/>
  <c r="AA104" i="1"/>
  <c r="Q104" i="1"/>
  <c r="AB104" i="1"/>
  <c r="R104" i="1"/>
  <c r="U106" i="1"/>
  <c r="Z106" i="1"/>
  <c r="F104" i="1"/>
  <c r="V104" i="1"/>
  <c r="G104" i="1"/>
  <c r="W104" i="1"/>
  <c r="AP104" i="1"/>
  <c r="AQ104" i="1"/>
  <c r="AK104" i="1"/>
  <c r="AL104" i="1"/>
  <c r="AF104" i="1"/>
  <c r="AG104" i="1"/>
  <c r="E105" i="1"/>
  <c r="M105" i="1" s="1"/>
  <c r="H105" i="1"/>
  <c r="D105" i="1"/>
  <c r="L105" i="1" s="1"/>
  <c r="AE106" i="1"/>
  <c r="A107" i="1"/>
  <c r="I107" i="1" s="1"/>
  <c r="J107" i="1" s="1"/>
  <c r="AO106" i="1"/>
  <c r="AJ106" i="1"/>
  <c r="B106" i="1"/>
  <c r="C106" i="1" s="1"/>
  <c r="AI105" i="1" l="1"/>
  <c r="AH105" i="1"/>
  <c r="AC105" i="1"/>
  <c r="AD105" i="1"/>
  <c r="X105" i="1"/>
  <c r="Y105" i="1"/>
  <c r="S105" i="1"/>
  <c r="T105" i="1"/>
  <c r="N105" i="1"/>
  <c r="O105" i="1"/>
  <c r="P107" i="1"/>
  <c r="K107" i="1"/>
  <c r="AA105" i="1"/>
  <c r="Q105" i="1"/>
  <c r="AB105" i="1"/>
  <c r="R105" i="1"/>
  <c r="U107" i="1"/>
  <c r="Z107" i="1"/>
  <c r="G105" i="1"/>
  <c r="W105" i="1"/>
  <c r="F105" i="1"/>
  <c r="V105" i="1"/>
  <c r="AQ105" i="1"/>
  <c r="AP105" i="1"/>
  <c r="AK105" i="1"/>
  <c r="AL105" i="1"/>
  <c r="AG105" i="1"/>
  <c r="AF105" i="1"/>
  <c r="E106" i="1"/>
  <c r="M106" i="1" s="1"/>
  <c r="H106" i="1"/>
  <c r="D106" i="1"/>
  <c r="L106" i="1" s="1"/>
  <c r="A108" i="1"/>
  <c r="I108" i="1" s="1"/>
  <c r="J108" i="1" s="1"/>
  <c r="AO107" i="1"/>
  <c r="AJ107" i="1"/>
  <c r="B107" i="1"/>
  <c r="C107" i="1" s="1"/>
  <c r="AE107" i="1"/>
  <c r="AH106" i="1" l="1"/>
  <c r="AI106" i="1"/>
  <c r="AC106" i="1"/>
  <c r="AD106" i="1"/>
  <c r="X106" i="1"/>
  <c r="Y106" i="1"/>
  <c r="S106" i="1"/>
  <c r="T106" i="1"/>
  <c r="N106" i="1"/>
  <c r="O106" i="1"/>
  <c r="P108" i="1"/>
  <c r="K108" i="1"/>
  <c r="AB106" i="1"/>
  <c r="R106" i="1"/>
  <c r="AA106" i="1"/>
  <c r="Q106" i="1"/>
  <c r="U108" i="1"/>
  <c r="Z108" i="1"/>
  <c r="G106" i="1"/>
  <c r="W106" i="1"/>
  <c r="F106" i="1"/>
  <c r="V106" i="1"/>
  <c r="AP106" i="1"/>
  <c r="AQ106" i="1"/>
  <c r="AG106" i="1"/>
  <c r="AK106" i="1"/>
  <c r="AL106" i="1"/>
  <c r="AF106" i="1"/>
  <c r="AE108" i="1"/>
  <c r="A109" i="1"/>
  <c r="I109" i="1" s="1"/>
  <c r="J109" i="1" s="1"/>
  <c r="AO108" i="1"/>
  <c r="B108" i="1"/>
  <c r="C108" i="1" s="1"/>
  <c r="AJ108" i="1"/>
  <c r="E107" i="1"/>
  <c r="M107" i="1" s="1"/>
  <c r="D107" i="1"/>
  <c r="S107" i="1" s="1"/>
  <c r="H107" i="1"/>
  <c r="AH107" i="1" l="1"/>
  <c r="AI107" i="1"/>
  <c r="AC107" i="1"/>
  <c r="AD107" i="1"/>
  <c r="X107" i="1"/>
  <c r="Y107" i="1"/>
  <c r="L107" i="1"/>
  <c r="N107" i="1"/>
  <c r="T107" i="1"/>
  <c r="O107" i="1"/>
  <c r="P109" i="1"/>
  <c r="K109" i="1"/>
  <c r="AB107" i="1"/>
  <c r="R107" i="1"/>
  <c r="AA107" i="1"/>
  <c r="Q107" i="1"/>
  <c r="U109" i="1"/>
  <c r="Z109" i="1"/>
  <c r="F107" i="1"/>
  <c r="V107" i="1"/>
  <c r="G107" i="1"/>
  <c r="W107" i="1"/>
  <c r="AP107" i="1"/>
  <c r="AQ107" i="1"/>
  <c r="AK107" i="1"/>
  <c r="AL107" i="1"/>
  <c r="AF107" i="1"/>
  <c r="AG107" i="1"/>
  <c r="A110" i="1"/>
  <c r="I110" i="1" s="1"/>
  <c r="J110" i="1" s="1"/>
  <c r="AO109" i="1"/>
  <c r="AJ109" i="1"/>
  <c r="B109" i="1"/>
  <c r="C109" i="1" s="1"/>
  <c r="AE109" i="1"/>
  <c r="E108" i="1"/>
  <c r="M108" i="1" s="1"/>
  <c r="H108" i="1"/>
  <c r="D108" i="1"/>
  <c r="L108" i="1" s="1"/>
  <c r="AH108" i="1" l="1"/>
  <c r="AI108" i="1"/>
  <c r="AD108" i="1"/>
  <c r="AC108" i="1"/>
  <c r="X108" i="1"/>
  <c r="Y108" i="1"/>
  <c r="S108" i="1"/>
  <c r="T108" i="1"/>
  <c r="N108" i="1"/>
  <c r="O108" i="1"/>
  <c r="P110" i="1"/>
  <c r="K110" i="1"/>
  <c r="AB108" i="1"/>
  <c r="R108" i="1"/>
  <c r="AA108" i="1"/>
  <c r="Q108" i="1"/>
  <c r="U110" i="1"/>
  <c r="Z110" i="1"/>
  <c r="F108" i="1"/>
  <c r="V108" i="1"/>
  <c r="G108" i="1"/>
  <c r="W108" i="1"/>
  <c r="AQ108" i="1"/>
  <c r="AK108" i="1"/>
  <c r="AP108" i="1"/>
  <c r="AL108" i="1"/>
  <c r="AG108" i="1"/>
  <c r="AF108" i="1"/>
  <c r="E109" i="1"/>
  <c r="M109" i="1" s="1"/>
  <c r="D109" i="1"/>
  <c r="N109" i="1" s="1"/>
  <c r="H109" i="1"/>
  <c r="AE110" i="1"/>
  <c r="A111" i="1"/>
  <c r="I111" i="1" s="1"/>
  <c r="J111" i="1" s="1"/>
  <c r="AO110" i="1"/>
  <c r="AJ110" i="1"/>
  <c r="B110" i="1"/>
  <c r="C110" i="1" s="1"/>
  <c r="AH109" i="1" l="1"/>
  <c r="AI109" i="1"/>
  <c r="AC109" i="1"/>
  <c r="AD109" i="1"/>
  <c r="X109" i="1"/>
  <c r="Y109" i="1"/>
  <c r="S109" i="1"/>
  <c r="T109" i="1"/>
  <c r="L109" i="1"/>
  <c r="O109" i="1"/>
  <c r="P111" i="1"/>
  <c r="K111" i="1"/>
  <c r="AA109" i="1"/>
  <c r="Q109" i="1"/>
  <c r="AB109" i="1"/>
  <c r="R109" i="1"/>
  <c r="U111" i="1"/>
  <c r="Z111" i="1"/>
  <c r="F109" i="1"/>
  <c r="V109" i="1"/>
  <c r="G109" i="1"/>
  <c r="W109" i="1"/>
  <c r="AQ109" i="1"/>
  <c r="AP109" i="1"/>
  <c r="AF109" i="1"/>
  <c r="AK109" i="1"/>
  <c r="AL109" i="1"/>
  <c r="AG109" i="1"/>
  <c r="E110" i="1"/>
  <c r="M110" i="1" s="1"/>
  <c r="H110" i="1"/>
  <c r="D110" i="1"/>
  <c r="L110" i="1" s="1"/>
  <c r="A112" i="1"/>
  <c r="I112" i="1" s="1"/>
  <c r="J112" i="1" s="1"/>
  <c r="AO111" i="1"/>
  <c r="AJ111" i="1"/>
  <c r="B111" i="1"/>
  <c r="C111" i="1" s="1"/>
  <c r="AE111" i="1"/>
  <c r="AH110" i="1" l="1"/>
  <c r="AI110" i="1"/>
  <c r="AD110" i="1"/>
  <c r="AC110" i="1"/>
  <c r="Y110" i="1"/>
  <c r="X110" i="1"/>
  <c r="S110" i="1"/>
  <c r="T110" i="1"/>
  <c r="N110" i="1"/>
  <c r="O110" i="1"/>
  <c r="P112" i="1"/>
  <c r="K112" i="1"/>
  <c r="AA110" i="1"/>
  <c r="Q110" i="1"/>
  <c r="AB110" i="1"/>
  <c r="R110" i="1"/>
  <c r="U112" i="1"/>
  <c r="Z112" i="1"/>
  <c r="G110" i="1"/>
  <c r="W110" i="1"/>
  <c r="F110" i="1"/>
  <c r="V110" i="1"/>
  <c r="AQ110" i="1"/>
  <c r="AP110" i="1"/>
  <c r="AK110" i="1"/>
  <c r="AL110" i="1"/>
  <c r="AG110" i="1"/>
  <c r="AF110" i="1"/>
  <c r="AE112" i="1"/>
  <c r="A113" i="1"/>
  <c r="I113" i="1" s="1"/>
  <c r="J113" i="1" s="1"/>
  <c r="AO112" i="1"/>
  <c r="AJ112" i="1"/>
  <c r="B112" i="1"/>
  <c r="C112" i="1" s="1"/>
  <c r="E111" i="1"/>
  <c r="M111" i="1" s="1"/>
  <c r="H111" i="1"/>
  <c r="D111" i="1"/>
  <c r="L111" i="1" s="1"/>
  <c r="AH111" i="1" l="1"/>
  <c r="AI111" i="1"/>
  <c r="AD111" i="1"/>
  <c r="AC111" i="1"/>
  <c r="X111" i="1"/>
  <c r="Y111" i="1"/>
  <c r="T111" i="1"/>
  <c r="S111" i="1"/>
  <c r="O111" i="1"/>
  <c r="N111" i="1"/>
  <c r="P113" i="1"/>
  <c r="K113" i="1"/>
  <c r="AB111" i="1"/>
  <c r="R111" i="1"/>
  <c r="AA111" i="1"/>
  <c r="Q111" i="1"/>
  <c r="U113" i="1"/>
  <c r="Z113" i="1"/>
  <c r="F111" i="1"/>
  <c r="V111" i="1"/>
  <c r="G111" i="1"/>
  <c r="W111" i="1"/>
  <c r="AQ111" i="1"/>
  <c r="AK111" i="1"/>
  <c r="AP111" i="1"/>
  <c r="AL111" i="1"/>
  <c r="AF111" i="1"/>
  <c r="AG111" i="1"/>
  <c r="A114" i="1"/>
  <c r="I114" i="1" s="1"/>
  <c r="J114" i="1" s="1"/>
  <c r="AO113" i="1"/>
  <c r="AJ113" i="1"/>
  <c r="B113" i="1"/>
  <c r="C113" i="1" s="1"/>
  <c r="AE113" i="1"/>
  <c r="E112" i="1"/>
  <c r="M112" i="1" s="1"/>
  <c r="H112" i="1"/>
  <c r="D112" i="1"/>
  <c r="Q112" i="1" s="1"/>
  <c r="AH112" i="1" l="1"/>
  <c r="AI112" i="1"/>
  <c r="AC112" i="1"/>
  <c r="AD112" i="1"/>
  <c r="X112" i="1"/>
  <c r="Y112" i="1"/>
  <c r="S112" i="1"/>
  <c r="T112" i="1"/>
  <c r="N112" i="1"/>
  <c r="O112" i="1"/>
  <c r="L112" i="1"/>
  <c r="P114" i="1"/>
  <c r="K114" i="1"/>
  <c r="AB112" i="1"/>
  <c r="R112" i="1"/>
  <c r="AA112" i="1"/>
  <c r="U114" i="1"/>
  <c r="Z114" i="1"/>
  <c r="F112" i="1"/>
  <c r="V112" i="1"/>
  <c r="G112" i="1"/>
  <c r="W112" i="1"/>
  <c r="AQ112" i="1"/>
  <c r="AP112" i="1"/>
  <c r="AK112" i="1"/>
  <c r="AL112" i="1"/>
  <c r="AG112" i="1"/>
  <c r="AF112" i="1"/>
  <c r="E113" i="1"/>
  <c r="M113" i="1" s="1"/>
  <c r="H113" i="1"/>
  <c r="D113" i="1"/>
  <c r="Q113" i="1" s="1"/>
  <c r="AE114" i="1"/>
  <c r="A115" i="1"/>
  <c r="I115" i="1" s="1"/>
  <c r="J115" i="1" s="1"/>
  <c r="AO114" i="1"/>
  <c r="B114" i="1"/>
  <c r="C114" i="1" s="1"/>
  <c r="AJ114" i="1"/>
  <c r="AH113" i="1" l="1"/>
  <c r="AI113" i="1"/>
  <c r="AD113" i="1"/>
  <c r="AC113" i="1"/>
  <c r="S113" i="1"/>
  <c r="X113" i="1"/>
  <c r="Y113" i="1"/>
  <c r="T113" i="1"/>
  <c r="N113" i="1"/>
  <c r="O113" i="1"/>
  <c r="L113" i="1"/>
  <c r="P115" i="1"/>
  <c r="K115" i="1"/>
  <c r="AB113" i="1"/>
  <c r="R113" i="1"/>
  <c r="AA113" i="1"/>
  <c r="AP113" i="1"/>
  <c r="U115" i="1"/>
  <c r="Z115" i="1"/>
  <c r="F113" i="1"/>
  <c r="V113" i="1"/>
  <c r="G113" i="1"/>
  <c r="W113" i="1"/>
  <c r="AQ113" i="1"/>
  <c r="AK113" i="1"/>
  <c r="AL113" i="1"/>
  <c r="AG113" i="1"/>
  <c r="AF113" i="1"/>
  <c r="E114" i="1"/>
  <c r="R114" i="1" s="1"/>
  <c r="H114" i="1"/>
  <c r="D114" i="1"/>
  <c r="L114" i="1" s="1"/>
  <c r="A116" i="1"/>
  <c r="I116" i="1" s="1"/>
  <c r="J116" i="1" s="1"/>
  <c r="AO115" i="1"/>
  <c r="AJ115" i="1"/>
  <c r="B115" i="1"/>
  <c r="C115" i="1" s="1"/>
  <c r="AE115" i="1"/>
  <c r="AH114" i="1" l="1"/>
  <c r="AI114" i="1"/>
  <c r="AC114" i="1"/>
  <c r="AD114" i="1"/>
  <c r="X114" i="1"/>
  <c r="Y114" i="1"/>
  <c r="S114" i="1"/>
  <c r="T114" i="1"/>
  <c r="N114" i="1"/>
  <c r="O114" i="1"/>
  <c r="M114" i="1"/>
  <c r="P116" i="1"/>
  <c r="K116" i="1"/>
  <c r="AB114" i="1"/>
  <c r="AA114" i="1"/>
  <c r="Q114" i="1"/>
  <c r="U116" i="1"/>
  <c r="Z116" i="1"/>
  <c r="G114" i="1"/>
  <c r="W114" i="1"/>
  <c r="F114" i="1"/>
  <c r="V114" i="1"/>
  <c r="AP114" i="1"/>
  <c r="AQ114" i="1"/>
  <c r="AK114" i="1"/>
  <c r="AL114" i="1"/>
  <c r="AG114" i="1"/>
  <c r="AF114" i="1"/>
  <c r="AE116" i="1"/>
  <c r="A117" i="1"/>
  <c r="I117" i="1" s="1"/>
  <c r="J117" i="1" s="1"/>
  <c r="AO116" i="1"/>
  <c r="B116" i="1"/>
  <c r="C116" i="1" s="1"/>
  <c r="AJ116" i="1"/>
  <c r="E115" i="1"/>
  <c r="M115" i="1" s="1"/>
  <c r="H115" i="1"/>
  <c r="D115" i="1"/>
  <c r="L115" i="1" s="1"/>
  <c r="AH115" i="1" l="1"/>
  <c r="AI115" i="1"/>
  <c r="AD115" i="1"/>
  <c r="AC115" i="1"/>
  <c r="X115" i="1"/>
  <c r="Y115" i="1"/>
  <c r="T115" i="1"/>
  <c r="S115" i="1"/>
  <c r="N115" i="1"/>
  <c r="O115" i="1"/>
  <c r="P117" i="1"/>
  <c r="K117" i="1"/>
  <c r="AA115" i="1"/>
  <c r="Q115" i="1"/>
  <c r="AB115" i="1"/>
  <c r="R115" i="1"/>
  <c r="U117" i="1"/>
  <c r="Z117" i="1"/>
  <c r="F115" i="1"/>
  <c r="V115" i="1"/>
  <c r="G115" i="1"/>
  <c r="W115" i="1"/>
  <c r="AK115" i="1"/>
  <c r="AQ115" i="1"/>
  <c r="AP115" i="1"/>
  <c r="AL115" i="1"/>
  <c r="AF115" i="1"/>
  <c r="AG115" i="1"/>
  <c r="A118" i="1"/>
  <c r="I118" i="1" s="1"/>
  <c r="J118" i="1" s="1"/>
  <c r="AO117" i="1"/>
  <c r="AJ117" i="1"/>
  <c r="B117" i="1"/>
  <c r="C117" i="1" s="1"/>
  <c r="AE117" i="1"/>
  <c r="E116" i="1"/>
  <c r="M116" i="1" s="1"/>
  <c r="H116" i="1"/>
  <c r="D116" i="1"/>
  <c r="Q116" i="1" s="1"/>
  <c r="AH116" i="1" l="1"/>
  <c r="AI116" i="1"/>
  <c r="AC116" i="1"/>
  <c r="AD116" i="1"/>
  <c r="Y116" i="1"/>
  <c r="X116" i="1"/>
  <c r="T116" i="1"/>
  <c r="N116" i="1"/>
  <c r="S116" i="1"/>
  <c r="O116" i="1"/>
  <c r="P118" i="1"/>
  <c r="K118" i="1"/>
  <c r="L116" i="1"/>
  <c r="AA116" i="1"/>
  <c r="AB116" i="1"/>
  <c r="R116" i="1"/>
  <c r="U118" i="1"/>
  <c r="Z118" i="1"/>
  <c r="F116" i="1"/>
  <c r="V116" i="1"/>
  <c r="G116" i="1"/>
  <c r="W116" i="1"/>
  <c r="AQ116" i="1"/>
  <c r="AP116" i="1"/>
  <c r="AG116" i="1"/>
  <c r="AK116" i="1"/>
  <c r="AL116" i="1"/>
  <c r="AF116" i="1"/>
  <c r="E117" i="1"/>
  <c r="M117" i="1" s="1"/>
  <c r="D117" i="1"/>
  <c r="L117" i="1" s="1"/>
  <c r="H117" i="1"/>
  <c r="AE118" i="1"/>
  <c r="A119" i="1"/>
  <c r="I119" i="1" s="1"/>
  <c r="J119" i="1" s="1"/>
  <c r="AO118" i="1"/>
  <c r="AJ118" i="1"/>
  <c r="B118" i="1"/>
  <c r="C118" i="1" s="1"/>
  <c r="AI117" i="1" l="1"/>
  <c r="AH117" i="1"/>
  <c r="AC117" i="1"/>
  <c r="AD117" i="1"/>
  <c r="Y117" i="1"/>
  <c r="X117" i="1"/>
  <c r="S117" i="1"/>
  <c r="T117" i="1"/>
  <c r="O117" i="1"/>
  <c r="N117" i="1"/>
  <c r="P119" i="1"/>
  <c r="K119" i="1"/>
  <c r="AB117" i="1"/>
  <c r="R117" i="1"/>
  <c r="AA117" i="1"/>
  <c r="Q117" i="1"/>
  <c r="U119" i="1"/>
  <c r="Z119" i="1"/>
  <c r="G117" i="1"/>
  <c r="W117" i="1"/>
  <c r="F117" i="1"/>
  <c r="V117" i="1"/>
  <c r="AQ117" i="1"/>
  <c r="AP117" i="1"/>
  <c r="AK117" i="1"/>
  <c r="AL117" i="1"/>
  <c r="AG117" i="1"/>
  <c r="AF117" i="1"/>
  <c r="E118" i="1"/>
  <c r="M118" i="1" s="1"/>
  <c r="H118" i="1"/>
  <c r="D118" i="1"/>
  <c r="L118" i="1" s="1"/>
  <c r="A120" i="1"/>
  <c r="I120" i="1" s="1"/>
  <c r="J120" i="1" s="1"/>
  <c r="AO119" i="1"/>
  <c r="AJ119" i="1"/>
  <c r="B119" i="1"/>
  <c r="C119" i="1" s="1"/>
  <c r="AE119" i="1"/>
  <c r="AH118" i="1" l="1"/>
  <c r="AI118" i="1"/>
  <c r="AC118" i="1"/>
  <c r="AD118" i="1"/>
  <c r="X118" i="1"/>
  <c r="Y118" i="1"/>
  <c r="T118" i="1"/>
  <c r="N118" i="1"/>
  <c r="S118" i="1"/>
  <c r="O118" i="1"/>
  <c r="P120" i="1"/>
  <c r="K120" i="1"/>
  <c r="AA118" i="1"/>
  <c r="Q118" i="1"/>
  <c r="AB118" i="1"/>
  <c r="R118" i="1"/>
  <c r="U120" i="1"/>
  <c r="Z120" i="1"/>
  <c r="G118" i="1"/>
  <c r="W118" i="1"/>
  <c r="F118" i="1"/>
  <c r="V118" i="1"/>
  <c r="AL118" i="1"/>
  <c r="AQ118" i="1"/>
  <c r="AK118" i="1"/>
  <c r="AP118" i="1"/>
  <c r="AG118" i="1"/>
  <c r="AF118" i="1"/>
  <c r="AE120" i="1"/>
  <c r="A121" i="1"/>
  <c r="I121" i="1" s="1"/>
  <c r="J121" i="1" s="1"/>
  <c r="AO120" i="1"/>
  <c r="AJ120" i="1"/>
  <c r="B120" i="1"/>
  <c r="C120" i="1" s="1"/>
  <c r="E119" i="1"/>
  <c r="M119" i="1" s="1"/>
  <c r="H119" i="1"/>
  <c r="D119" i="1"/>
  <c r="L119" i="1" s="1"/>
  <c r="AH119" i="1" l="1"/>
  <c r="AI119" i="1"/>
  <c r="AC119" i="1"/>
  <c r="AD119" i="1"/>
  <c r="X119" i="1"/>
  <c r="Y119" i="1"/>
  <c r="S119" i="1"/>
  <c r="T119" i="1"/>
  <c r="N119" i="1"/>
  <c r="O119" i="1"/>
  <c r="P121" i="1"/>
  <c r="K121" i="1"/>
  <c r="AB119" i="1"/>
  <c r="R119" i="1"/>
  <c r="AA119" i="1"/>
  <c r="Q119" i="1"/>
  <c r="U121" i="1"/>
  <c r="Z121" i="1"/>
  <c r="F119" i="1"/>
  <c r="V119" i="1"/>
  <c r="G119" i="1"/>
  <c r="W119" i="1"/>
  <c r="AP119" i="1"/>
  <c r="AQ119" i="1"/>
  <c r="AK119" i="1"/>
  <c r="AL119" i="1"/>
  <c r="AF119" i="1"/>
  <c r="AG119" i="1"/>
  <c r="A122" i="1"/>
  <c r="I122" i="1" s="1"/>
  <c r="J122" i="1" s="1"/>
  <c r="AO121" i="1"/>
  <c r="AJ121" i="1"/>
  <c r="B121" i="1"/>
  <c r="C121" i="1" s="1"/>
  <c r="AE121" i="1"/>
  <c r="E120" i="1"/>
  <c r="M120" i="1" s="1"/>
  <c r="H120" i="1"/>
  <c r="D120" i="1"/>
  <c r="L120" i="1" s="1"/>
  <c r="AH120" i="1" l="1"/>
  <c r="AI120" i="1"/>
  <c r="AC120" i="1"/>
  <c r="AD120" i="1"/>
  <c r="X120" i="1"/>
  <c r="Y120" i="1"/>
  <c r="T120" i="1"/>
  <c r="S120" i="1"/>
  <c r="N120" i="1"/>
  <c r="O120" i="1"/>
  <c r="P122" i="1"/>
  <c r="K122" i="1"/>
  <c r="AB120" i="1"/>
  <c r="R120" i="1"/>
  <c r="AA120" i="1"/>
  <c r="Q120" i="1"/>
  <c r="U122" i="1"/>
  <c r="Z122" i="1"/>
  <c r="F120" i="1"/>
  <c r="V120" i="1"/>
  <c r="G120" i="1"/>
  <c r="W120" i="1"/>
  <c r="AQ120" i="1"/>
  <c r="AP120" i="1"/>
  <c r="AG120" i="1"/>
  <c r="AK120" i="1"/>
  <c r="AL120" i="1"/>
  <c r="AF120" i="1"/>
  <c r="E121" i="1"/>
  <c r="M121" i="1" s="1"/>
  <c r="H121" i="1"/>
  <c r="D121" i="1"/>
  <c r="L121" i="1" s="1"/>
  <c r="AE122" i="1"/>
  <c r="A123" i="1"/>
  <c r="I123" i="1" s="1"/>
  <c r="J123" i="1" s="1"/>
  <c r="AO122" i="1"/>
  <c r="B122" i="1"/>
  <c r="C122" i="1" s="1"/>
  <c r="AJ122" i="1"/>
  <c r="AH121" i="1" l="1"/>
  <c r="AI121" i="1"/>
  <c r="AD121" i="1"/>
  <c r="AC121" i="1"/>
  <c r="X121" i="1"/>
  <c r="Y121" i="1"/>
  <c r="S121" i="1"/>
  <c r="T121" i="1"/>
  <c r="N121" i="1"/>
  <c r="O121" i="1"/>
  <c r="P123" i="1"/>
  <c r="K123" i="1"/>
  <c r="AA121" i="1"/>
  <c r="Q121" i="1"/>
  <c r="AB121" i="1"/>
  <c r="R121" i="1"/>
  <c r="U123" i="1"/>
  <c r="Z123" i="1"/>
  <c r="G121" i="1"/>
  <c r="W121" i="1"/>
  <c r="F121" i="1"/>
  <c r="V121" i="1"/>
  <c r="AQ121" i="1"/>
  <c r="AP121" i="1"/>
  <c r="AK121" i="1"/>
  <c r="AL121" i="1"/>
  <c r="AG121" i="1"/>
  <c r="AF121" i="1"/>
  <c r="E122" i="1"/>
  <c r="M122" i="1" s="1"/>
  <c r="H122" i="1"/>
  <c r="D122" i="1"/>
  <c r="L122" i="1" s="1"/>
  <c r="A124" i="1"/>
  <c r="I124" i="1" s="1"/>
  <c r="J124" i="1" s="1"/>
  <c r="AO123" i="1"/>
  <c r="AJ123" i="1"/>
  <c r="B123" i="1"/>
  <c r="C123" i="1" s="1"/>
  <c r="AE123" i="1"/>
  <c r="AH122" i="1" l="1"/>
  <c r="AI122" i="1"/>
  <c r="AD122" i="1"/>
  <c r="AC122" i="1"/>
  <c r="X122" i="1"/>
  <c r="Y122" i="1"/>
  <c r="S122" i="1"/>
  <c r="T122" i="1"/>
  <c r="N122" i="1"/>
  <c r="O122" i="1"/>
  <c r="P124" i="1"/>
  <c r="K124" i="1"/>
  <c r="AA122" i="1"/>
  <c r="Q122" i="1"/>
  <c r="AB122" i="1"/>
  <c r="R122" i="1"/>
  <c r="U124" i="1"/>
  <c r="Z124" i="1"/>
  <c r="F122" i="1"/>
  <c r="V122" i="1"/>
  <c r="G122" i="1"/>
  <c r="W122" i="1"/>
  <c r="AP122" i="1"/>
  <c r="AQ122" i="1"/>
  <c r="AK122" i="1"/>
  <c r="AL122" i="1"/>
  <c r="AG122" i="1"/>
  <c r="AF122" i="1"/>
  <c r="E123" i="1"/>
  <c r="M123" i="1" s="1"/>
  <c r="D123" i="1"/>
  <c r="N123" i="1" s="1"/>
  <c r="H123" i="1"/>
  <c r="AE124" i="1"/>
  <c r="A125" i="1"/>
  <c r="I125" i="1" s="1"/>
  <c r="J125" i="1" s="1"/>
  <c r="AO124" i="1"/>
  <c r="B124" i="1"/>
  <c r="C124" i="1" s="1"/>
  <c r="AJ124" i="1"/>
  <c r="AH123" i="1" l="1"/>
  <c r="AI123" i="1"/>
  <c r="AC123" i="1"/>
  <c r="AD123" i="1"/>
  <c r="X123" i="1"/>
  <c r="Y123" i="1"/>
  <c r="S123" i="1"/>
  <c r="T123" i="1"/>
  <c r="L123" i="1"/>
  <c r="O123" i="1"/>
  <c r="P125" i="1"/>
  <c r="K125" i="1"/>
  <c r="AA123" i="1"/>
  <c r="Q123" i="1"/>
  <c r="AB123" i="1"/>
  <c r="R123" i="1"/>
  <c r="U125" i="1"/>
  <c r="Z125" i="1"/>
  <c r="G123" i="1"/>
  <c r="W123" i="1"/>
  <c r="F123" i="1"/>
  <c r="V123" i="1"/>
  <c r="AQ123" i="1"/>
  <c r="AP123" i="1"/>
  <c r="AK123" i="1"/>
  <c r="AF123" i="1"/>
  <c r="AL123" i="1"/>
  <c r="AG123" i="1"/>
  <c r="E124" i="1"/>
  <c r="M124" i="1" s="1"/>
  <c r="H124" i="1"/>
  <c r="D124" i="1"/>
  <c r="L124" i="1" s="1"/>
  <c r="A126" i="1"/>
  <c r="I126" i="1" s="1"/>
  <c r="J126" i="1" s="1"/>
  <c r="AO125" i="1"/>
  <c r="AJ125" i="1"/>
  <c r="B125" i="1"/>
  <c r="C125" i="1" s="1"/>
  <c r="AE125" i="1"/>
  <c r="AH124" i="1" l="1"/>
  <c r="AI124" i="1"/>
  <c r="AC124" i="1"/>
  <c r="AD124" i="1"/>
  <c r="X124" i="1"/>
  <c r="Y124" i="1"/>
  <c r="S124" i="1"/>
  <c r="T124" i="1"/>
  <c r="N124" i="1"/>
  <c r="O124" i="1"/>
  <c r="P126" i="1"/>
  <c r="K126" i="1"/>
  <c r="AA124" i="1"/>
  <c r="Q124" i="1"/>
  <c r="AB124" i="1"/>
  <c r="R124" i="1"/>
  <c r="AK124" i="1"/>
  <c r="U126" i="1"/>
  <c r="Z126" i="1"/>
  <c r="F124" i="1"/>
  <c r="V124" i="1"/>
  <c r="G124" i="1"/>
  <c r="W124" i="1"/>
  <c r="AP124" i="1"/>
  <c r="AQ124" i="1"/>
  <c r="AL124" i="1"/>
  <c r="AG124" i="1"/>
  <c r="AF124" i="1"/>
  <c r="AE126" i="1"/>
  <c r="A127" i="1"/>
  <c r="I127" i="1" s="1"/>
  <c r="J127" i="1" s="1"/>
  <c r="AO126" i="1"/>
  <c r="B126" i="1"/>
  <c r="C126" i="1" s="1"/>
  <c r="AJ126" i="1"/>
  <c r="E125" i="1"/>
  <c r="O125" i="1" s="1"/>
  <c r="D125" i="1"/>
  <c r="N125" i="1" s="1"/>
  <c r="H125" i="1"/>
  <c r="AH125" i="1" l="1"/>
  <c r="AI125" i="1"/>
  <c r="AC126" i="1"/>
  <c r="AC125" i="1"/>
  <c r="AD125" i="1"/>
  <c r="Y125" i="1"/>
  <c r="X125" i="1"/>
  <c r="T125" i="1"/>
  <c r="S125" i="1"/>
  <c r="L125" i="1"/>
  <c r="M125" i="1"/>
  <c r="P127" i="1"/>
  <c r="K127" i="1"/>
  <c r="AB125" i="1"/>
  <c r="R125" i="1"/>
  <c r="AA125" i="1"/>
  <c r="Q125" i="1"/>
  <c r="U127" i="1"/>
  <c r="Z127" i="1"/>
  <c r="F125" i="1"/>
  <c r="V125" i="1"/>
  <c r="G125" i="1"/>
  <c r="W125" i="1"/>
  <c r="AP125" i="1"/>
  <c r="AQ125" i="1"/>
  <c r="AK125" i="1"/>
  <c r="AL125" i="1"/>
  <c r="AF125" i="1"/>
  <c r="AG125" i="1"/>
  <c r="E126" i="1"/>
  <c r="M126" i="1" s="1"/>
  <c r="H126" i="1"/>
  <c r="D126" i="1"/>
  <c r="L126" i="1" s="1"/>
  <c r="A128" i="1"/>
  <c r="I128" i="1" s="1"/>
  <c r="J128" i="1" s="1"/>
  <c r="AO127" i="1"/>
  <c r="AJ127" i="1"/>
  <c r="B127" i="1"/>
  <c r="C127" i="1" s="1"/>
  <c r="AE127" i="1"/>
  <c r="AI126" i="1" l="1"/>
  <c r="AH126" i="1"/>
  <c r="AD126" i="1"/>
  <c r="X126" i="1"/>
  <c r="Y126" i="1"/>
  <c r="N126" i="1"/>
  <c r="S126" i="1"/>
  <c r="T126" i="1"/>
  <c r="O126" i="1"/>
  <c r="P128" i="1"/>
  <c r="K128" i="1"/>
  <c r="AA126" i="1"/>
  <c r="Q126" i="1"/>
  <c r="AB126" i="1"/>
  <c r="R126" i="1"/>
  <c r="AF126" i="1"/>
  <c r="U128" i="1"/>
  <c r="Z128" i="1"/>
  <c r="F126" i="1"/>
  <c r="V126" i="1"/>
  <c r="G126" i="1"/>
  <c r="W126" i="1"/>
  <c r="AQ126" i="1"/>
  <c r="AP126" i="1"/>
  <c r="AG126" i="1"/>
  <c r="AK126" i="1"/>
  <c r="AL126" i="1"/>
  <c r="AE128" i="1"/>
  <c r="A129" i="1"/>
  <c r="I129" i="1" s="1"/>
  <c r="J129" i="1" s="1"/>
  <c r="AO128" i="1"/>
  <c r="AJ128" i="1"/>
  <c r="B128" i="1"/>
  <c r="C128" i="1" s="1"/>
  <c r="E127" i="1"/>
  <c r="M127" i="1" s="1"/>
  <c r="H127" i="1"/>
  <c r="D127" i="1"/>
  <c r="L127" i="1" s="1"/>
  <c r="AI127" i="1" l="1"/>
  <c r="AH127" i="1"/>
  <c r="AC127" i="1"/>
  <c r="AD127" i="1"/>
  <c r="X127" i="1"/>
  <c r="Y127" i="1"/>
  <c r="T127" i="1"/>
  <c r="S127" i="1"/>
  <c r="N127" i="1"/>
  <c r="O127" i="1"/>
  <c r="P129" i="1"/>
  <c r="K129" i="1"/>
  <c r="AB127" i="1"/>
  <c r="R127" i="1"/>
  <c r="AA127" i="1"/>
  <c r="Q127" i="1"/>
  <c r="U129" i="1"/>
  <c r="Z129" i="1"/>
  <c r="G127" i="1"/>
  <c r="W127" i="1"/>
  <c r="F127" i="1"/>
  <c r="V127" i="1"/>
  <c r="AQ127" i="1"/>
  <c r="AP127" i="1"/>
  <c r="AK127" i="1"/>
  <c r="AL127" i="1"/>
  <c r="AG127" i="1"/>
  <c r="AF127" i="1"/>
  <c r="A130" i="1"/>
  <c r="I130" i="1" s="1"/>
  <c r="J130" i="1" s="1"/>
  <c r="AO129" i="1"/>
  <c r="AJ129" i="1"/>
  <c r="B129" i="1"/>
  <c r="C129" i="1" s="1"/>
  <c r="AE129" i="1"/>
  <c r="E128" i="1"/>
  <c r="T128" i="1" s="1"/>
  <c r="H128" i="1"/>
  <c r="D128" i="1"/>
  <c r="L128" i="1" s="1"/>
  <c r="AH128" i="1" l="1"/>
  <c r="AI128" i="1"/>
  <c r="AD128" i="1"/>
  <c r="AC128" i="1"/>
  <c r="O128" i="1"/>
  <c r="M128" i="1"/>
  <c r="X128" i="1"/>
  <c r="Y128" i="1"/>
  <c r="N128" i="1"/>
  <c r="S128" i="1"/>
  <c r="P130" i="1"/>
  <c r="K130" i="1"/>
  <c r="AB128" i="1"/>
  <c r="R128" i="1"/>
  <c r="AA128" i="1"/>
  <c r="Q128" i="1"/>
  <c r="AQ128" i="1"/>
  <c r="U130" i="1"/>
  <c r="Z130" i="1"/>
  <c r="G128" i="1"/>
  <c r="W128" i="1"/>
  <c r="F128" i="1"/>
  <c r="V128" i="1"/>
  <c r="AP128" i="1"/>
  <c r="AG128" i="1"/>
  <c r="AK128" i="1"/>
  <c r="AL128" i="1"/>
  <c r="AF128" i="1"/>
  <c r="E129" i="1"/>
  <c r="R129" i="1" s="1"/>
  <c r="H129" i="1"/>
  <c r="D129" i="1"/>
  <c r="L129" i="1" s="1"/>
  <c r="AE130" i="1"/>
  <c r="A131" i="1"/>
  <c r="I131" i="1" s="1"/>
  <c r="J131" i="1" s="1"/>
  <c r="AO130" i="1"/>
  <c r="AJ130" i="1"/>
  <c r="B130" i="1"/>
  <c r="C130" i="1" s="1"/>
  <c r="AH129" i="1" l="1"/>
  <c r="AI129" i="1"/>
  <c r="AC129" i="1"/>
  <c r="AD129" i="1"/>
  <c r="X129" i="1"/>
  <c r="Y129" i="1"/>
  <c r="T129" i="1"/>
  <c r="S129" i="1"/>
  <c r="N129" i="1"/>
  <c r="O129" i="1"/>
  <c r="P131" i="1"/>
  <c r="K131" i="1"/>
  <c r="M129" i="1"/>
  <c r="AA129" i="1"/>
  <c r="Q129" i="1"/>
  <c r="AB129" i="1"/>
  <c r="U131" i="1"/>
  <c r="Z131" i="1"/>
  <c r="G129" i="1"/>
  <c r="W129" i="1"/>
  <c r="F129" i="1"/>
  <c r="V129" i="1"/>
  <c r="AP129" i="1"/>
  <c r="AQ129" i="1"/>
  <c r="AK129" i="1"/>
  <c r="AL129" i="1"/>
  <c r="AG129" i="1"/>
  <c r="AF129" i="1"/>
  <c r="E130" i="1"/>
  <c r="M130" i="1" s="1"/>
  <c r="H130" i="1"/>
  <c r="D130" i="1"/>
  <c r="L130" i="1" s="1"/>
  <c r="A132" i="1"/>
  <c r="I132" i="1" s="1"/>
  <c r="J132" i="1" s="1"/>
  <c r="AO131" i="1"/>
  <c r="AJ131" i="1"/>
  <c r="B131" i="1"/>
  <c r="C131" i="1" s="1"/>
  <c r="AE131" i="1"/>
  <c r="AH130" i="1" l="1"/>
  <c r="AH131" i="1"/>
  <c r="AI130" i="1"/>
  <c r="AC130" i="1"/>
  <c r="AD130" i="1"/>
  <c r="X130" i="1"/>
  <c r="Y130" i="1"/>
  <c r="S130" i="1"/>
  <c r="T130" i="1"/>
  <c r="N130" i="1"/>
  <c r="O130" i="1"/>
  <c r="P132" i="1"/>
  <c r="K132" i="1"/>
  <c r="AK130" i="1"/>
  <c r="Q130" i="1"/>
  <c r="AB130" i="1"/>
  <c r="R130" i="1"/>
  <c r="AA130" i="1"/>
  <c r="U132" i="1"/>
  <c r="Z132" i="1"/>
  <c r="F130" i="1"/>
  <c r="V130" i="1"/>
  <c r="G130" i="1"/>
  <c r="W130" i="1"/>
  <c r="AP130" i="1"/>
  <c r="AQ130" i="1"/>
  <c r="AL130" i="1"/>
  <c r="AG130" i="1"/>
  <c r="AF130" i="1"/>
  <c r="AE132" i="1"/>
  <c r="A133" i="1"/>
  <c r="I133" i="1" s="1"/>
  <c r="J133" i="1" s="1"/>
  <c r="AO132" i="1"/>
  <c r="B132" i="1"/>
  <c r="C132" i="1" s="1"/>
  <c r="AJ132" i="1"/>
  <c r="E131" i="1"/>
  <c r="M131" i="1" s="1"/>
  <c r="H131" i="1"/>
  <c r="D131" i="1"/>
  <c r="L131" i="1" s="1"/>
  <c r="AI131" i="1" l="1"/>
  <c r="AD131" i="1"/>
  <c r="AC131" i="1"/>
  <c r="X131" i="1"/>
  <c r="Y131" i="1"/>
  <c r="S131" i="1"/>
  <c r="T131" i="1"/>
  <c r="N131" i="1"/>
  <c r="O131" i="1"/>
  <c r="P133" i="1"/>
  <c r="K133" i="1"/>
  <c r="AB131" i="1"/>
  <c r="R131" i="1"/>
  <c r="AK131" i="1"/>
  <c r="Q131" i="1"/>
  <c r="AA131" i="1"/>
  <c r="U133" i="1"/>
  <c r="Z133" i="1"/>
  <c r="F131" i="1"/>
  <c r="V131" i="1"/>
  <c r="G131" i="1"/>
  <c r="W131" i="1"/>
  <c r="AQ131" i="1"/>
  <c r="AP131" i="1"/>
  <c r="AL131" i="1"/>
  <c r="AF131" i="1"/>
  <c r="AG131" i="1"/>
  <c r="A134" i="1"/>
  <c r="I134" i="1" s="1"/>
  <c r="J134" i="1" s="1"/>
  <c r="AO133" i="1"/>
  <c r="AJ133" i="1"/>
  <c r="B133" i="1"/>
  <c r="C133" i="1" s="1"/>
  <c r="AE133" i="1"/>
  <c r="E132" i="1"/>
  <c r="M132" i="1" s="1"/>
  <c r="H132" i="1"/>
  <c r="D132" i="1"/>
  <c r="L132" i="1" s="1"/>
  <c r="AH132" i="1" l="1"/>
  <c r="AI132" i="1"/>
  <c r="AC132" i="1"/>
  <c r="AD132" i="1"/>
  <c r="X132" i="1"/>
  <c r="Y132" i="1"/>
  <c r="T132" i="1"/>
  <c r="S132" i="1"/>
  <c r="N132" i="1"/>
  <c r="O132" i="1"/>
  <c r="P134" i="1"/>
  <c r="K134" i="1"/>
  <c r="AB132" i="1"/>
  <c r="R132" i="1"/>
  <c r="AA132" i="1"/>
  <c r="Q132" i="1"/>
  <c r="U134" i="1"/>
  <c r="Z134" i="1"/>
  <c r="G132" i="1"/>
  <c r="W132" i="1"/>
  <c r="F132" i="1"/>
  <c r="V132" i="1"/>
  <c r="AQ132" i="1"/>
  <c r="AP132" i="1"/>
  <c r="AG132" i="1"/>
  <c r="AK132" i="1"/>
  <c r="AL132" i="1"/>
  <c r="AF132" i="1"/>
  <c r="E133" i="1"/>
  <c r="M133" i="1" s="1"/>
  <c r="D133" i="1"/>
  <c r="L133" i="1" s="1"/>
  <c r="H133" i="1"/>
  <c r="AE134" i="1"/>
  <c r="A135" i="1"/>
  <c r="I135" i="1" s="1"/>
  <c r="J135" i="1" s="1"/>
  <c r="AO134" i="1"/>
  <c r="AJ134" i="1"/>
  <c r="B134" i="1"/>
  <c r="C134" i="1" s="1"/>
  <c r="AH133" i="1" l="1"/>
  <c r="AI133" i="1"/>
  <c r="AC133" i="1"/>
  <c r="AD133" i="1"/>
  <c r="X133" i="1"/>
  <c r="Y133" i="1"/>
  <c r="S133" i="1"/>
  <c r="T133" i="1"/>
  <c r="N133" i="1"/>
  <c r="O133" i="1"/>
  <c r="P135" i="1"/>
  <c r="K135" i="1"/>
  <c r="AA133" i="1"/>
  <c r="Q133" i="1"/>
  <c r="AB133" i="1"/>
  <c r="R133" i="1"/>
  <c r="U135" i="1"/>
  <c r="Z135" i="1"/>
  <c r="G133" i="1"/>
  <c r="W133" i="1"/>
  <c r="F133" i="1"/>
  <c r="V133" i="1"/>
  <c r="AQ133" i="1"/>
  <c r="AP133" i="1"/>
  <c r="AK133" i="1"/>
  <c r="AL133" i="1"/>
  <c r="AG133" i="1"/>
  <c r="AF133" i="1"/>
  <c r="E134" i="1"/>
  <c r="M134" i="1" s="1"/>
  <c r="H134" i="1"/>
  <c r="D134" i="1"/>
  <c r="L134" i="1" s="1"/>
  <c r="A136" i="1"/>
  <c r="I136" i="1" s="1"/>
  <c r="J136" i="1" s="1"/>
  <c r="AO135" i="1"/>
  <c r="AJ135" i="1"/>
  <c r="B135" i="1"/>
  <c r="C135" i="1" s="1"/>
  <c r="AE135" i="1"/>
  <c r="AH134" i="1" l="1"/>
  <c r="AI134" i="1"/>
  <c r="AC134" i="1"/>
  <c r="AD134" i="1"/>
  <c r="X134" i="1"/>
  <c r="Y134" i="1"/>
  <c r="T134" i="1"/>
  <c r="S134" i="1"/>
  <c r="N134" i="1"/>
  <c r="O134" i="1"/>
  <c r="P136" i="1"/>
  <c r="K136" i="1"/>
  <c r="AA134" i="1"/>
  <c r="Q134" i="1"/>
  <c r="AB134" i="1"/>
  <c r="R134" i="1"/>
  <c r="AP134" i="1"/>
  <c r="U136" i="1"/>
  <c r="Z136" i="1"/>
  <c r="F134" i="1"/>
  <c r="V134" i="1"/>
  <c r="G134" i="1"/>
  <c r="W134" i="1"/>
  <c r="AQ134" i="1"/>
  <c r="AK134" i="1"/>
  <c r="AL134" i="1"/>
  <c r="AG134" i="1"/>
  <c r="AF134" i="1"/>
  <c r="AE136" i="1"/>
  <c r="A137" i="1"/>
  <c r="I137" i="1" s="1"/>
  <c r="J137" i="1" s="1"/>
  <c r="AO136" i="1"/>
  <c r="AJ136" i="1"/>
  <c r="B136" i="1"/>
  <c r="C136" i="1" s="1"/>
  <c r="E135" i="1"/>
  <c r="M135" i="1" s="1"/>
  <c r="H135" i="1"/>
  <c r="D135" i="1"/>
  <c r="L135" i="1" s="1"/>
  <c r="AH135" i="1" l="1"/>
  <c r="AI135" i="1"/>
  <c r="AC135" i="1"/>
  <c r="AD135" i="1"/>
  <c r="X135" i="1"/>
  <c r="Y135" i="1"/>
  <c r="S135" i="1"/>
  <c r="T135" i="1"/>
  <c r="N135" i="1"/>
  <c r="O135" i="1"/>
  <c r="P137" i="1"/>
  <c r="K137" i="1"/>
  <c r="AB135" i="1"/>
  <c r="R135" i="1"/>
  <c r="AA135" i="1"/>
  <c r="Q135" i="1"/>
  <c r="U137" i="1"/>
  <c r="Z137" i="1"/>
  <c r="G135" i="1"/>
  <c r="W135" i="1"/>
  <c r="F135" i="1"/>
  <c r="V135" i="1"/>
  <c r="AQ135" i="1"/>
  <c r="AP135" i="1"/>
  <c r="AL135" i="1"/>
  <c r="AK135" i="1"/>
  <c r="AF135" i="1"/>
  <c r="AG135" i="1"/>
  <c r="A138" i="1"/>
  <c r="I138" i="1" s="1"/>
  <c r="J138" i="1" s="1"/>
  <c r="AO137" i="1"/>
  <c r="AJ137" i="1"/>
  <c r="B137" i="1"/>
  <c r="C137" i="1" s="1"/>
  <c r="AE137" i="1"/>
  <c r="E136" i="1"/>
  <c r="M136" i="1" s="1"/>
  <c r="H136" i="1"/>
  <c r="D136" i="1"/>
  <c r="L136" i="1" s="1"/>
  <c r="AH136" i="1" l="1"/>
  <c r="AI136" i="1"/>
  <c r="AD136" i="1"/>
  <c r="AC136" i="1"/>
  <c r="X136" i="1"/>
  <c r="Y136" i="1"/>
  <c r="T136" i="1"/>
  <c r="S136" i="1"/>
  <c r="N136" i="1"/>
  <c r="O136" i="1"/>
  <c r="P138" i="1"/>
  <c r="K138" i="1"/>
  <c r="AB136" i="1"/>
  <c r="R136" i="1"/>
  <c r="AA136" i="1"/>
  <c r="Q136" i="1"/>
  <c r="U138" i="1"/>
  <c r="Z138" i="1"/>
  <c r="F136" i="1"/>
  <c r="V136" i="1"/>
  <c r="G136" i="1"/>
  <c r="W136" i="1"/>
  <c r="AP136" i="1"/>
  <c r="AQ136" i="1"/>
  <c r="AL136" i="1"/>
  <c r="AG136" i="1"/>
  <c r="AK136" i="1"/>
  <c r="AF136" i="1"/>
  <c r="E137" i="1"/>
  <c r="M137" i="1" s="1"/>
  <c r="H137" i="1"/>
  <c r="D137" i="1"/>
  <c r="L137" i="1" s="1"/>
  <c r="AE138" i="1"/>
  <c r="A139" i="1"/>
  <c r="I139" i="1" s="1"/>
  <c r="J139" i="1" s="1"/>
  <c r="AO138" i="1"/>
  <c r="AJ138" i="1"/>
  <c r="B138" i="1"/>
  <c r="C138" i="1" s="1"/>
  <c r="AI137" i="1" l="1"/>
  <c r="AH137" i="1"/>
  <c r="AC137" i="1"/>
  <c r="AD137" i="1"/>
  <c r="Y137" i="1"/>
  <c r="X137" i="1"/>
  <c r="S137" i="1"/>
  <c r="T137" i="1"/>
  <c r="N137" i="1"/>
  <c r="O137" i="1"/>
  <c r="P139" i="1"/>
  <c r="K139" i="1"/>
  <c r="AA137" i="1"/>
  <c r="Q137" i="1"/>
  <c r="AB137" i="1"/>
  <c r="R137" i="1"/>
  <c r="U139" i="1"/>
  <c r="Z139" i="1"/>
  <c r="F137" i="1"/>
  <c r="V137" i="1"/>
  <c r="G137" i="1"/>
  <c r="W137" i="1"/>
  <c r="AP137" i="1"/>
  <c r="AQ137" i="1"/>
  <c r="AK137" i="1"/>
  <c r="AL137" i="1"/>
  <c r="AG137" i="1"/>
  <c r="AF137" i="1"/>
  <c r="E138" i="1"/>
  <c r="M138" i="1" s="1"/>
  <c r="H138" i="1"/>
  <c r="D138" i="1"/>
  <c r="L138" i="1" s="1"/>
  <c r="A140" i="1"/>
  <c r="I140" i="1" s="1"/>
  <c r="J140" i="1" s="1"/>
  <c r="AO139" i="1"/>
  <c r="AJ139" i="1"/>
  <c r="B139" i="1"/>
  <c r="C139" i="1" s="1"/>
  <c r="AE139" i="1"/>
  <c r="AH138" i="1" l="1"/>
  <c r="AI138" i="1"/>
  <c r="AC138" i="1"/>
  <c r="AD138" i="1"/>
  <c r="X138" i="1"/>
  <c r="Y138" i="1"/>
  <c r="S138" i="1"/>
  <c r="T138" i="1"/>
  <c r="N138" i="1"/>
  <c r="O138" i="1"/>
  <c r="P140" i="1"/>
  <c r="K140" i="1"/>
  <c r="AB138" i="1"/>
  <c r="R138" i="1"/>
  <c r="AA138" i="1"/>
  <c r="Q138" i="1"/>
  <c r="U140" i="1"/>
  <c r="Z140" i="1"/>
  <c r="F138" i="1"/>
  <c r="V138" i="1"/>
  <c r="G138" i="1"/>
  <c r="W138" i="1"/>
  <c r="AP138" i="1"/>
  <c r="AQ138" i="1"/>
  <c r="AL138" i="1"/>
  <c r="AG138" i="1"/>
  <c r="AK138" i="1"/>
  <c r="AF138" i="1"/>
  <c r="AE140" i="1"/>
  <c r="A141" i="1"/>
  <c r="I141" i="1" s="1"/>
  <c r="J141" i="1" s="1"/>
  <c r="AO140" i="1"/>
  <c r="B140" i="1"/>
  <c r="C140" i="1" s="1"/>
  <c r="AJ140" i="1"/>
  <c r="E139" i="1"/>
  <c r="O139" i="1" s="1"/>
  <c r="H139" i="1"/>
  <c r="D139" i="1"/>
  <c r="L139" i="1" s="1"/>
  <c r="AH139" i="1" l="1"/>
  <c r="AI139" i="1"/>
  <c r="AC139" i="1"/>
  <c r="AD139" i="1"/>
  <c r="X139" i="1"/>
  <c r="Y139" i="1"/>
  <c r="S139" i="1"/>
  <c r="T139" i="1"/>
  <c r="M139" i="1"/>
  <c r="N139" i="1"/>
  <c r="P141" i="1"/>
  <c r="K141" i="1"/>
  <c r="AB139" i="1"/>
  <c r="R139" i="1"/>
  <c r="AA139" i="1"/>
  <c r="Q139" i="1"/>
  <c r="U141" i="1"/>
  <c r="Z141" i="1"/>
  <c r="F139" i="1"/>
  <c r="V139" i="1"/>
  <c r="G139" i="1"/>
  <c r="W139" i="1"/>
  <c r="AQ139" i="1"/>
  <c r="AP139" i="1"/>
  <c r="AL139" i="1"/>
  <c r="AK139" i="1"/>
  <c r="AF139" i="1"/>
  <c r="AG139" i="1"/>
  <c r="A142" i="1"/>
  <c r="I142" i="1" s="1"/>
  <c r="J142" i="1" s="1"/>
  <c r="AO141" i="1"/>
  <c r="AJ141" i="1"/>
  <c r="B141" i="1"/>
  <c r="C141" i="1" s="1"/>
  <c r="AE141" i="1"/>
  <c r="E140" i="1"/>
  <c r="O140" i="1" s="1"/>
  <c r="H140" i="1"/>
  <c r="D140" i="1"/>
  <c r="Q140" i="1" s="1"/>
  <c r="AH140" i="1" l="1"/>
  <c r="AI140" i="1"/>
  <c r="X140" i="1"/>
  <c r="AC140" i="1"/>
  <c r="AD140" i="1"/>
  <c r="Y140" i="1"/>
  <c r="T140" i="1"/>
  <c r="S140" i="1"/>
  <c r="M140" i="1"/>
  <c r="N140" i="1"/>
  <c r="L140" i="1"/>
  <c r="P142" i="1"/>
  <c r="K142" i="1"/>
  <c r="AA140" i="1"/>
  <c r="AB140" i="1"/>
  <c r="R140" i="1"/>
  <c r="U142" i="1"/>
  <c r="Z142" i="1"/>
  <c r="F140" i="1"/>
  <c r="V140" i="1"/>
  <c r="G140" i="1"/>
  <c r="W140" i="1"/>
  <c r="AQ140" i="1"/>
  <c r="AK140" i="1"/>
  <c r="AP140" i="1"/>
  <c r="AG140" i="1"/>
  <c r="AL140" i="1"/>
  <c r="AF140" i="1"/>
  <c r="E141" i="1"/>
  <c r="M141" i="1" s="1"/>
  <c r="D141" i="1"/>
  <c r="L141" i="1" s="1"/>
  <c r="H141" i="1"/>
  <c r="AE142" i="1"/>
  <c r="A143" i="1"/>
  <c r="I143" i="1" s="1"/>
  <c r="J143" i="1" s="1"/>
  <c r="AO142" i="1"/>
  <c r="B142" i="1"/>
  <c r="C142" i="1" s="1"/>
  <c r="AJ142" i="1"/>
  <c r="AH141" i="1" l="1"/>
  <c r="AI141" i="1"/>
  <c r="AC141" i="1"/>
  <c r="AD141" i="1"/>
  <c r="X141" i="1"/>
  <c r="Y141" i="1"/>
  <c r="S141" i="1"/>
  <c r="T141" i="1"/>
  <c r="N141" i="1"/>
  <c r="O141" i="1"/>
  <c r="P143" i="1"/>
  <c r="K143" i="1"/>
  <c r="AA141" i="1"/>
  <c r="Q141" i="1"/>
  <c r="AB141" i="1"/>
  <c r="R141" i="1"/>
  <c r="U143" i="1"/>
  <c r="Z143" i="1"/>
  <c r="G141" i="1"/>
  <c r="W141" i="1"/>
  <c r="F141" i="1"/>
  <c r="V141" i="1"/>
  <c r="AQ141" i="1"/>
  <c r="AP141" i="1"/>
  <c r="AL141" i="1"/>
  <c r="AK141" i="1"/>
  <c r="AF141" i="1"/>
  <c r="AG141" i="1"/>
  <c r="E142" i="1"/>
  <c r="O142" i="1" s="1"/>
  <c r="H142" i="1"/>
  <c r="D142" i="1"/>
  <c r="N142" i="1" s="1"/>
  <c r="A144" i="1"/>
  <c r="I144" i="1" s="1"/>
  <c r="J144" i="1" s="1"/>
  <c r="AO143" i="1"/>
  <c r="AJ143" i="1"/>
  <c r="B143" i="1"/>
  <c r="C143" i="1" s="1"/>
  <c r="AE143" i="1"/>
  <c r="AC142" i="1" l="1"/>
  <c r="AH142" i="1"/>
  <c r="AI142" i="1"/>
  <c r="AD142" i="1"/>
  <c r="Y142" i="1"/>
  <c r="X142" i="1"/>
  <c r="T142" i="1"/>
  <c r="S142" i="1"/>
  <c r="L142" i="1"/>
  <c r="M142" i="1"/>
  <c r="P144" i="1"/>
  <c r="K144" i="1"/>
  <c r="AA142" i="1"/>
  <c r="Q142" i="1"/>
  <c r="AB142" i="1"/>
  <c r="R142" i="1"/>
  <c r="U144" i="1"/>
  <c r="Z144" i="1"/>
  <c r="G142" i="1"/>
  <c r="W142" i="1"/>
  <c r="F142" i="1"/>
  <c r="V142" i="1"/>
  <c r="AQ142" i="1"/>
  <c r="AL142" i="1"/>
  <c r="AP142" i="1"/>
  <c r="AK142" i="1"/>
  <c r="AF142" i="1"/>
  <c r="AG142" i="1"/>
  <c r="AE144" i="1"/>
  <c r="A145" i="1"/>
  <c r="I145" i="1" s="1"/>
  <c r="J145" i="1" s="1"/>
  <c r="AO144" i="1"/>
  <c r="AJ144" i="1"/>
  <c r="B144" i="1"/>
  <c r="C144" i="1" s="1"/>
  <c r="E143" i="1"/>
  <c r="M143" i="1" s="1"/>
  <c r="H143" i="1"/>
  <c r="D143" i="1"/>
  <c r="L143" i="1" s="1"/>
  <c r="AH143" i="1" l="1"/>
  <c r="AI143" i="1"/>
  <c r="AC143" i="1"/>
  <c r="AD143" i="1"/>
  <c r="Y143" i="1"/>
  <c r="X143" i="1"/>
  <c r="T143" i="1"/>
  <c r="S143" i="1"/>
  <c r="N143" i="1"/>
  <c r="O143" i="1"/>
  <c r="P145" i="1"/>
  <c r="K145" i="1"/>
  <c r="AB143" i="1"/>
  <c r="R143" i="1"/>
  <c r="AA143" i="1"/>
  <c r="Q143" i="1"/>
  <c r="U145" i="1"/>
  <c r="Z145" i="1"/>
  <c r="F143" i="1"/>
  <c r="V143" i="1"/>
  <c r="G143" i="1"/>
  <c r="W143" i="1"/>
  <c r="AQ143" i="1"/>
  <c r="AP143" i="1"/>
  <c r="AL143" i="1"/>
  <c r="AK143" i="1"/>
  <c r="AF143" i="1"/>
  <c r="AG143" i="1"/>
  <c r="A146" i="1"/>
  <c r="I146" i="1" s="1"/>
  <c r="J146" i="1" s="1"/>
  <c r="AO145" i="1"/>
  <c r="AJ145" i="1"/>
  <c r="B145" i="1"/>
  <c r="C145" i="1" s="1"/>
  <c r="AE145" i="1"/>
  <c r="E144" i="1"/>
  <c r="M144" i="1" s="1"/>
  <c r="H144" i="1"/>
  <c r="D144" i="1"/>
  <c r="L144" i="1" s="1"/>
  <c r="AH144" i="1" l="1"/>
  <c r="AI144" i="1"/>
  <c r="X144" i="1"/>
  <c r="AC144" i="1"/>
  <c r="AD144" i="1"/>
  <c r="Y144" i="1"/>
  <c r="T144" i="1"/>
  <c r="S144" i="1"/>
  <c r="N144" i="1"/>
  <c r="O144" i="1"/>
  <c r="P146" i="1"/>
  <c r="K146" i="1"/>
  <c r="AB144" i="1"/>
  <c r="R144" i="1"/>
  <c r="AA144" i="1"/>
  <c r="Q144" i="1"/>
  <c r="U146" i="1"/>
  <c r="Z146" i="1"/>
  <c r="F144" i="1"/>
  <c r="V144" i="1"/>
  <c r="G144" i="1"/>
  <c r="W144" i="1"/>
  <c r="AP144" i="1"/>
  <c r="AQ144" i="1"/>
  <c r="AL144" i="1"/>
  <c r="AK144" i="1"/>
  <c r="AF144" i="1"/>
  <c r="AG144" i="1"/>
  <c r="E145" i="1"/>
  <c r="M145" i="1" s="1"/>
  <c r="H145" i="1"/>
  <c r="D145" i="1"/>
  <c r="L145" i="1" s="1"/>
  <c r="AE146" i="1"/>
  <c r="A147" i="1"/>
  <c r="I147" i="1" s="1"/>
  <c r="J147" i="1" s="1"/>
  <c r="AO146" i="1"/>
  <c r="AJ146" i="1"/>
  <c r="B146" i="1"/>
  <c r="C146" i="1" s="1"/>
  <c r="AH145" i="1" l="1"/>
  <c r="AI145" i="1"/>
  <c r="AC145" i="1"/>
  <c r="AD145" i="1"/>
  <c r="X145" i="1"/>
  <c r="Y145" i="1"/>
  <c r="S145" i="1"/>
  <c r="T145" i="1"/>
  <c r="N145" i="1"/>
  <c r="O145" i="1"/>
  <c r="P147" i="1"/>
  <c r="K147" i="1"/>
  <c r="AB145" i="1"/>
  <c r="R145" i="1"/>
  <c r="AA145" i="1"/>
  <c r="Q145" i="1"/>
  <c r="U147" i="1"/>
  <c r="Z147" i="1"/>
  <c r="F145" i="1"/>
  <c r="V145" i="1"/>
  <c r="G145" i="1"/>
  <c r="W145" i="1"/>
  <c r="AQ145" i="1"/>
  <c r="AP145" i="1"/>
  <c r="AL145" i="1"/>
  <c r="AG145" i="1"/>
  <c r="AK145" i="1"/>
  <c r="AF145" i="1"/>
  <c r="E146" i="1"/>
  <c r="M146" i="1" s="1"/>
  <c r="H146" i="1"/>
  <c r="D146" i="1"/>
  <c r="L146" i="1" s="1"/>
  <c r="A148" i="1"/>
  <c r="I148" i="1" s="1"/>
  <c r="J148" i="1" s="1"/>
  <c r="AO147" i="1"/>
  <c r="AJ147" i="1"/>
  <c r="B147" i="1"/>
  <c r="C147" i="1" s="1"/>
  <c r="AE147" i="1"/>
  <c r="AH146" i="1" l="1"/>
  <c r="AI146" i="1"/>
  <c r="AC146" i="1"/>
  <c r="AD146" i="1"/>
  <c r="X146" i="1"/>
  <c r="Y146" i="1"/>
  <c r="S146" i="1"/>
  <c r="T146" i="1"/>
  <c r="N146" i="1"/>
  <c r="O146" i="1"/>
  <c r="P148" i="1"/>
  <c r="K148" i="1"/>
  <c r="AA146" i="1"/>
  <c r="Q146" i="1"/>
  <c r="AB146" i="1"/>
  <c r="R146" i="1"/>
  <c r="U148" i="1"/>
  <c r="Z148" i="1"/>
  <c r="F146" i="1"/>
  <c r="V146" i="1"/>
  <c r="G146" i="1"/>
  <c r="W146" i="1"/>
  <c r="AP146" i="1"/>
  <c r="AQ146" i="1"/>
  <c r="AL146" i="1"/>
  <c r="AF146" i="1"/>
  <c r="AK146" i="1"/>
  <c r="AG146" i="1"/>
  <c r="E147" i="1"/>
  <c r="M147" i="1" s="1"/>
  <c r="H147" i="1"/>
  <c r="D147" i="1"/>
  <c r="N147" i="1" s="1"/>
  <c r="AE148" i="1"/>
  <c r="A149" i="1"/>
  <c r="I149" i="1" s="1"/>
  <c r="J149" i="1" s="1"/>
  <c r="AO148" i="1"/>
  <c r="B148" i="1"/>
  <c r="C148" i="1" s="1"/>
  <c r="AJ148" i="1"/>
  <c r="AH147" i="1" l="1"/>
  <c r="AI147" i="1"/>
  <c r="AC147" i="1"/>
  <c r="AD147" i="1"/>
  <c r="X147" i="1"/>
  <c r="Y147" i="1"/>
  <c r="S147" i="1"/>
  <c r="T147" i="1"/>
  <c r="L147" i="1"/>
  <c r="O147" i="1"/>
  <c r="P149" i="1"/>
  <c r="K149" i="1"/>
  <c r="AA147" i="1"/>
  <c r="Q147" i="1"/>
  <c r="AB147" i="1"/>
  <c r="R147" i="1"/>
  <c r="U149" i="1"/>
  <c r="Z149" i="1"/>
  <c r="F147" i="1"/>
  <c r="V147" i="1"/>
  <c r="G147" i="1"/>
  <c r="W147" i="1"/>
  <c r="AP147" i="1"/>
  <c r="AQ147" i="1"/>
  <c r="AL147" i="1"/>
  <c r="AK147" i="1"/>
  <c r="AF147" i="1"/>
  <c r="AG147" i="1"/>
  <c r="E148" i="1"/>
  <c r="M148" i="1" s="1"/>
  <c r="H148" i="1"/>
  <c r="D148" i="1"/>
  <c r="L148" i="1" s="1"/>
  <c r="A150" i="1"/>
  <c r="I150" i="1" s="1"/>
  <c r="J150" i="1" s="1"/>
  <c r="AO149" i="1"/>
  <c r="AJ149" i="1"/>
  <c r="B149" i="1"/>
  <c r="C149" i="1" s="1"/>
  <c r="AE149" i="1"/>
  <c r="AH148" i="1" l="1"/>
  <c r="AI148" i="1"/>
  <c r="AC148" i="1"/>
  <c r="AD148" i="1"/>
  <c r="X148" i="1"/>
  <c r="Y148" i="1"/>
  <c r="S148" i="1"/>
  <c r="T148" i="1"/>
  <c r="N148" i="1"/>
  <c r="O148" i="1"/>
  <c r="P150" i="1"/>
  <c r="K150" i="1"/>
  <c r="AA148" i="1"/>
  <c r="Q148" i="1"/>
  <c r="AB148" i="1"/>
  <c r="R148" i="1"/>
  <c r="U150" i="1"/>
  <c r="Z150" i="1"/>
  <c r="F148" i="1"/>
  <c r="V148" i="1"/>
  <c r="G148" i="1"/>
  <c r="W148" i="1"/>
  <c r="AP148" i="1"/>
  <c r="AQ148" i="1"/>
  <c r="AL148" i="1"/>
  <c r="AK148" i="1"/>
  <c r="AG148" i="1"/>
  <c r="AF148" i="1"/>
  <c r="E149" i="1"/>
  <c r="O149" i="1" s="1"/>
  <c r="D149" i="1"/>
  <c r="N149" i="1" s="1"/>
  <c r="H149" i="1"/>
  <c r="AE150" i="1"/>
  <c r="A151" i="1"/>
  <c r="I151" i="1" s="1"/>
  <c r="J151" i="1" s="1"/>
  <c r="AO150" i="1"/>
  <c r="B150" i="1"/>
  <c r="C150" i="1" s="1"/>
  <c r="AJ150" i="1"/>
  <c r="AH149" i="1" l="1"/>
  <c r="AI149" i="1"/>
  <c r="AC149" i="1"/>
  <c r="AD149" i="1"/>
  <c r="L149" i="1"/>
  <c r="X149" i="1"/>
  <c r="Y149" i="1"/>
  <c r="T149" i="1"/>
  <c r="S149" i="1"/>
  <c r="M149" i="1"/>
  <c r="P151" i="1"/>
  <c r="K151" i="1"/>
  <c r="AA149" i="1"/>
  <c r="Q149" i="1"/>
  <c r="AB149" i="1"/>
  <c r="R149" i="1"/>
  <c r="U151" i="1"/>
  <c r="Z151" i="1"/>
  <c r="F149" i="1"/>
  <c r="V149" i="1"/>
  <c r="G149" i="1"/>
  <c r="W149" i="1"/>
  <c r="AQ149" i="1"/>
  <c r="AP149" i="1"/>
  <c r="AL149" i="1"/>
  <c r="AG149" i="1"/>
  <c r="AF149" i="1"/>
  <c r="AK149" i="1"/>
  <c r="E150" i="1"/>
  <c r="M150" i="1" s="1"/>
  <c r="H150" i="1"/>
  <c r="D150" i="1"/>
  <c r="L150" i="1" s="1"/>
  <c r="A152" i="1"/>
  <c r="I152" i="1" s="1"/>
  <c r="J152" i="1" s="1"/>
  <c r="AO151" i="1"/>
  <c r="AJ151" i="1"/>
  <c r="B151" i="1"/>
  <c r="C151" i="1" s="1"/>
  <c r="AE151" i="1"/>
  <c r="AC150" i="1" l="1"/>
  <c r="AH150" i="1"/>
  <c r="AI150" i="1"/>
  <c r="AD150" i="1"/>
  <c r="X150" i="1"/>
  <c r="Y150" i="1"/>
  <c r="T150" i="1"/>
  <c r="S150" i="1"/>
  <c r="N150" i="1"/>
  <c r="O150" i="1"/>
  <c r="P152" i="1"/>
  <c r="K152" i="1"/>
  <c r="AB150" i="1"/>
  <c r="R150" i="1"/>
  <c r="AA150" i="1"/>
  <c r="Q150" i="1"/>
  <c r="U152" i="1"/>
  <c r="Z152" i="1"/>
  <c r="F150" i="1"/>
  <c r="V150" i="1"/>
  <c r="G150" i="1"/>
  <c r="W150" i="1"/>
  <c r="AQ150" i="1"/>
  <c r="AP150" i="1"/>
  <c r="AL150" i="1"/>
  <c r="AG150" i="1"/>
  <c r="AK150" i="1"/>
  <c r="AF150" i="1"/>
  <c r="AE152" i="1"/>
  <c r="A153" i="1"/>
  <c r="I153" i="1" s="1"/>
  <c r="J153" i="1" s="1"/>
  <c r="AO152" i="1"/>
  <c r="AJ152" i="1"/>
  <c r="B152" i="1"/>
  <c r="C152" i="1" s="1"/>
  <c r="E151" i="1"/>
  <c r="O151" i="1" s="1"/>
  <c r="H151" i="1"/>
  <c r="D151" i="1"/>
  <c r="Q151" i="1" s="1"/>
  <c r="AH151" i="1" l="1"/>
  <c r="AI151" i="1"/>
  <c r="AC151" i="1"/>
  <c r="AD151" i="1"/>
  <c r="X151" i="1"/>
  <c r="Y151" i="1"/>
  <c r="S151" i="1"/>
  <c r="T151" i="1"/>
  <c r="M151" i="1"/>
  <c r="N151" i="1"/>
  <c r="L151" i="1"/>
  <c r="P153" i="1"/>
  <c r="K153" i="1"/>
  <c r="AB151" i="1"/>
  <c r="R151" i="1"/>
  <c r="AA151" i="1"/>
  <c r="U153" i="1"/>
  <c r="Z153" i="1"/>
  <c r="F151" i="1"/>
  <c r="V151" i="1"/>
  <c r="G151" i="1"/>
  <c r="W151" i="1"/>
  <c r="AQ151" i="1"/>
  <c r="AP151" i="1"/>
  <c r="AK151" i="1"/>
  <c r="AL151" i="1"/>
  <c r="AG151" i="1"/>
  <c r="AF151" i="1"/>
  <c r="A154" i="1"/>
  <c r="I154" i="1" s="1"/>
  <c r="J154" i="1" s="1"/>
  <c r="AO153" i="1"/>
  <c r="AJ153" i="1"/>
  <c r="B153" i="1"/>
  <c r="C153" i="1" s="1"/>
  <c r="AE153" i="1"/>
  <c r="E152" i="1"/>
  <c r="M152" i="1" s="1"/>
  <c r="H152" i="1"/>
  <c r="D152" i="1"/>
  <c r="L152" i="1" s="1"/>
  <c r="AH152" i="1" l="1"/>
  <c r="AI152" i="1"/>
  <c r="AD152" i="1"/>
  <c r="AC152" i="1"/>
  <c r="X152" i="1"/>
  <c r="Y152" i="1"/>
  <c r="S152" i="1"/>
  <c r="T152" i="1"/>
  <c r="N152" i="1"/>
  <c r="O152" i="1"/>
  <c r="P154" i="1"/>
  <c r="K154" i="1"/>
  <c r="AA152" i="1"/>
  <c r="Q152" i="1"/>
  <c r="AB152" i="1"/>
  <c r="R152" i="1"/>
  <c r="U154" i="1"/>
  <c r="Z154" i="1"/>
  <c r="F152" i="1"/>
  <c r="V152" i="1"/>
  <c r="G152" i="1"/>
  <c r="W152" i="1"/>
  <c r="AP152" i="1"/>
  <c r="AQ152" i="1"/>
  <c r="AL152" i="1"/>
  <c r="AK152" i="1"/>
  <c r="AF152" i="1"/>
  <c r="AG152" i="1"/>
  <c r="E153" i="1"/>
  <c r="M153" i="1" s="1"/>
  <c r="H153" i="1"/>
  <c r="D153" i="1"/>
  <c r="N153" i="1" s="1"/>
  <c r="AE154" i="1"/>
  <c r="A155" i="1"/>
  <c r="I155" i="1" s="1"/>
  <c r="J155" i="1" s="1"/>
  <c r="AO154" i="1"/>
  <c r="AJ154" i="1"/>
  <c r="B154" i="1"/>
  <c r="C154" i="1" s="1"/>
  <c r="AH153" i="1" l="1"/>
  <c r="AI153" i="1"/>
  <c r="Y153" i="1"/>
  <c r="AC153" i="1"/>
  <c r="AD153" i="1"/>
  <c r="X153" i="1"/>
  <c r="S153" i="1"/>
  <c r="T153" i="1"/>
  <c r="L153" i="1"/>
  <c r="O153" i="1"/>
  <c r="P155" i="1"/>
  <c r="K155" i="1"/>
  <c r="AA153" i="1"/>
  <c r="Q153" i="1"/>
  <c r="AB153" i="1"/>
  <c r="R153" i="1"/>
  <c r="U155" i="1"/>
  <c r="Z155" i="1"/>
  <c r="F153" i="1"/>
  <c r="V153" i="1"/>
  <c r="G153" i="1"/>
  <c r="W153" i="1"/>
  <c r="AF153" i="1"/>
  <c r="AP153" i="1"/>
  <c r="AQ153" i="1"/>
  <c r="AL153" i="1"/>
  <c r="AG153" i="1"/>
  <c r="AK153" i="1"/>
  <c r="E154" i="1"/>
  <c r="M154" i="1" s="1"/>
  <c r="H154" i="1"/>
  <c r="D154" i="1"/>
  <c r="N154" i="1" s="1"/>
  <c r="A156" i="1"/>
  <c r="I156" i="1" s="1"/>
  <c r="J156" i="1" s="1"/>
  <c r="AO155" i="1"/>
  <c r="AJ155" i="1"/>
  <c r="B155" i="1"/>
  <c r="C155" i="1" s="1"/>
  <c r="AE155" i="1"/>
  <c r="AH154" i="1" l="1"/>
  <c r="AI154" i="1"/>
  <c r="AC154" i="1"/>
  <c r="AD154" i="1"/>
  <c r="Y154" i="1"/>
  <c r="X154" i="1"/>
  <c r="S154" i="1"/>
  <c r="T154" i="1"/>
  <c r="L154" i="1"/>
  <c r="O154" i="1"/>
  <c r="P156" i="1"/>
  <c r="K156" i="1"/>
  <c r="AB154" i="1"/>
  <c r="R154" i="1"/>
  <c r="AA154" i="1"/>
  <c r="Q154" i="1"/>
  <c r="U156" i="1"/>
  <c r="Z156" i="1"/>
  <c r="F154" i="1"/>
  <c r="V154" i="1"/>
  <c r="G154" i="1"/>
  <c r="W154" i="1"/>
  <c r="AQ154" i="1"/>
  <c r="AP154" i="1"/>
  <c r="AL154" i="1"/>
  <c r="AG154" i="1"/>
  <c r="AK154" i="1"/>
  <c r="AF154" i="1"/>
  <c r="AE156" i="1"/>
  <c r="A157" i="1"/>
  <c r="I157" i="1" s="1"/>
  <c r="J157" i="1" s="1"/>
  <c r="AO156" i="1"/>
  <c r="B156" i="1"/>
  <c r="C156" i="1" s="1"/>
  <c r="AJ156" i="1"/>
  <c r="E155" i="1"/>
  <c r="O155" i="1" s="1"/>
  <c r="H155" i="1"/>
  <c r="D155" i="1"/>
  <c r="Q155" i="1" s="1"/>
  <c r="AH155" i="1" l="1"/>
  <c r="AI155" i="1"/>
  <c r="AD155" i="1"/>
  <c r="AC155" i="1"/>
  <c r="X155" i="1"/>
  <c r="Y155" i="1"/>
  <c r="T155" i="1"/>
  <c r="S155" i="1"/>
  <c r="M155" i="1"/>
  <c r="N155" i="1"/>
  <c r="L155" i="1"/>
  <c r="P157" i="1"/>
  <c r="K157" i="1"/>
  <c r="AA155" i="1"/>
  <c r="AB155" i="1"/>
  <c r="R155" i="1"/>
  <c r="U157" i="1"/>
  <c r="Z157" i="1"/>
  <c r="F155" i="1"/>
  <c r="V155" i="1"/>
  <c r="G155" i="1"/>
  <c r="W155" i="1"/>
  <c r="AP155" i="1"/>
  <c r="AQ155" i="1"/>
  <c r="AL155" i="1"/>
  <c r="AK155" i="1"/>
  <c r="AG155" i="1"/>
  <c r="AF155" i="1"/>
  <c r="E156" i="1"/>
  <c r="M156" i="1" s="1"/>
  <c r="H156" i="1"/>
  <c r="D156" i="1"/>
  <c r="S156" i="1" s="1"/>
  <c r="A158" i="1"/>
  <c r="I158" i="1" s="1"/>
  <c r="J158" i="1" s="1"/>
  <c r="AO157" i="1"/>
  <c r="AJ157" i="1"/>
  <c r="B157" i="1"/>
  <c r="C157" i="1" s="1"/>
  <c r="AE157" i="1"/>
  <c r="AH156" i="1" l="1"/>
  <c r="AI156" i="1"/>
  <c r="AC156" i="1"/>
  <c r="AD156" i="1"/>
  <c r="X156" i="1"/>
  <c r="Y156" i="1"/>
  <c r="T156" i="1"/>
  <c r="L156" i="1"/>
  <c r="N156" i="1"/>
  <c r="O156" i="1"/>
  <c r="P158" i="1"/>
  <c r="K158" i="1"/>
  <c r="AB156" i="1"/>
  <c r="R156" i="1"/>
  <c r="AA156" i="1"/>
  <c r="Q156" i="1"/>
  <c r="U158" i="1"/>
  <c r="Z158" i="1"/>
  <c r="F156" i="1"/>
  <c r="V156" i="1"/>
  <c r="G156" i="1"/>
  <c r="W156" i="1"/>
  <c r="AP156" i="1"/>
  <c r="AQ156" i="1"/>
  <c r="AK156" i="1"/>
  <c r="AL156" i="1"/>
  <c r="AG156" i="1"/>
  <c r="AF156" i="1"/>
  <c r="AE158" i="1"/>
  <c r="A159" i="1"/>
  <c r="I159" i="1" s="1"/>
  <c r="J159" i="1" s="1"/>
  <c r="AO158" i="1"/>
  <c r="B158" i="1"/>
  <c r="C158" i="1" s="1"/>
  <c r="AJ158" i="1"/>
  <c r="E157" i="1"/>
  <c r="M157" i="1" s="1"/>
  <c r="D157" i="1"/>
  <c r="L157" i="1" s="1"/>
  <c r="H157" i="1"/>
  <c r="AH157" i="1" l="1"/>
  <c r="AI157" i="1"/>
  <c r="AC157" i="1"/>
  <c r="AD157" i="1"/>
  <c r="X157" i="1"/>
  <c r="Y157" i="1"/>
  <c r="S157" i="1"/>
  <c r="T157" i="1"/>
  <c r="N157" i="1"/>
  <c r="O157" i="1"/>
  <c r="P159" i="1"/>
  <c r="K159" i="1"/>
  <c r="AB157" i="1"/>
  <c r="R157" i="1"/>
  <c r="AA157" i="1"/>
  <c r="Q157" i="1"/>
  <c r="U159" i="1"/>
  <c r="Z159" i="1"/>
  <c r="F157" i="1"/>
  <c r="V157" i="1"/>
  <c r="G157" i="1"/>
  <c r="W157" i="1"/>
  <c r="AP157" i="1"/>
  <c r="AQ157" i="1"/>
  <c r="AL157" i="1"/>
  <c r="AK157" i="1"/>
  <c r="AG157" i="1"/>
  <c r="AF157" i="1"/>
  <c r="A160" i="1"/>
  <c r="I160" i="1" s="1"/>
  <c r="J160" i="1" s="1"/>
  <c r="AO159" i="1"/>
  <c r="AJ159" i="1"/>
  <c r="B159" i="1"/>
  <c r="C159" i="1" s="1"/>
  <c r="AE159" i="1"/>
  <c r="E158" i="1"/>
  <c r="M158" i="1" s="1"/>
  <c r="H158" i="1"/>
  <c r="D158" i="1"/>
  <c r="L158" i="1" s="1"/>
  <c r="AH158" i="1" l="1"/>
  <c r="AI158" i="1"/>
  <c r="AD158" i="1"/>
  <c r="AC158" i="1"/>
  <c r="X158" i="1"/>
  <c r="Y158" i="1"/>
  <c r="T158" i="1"/>
  <c r="N158" i="1"/>
  <c r="S158" i="1"/>
  <c r="O158" i="1"/>
  <c r="P160" i="1"/>
  <c r="K160" i="1"/>
  <c r="AB158" i="1"/>
  <c r="R158" i="1"/>
  <c r="AA158" i="1"/>
  <c r="Q158" i="1"/>
  <c r="U160" i="1"/>
  <c r="Z160" i="1"/>
  <c r="F158" i="1"/>
  <c r="V158" i="1"/>
  <c r="G158" i="1"/>
  <c r="W158" i="1"/>
  <c r="AQ158" i="1"/>
  <c r="AP158" i="1"/>
  <c r="AL158" i="1"/>
  <c r="AK158" i="1"/>
  <c r="AF158" i="1"/>
  <c r="AG158" i="1"/>
  <c r="E159" i="1"/>
  <c r="M159" i="1" s="1"/>
  <c r="H159" i="1"/>
  <c r="D159" i="1"/>
  <c r="L159" i="1" s="1"/>
  <c r="AE160" i="1"/>
  <c r="A161" i="1"/>
  <c r="I161" i="1" s="1"/>
  <c r="J161" i="1" s="1"/>
  <c r="AO160" i="1"/>
  <c r="AJ160" i="1"/>
  <c r="B160" i="1"/>
  <c r="C160" i="1" s="1"/>
  <c r="AI159" i="1" l="1"/>
  <c r="AH159" i="1"/>
  <c r="AI160" i="1"/>
  <c r="AC159" i="1"/>
  <c r="AD159" i="1"/>
  <c r="X159" i="1"/>
  <c r="Y159" i="1"/>
  <c r="S159" i="1"/>
  <c r="T159" i="1"/>
  <c r="O159" i="1"/>
  <c r="N159" i="1"/>
  <c r="P161" i="1"/>
  <c r="K161" i="1"/>
  <c r="AA159" i="1"/>
  <c r="Q159" i="1"/>
  <c r="AB159" i="1"/>
  <c r="R159" i="1"/>
  <c r="U161" i="1"/>
  <c r="Z161" i="1"/>
  <c r="F159" i="1"/>
  <c r="V159" i="1"/>
  <c r="G159" i="1"/>
  <c r="W159" i="1"/>
  <c r="AQ159" i="1"/>
  <c r="AP159" i="1"/>
  <c r="AK159" i="1"/>
  <c r="AL159" i="1"/>
  <c r="AG159" i="1"/>
  <c r="AF159" i="1"/>
  <c r="E160" i="1"/>
  <c r="M160" i="1" s="1"/>
  <c r="H160" i="1"/>
  <c r="D160" i="1"/>
  <c r="L160" i="1" s="1"/>
  <c r="A162" i="1"/>
  <c r="I162" i="1" s="1"/>
  <c r="J162" i="1" s="1"/>
  <c r="AO161" i="1"/>
  <c r="AJ161" i="1"/>
  <c r="B161" i="1"/>
  <c r="C161" i="1" s="1"/>
  <c r="AE161" i="1"/>
  <c r="AH160" i="1" l="1"/>
  <c r="AC160" i="1"/>
  <c r="AD160" i="1"/>
  <c r="X160" i="1"/>
  <c r="Y160" i="1"/>
  <c r="S160" i="1"/>
  <c r="T160" i="1"/>
  <c r="O160" i="1"/>
  <c r="N160" i="1"/>
  <c r="P162" i="1"/>
  <c r="K162" i="1"/>
  <c r="AA160" i="1"/>
  <c r="Q160" i="1"/>
  <c r="AB160" i="1"/>
  <c r="R160" i="1"/>
  <c r="U162" i="1"/>
  <c r="Z162" i="1"/>
  <c r="F160" i="1"/>
  <c r="V160" i="1"/>
  <c r="G160" i="1"/>
  <c r="W160" i="1"/>
  <c r="AP160" i="1"/>
  <c r="AQ160" i="1"/>
  <c r="AG160" i="1"/>
  <c r="AL160" i="1"/>
  <c r="AK160" i="1"/>
  <c r="AF160" i="1"/>
  <c r="A163" i="1"/>
  <c r="I163" i="1" s="1"/>
  <c r="J163" i="1" s="1"/>
  <c r="AO162" i="1"/>
  <c r="AJ162" i="1"/>
  <c r="AE162" i="1"/>
  <c r="B162" i="1"/>
  <c r="C162" i="1" s="1"/>
  <c r="E161" i="1"/>
  <c r="T161" i="1" s="1"/>
  <c r="H161" i="1"/>
  <c r="D161" i="1"/>
  <c r="Q161" i="1" s="1"/>
  <c r="AH161" i="1" l="1"/>
  <c r="AI161" i="1"/>
  <c r="AC161" i="1"/>
  <c r="AD161" i="1"/>
  <c r="X161" i="1"/>
  <c r="Y161" i="1"/>
  <c r="N161" i="1"/>
  <c r="M161" i="1"/>
  <c r="O161" i="1"/>
  <c r="S161" i="1"/>
  <c r="P163" i="1"/>
  <c r="K163" i="1"/>
  <c r="L161" i="1"/>
  <c r="AB161" i="1"/>
  <c r="R161" i="1"/>
  <c r="AA161" i="1"/>
  <c r="U163" i="1"/>
  <c r="Z163" i="1"/>
  <c r="F161" i="1"/>
  <c r="V161" i="1"/>
  <c r="G161" i="1"/>
  <c r="W161" i="1"/>
  <c r="AQ161" i="1"/>
  <c r="AK161" i="1"/>
  <c r="AP161" i="1"/>
  <c r="AL161" i="1"/>
  <c r="AG161" i="1"/>
  <c r="AF161" i="1"/>
  <c r="H162" i="1"/>
  <c r="E162" i="1"/>
  <c r="O162" i="1" s="1"/>
  <c r="D162" i="1"/>
  <c r="L162" i="1" s="1"/>
  <c r="AE163" i="1"/>
  <c r="A164" i="1"/>
  <c r="I164" i="1" s="1"/>
  <c r="J164" i="1" s="1"/>
  <c r="AO163" i="1"/>
  <c r="AJ163" i="1"/>
  <c r="B163" i="1"/>
  <c r="C163" i="1" s="1"/>
  <c r="AH162" i="1" l="1"/>
  <c r="AI162" i="1"/>
  <c r="AC162" i="1"/>
  <c r="AD162" i="1"/>
  <c r="Y162" i="1"/>
  <c r="X162" i="1"/>
  <c r="S162" i="1"/>
  <c r="T162" i="1"/>
  <c r="M162" i="1"/>
  <c r="N162" i="1"/>
  <c r="P164" i="1"/>
  <c r="K164" i="1"/>
  <c r="AA162" i="1"/>
  <c r="Q162" i="1"/>
  <c r="AB162" i="1"/>
  <c r="R162" i="1"/>
  <c r="U164" i="1"/>
  <c r="Z164" i="1"/>
  <c r="F162" i="1"/>
  <c r="V162" i="1"/>
  <c r="G162" i="1"/>
  <c r="W162" i="1"/>
  <c r="AP162" i="1"/>
  <c r="AQ162" i="1"/>
  <c r="AK162" i="1"/>
  <c r="AL162" i="1"/>
  <c r="AF162" i="1"/>
  <c r="AG162" i="1"/>
  <c r="E163" i="1"/>
  <c r="M163" i="1" s="1"/>
  <c r="H163" i="1"/>
  <c r="D163" i="1"/>
  <c r="L163" i="1" s="1"/>
  <c r="A165" i="1"/>
  <c r="I165" i="1" s="1"/>
  <c r="J165" i="1" s="1"/>
  <c r="AO164" i="1"/>
  <c r="AJ164" i="1"/>
  <c r="B164" i="1"/>
  <c r="C164" i="1" s="1"/>
  <c r="AE164" i="1"/>
  <c r="AH163" i="1" l="1"/>
  <c r="AI163" i="1"/>
  <c r="AC163" i="1"/>
  <c r="AD163" i="1"/>
  <c r="Y163" i="1"/>
  <c r="X163" i="1"/>
  <c r="S163" i="1"/>
  <c r="T163" i="1"/>
  <c r="N163" i="1"/>
  <c r="O163" i="1"/>
  <c r="P165" i="1"/>
  <c r="K165" i="1"/>
  <c r="AA163" i="1"/>
  <c r="Q163" i="1"/>
  <c r="AB163" i="1"/>
  <c r="R163" i="1"/>
  <c r="U165" i="1"/>
  <c r="Z165" i="1"/>
  <c r="F163" i="1"/>
  <c r="V163" i="1"/>
  <c r="G163" i="1"/>
  <c r="W163" i="1"/>
  <c r="AP163" i="1"/>
  <c r="AQ163" i="1"/>
  <c r="AL163" i="1"/>
  <c r="AK163" i="1"/>
  <c r="AG163" i="1"/>
  <c r="AF163" i="1"/>
  <c r="AE165" i="1"/>
  <c r="A166" i="1"/>
  <c r="I166" i="1" s="1"/>
  <c r="J166" i="1" s="1"/>
  <c r="AO165" i="1"/>
  <c r="AJ165" i="1"/>
  <c r="B165" i="1"/>
  <c r="C165" i="1" s="1"/>
  <c r="E164" i="1"/>
  <c r="O164" i="1" s="1"/>
  <c r="H164" i="1"/>
  <c r="D164" i="1"/>
  <c r="Q164" i="1" s="1"/>
  <c r="AI164" i="1" l="1"/>
  <c r="AH164" i="1"/>
  <c r="AC164" i="1"/>
  <c r="AD164" i="1"/>
  <c r="X164" i="1"/>
  <c r="Y164" i="1"/>
  <c r="T164" i="1"/>
  <c r="S164" i="1"/>
  <c r="M164" i="1"/>
  <c r="N164" i="1"/>
  <c r="L164" i="1"/>
  <c r="P166" i="1"/>
  <c r="K166" i="1"/>
  <c r="AA164" i="1"/>
  <c r="AB164" i="1"/>
  <c r="R164" i="1"/>
  <c r="U166" i="1"/>
  <c r="Z166" i="1"/>
  <c r="F164" i="1"/>
  <c r="V164" i="1"/>
  <c r="G164" i="1"/>
  <c r="W164" i="1"/>
  <c r="AQ164" i="1"/>
  <c r="AP164" i="1"/>
  <c r="AK164" i="1"/>
  <c r="AG164" i="1"/>
  <c r="AL164" i="1"/>
  <c r="AF164" i="1"/>
  <c r="A167" i="1"/>
  <c r="I167" i="1" s="1"/>
  <c r="J167" i="1" s="1"/>
  <c r="AO166" i="1"/>
  <c r="AJ166" i="1"/>
  <c r="B166" i="1"/>
  <c r="C166" i="1" s="1"/>
  <c r="AE166" i="1"/>
  <c r="E165" i="1"/>
  <c r="M165" i="1" s="1"/>
  <c r="H165" i="1"/>
  <c r="D165" i="1"/>
  <c r="Q165" i="1" s="1"/>
  <c r="AI165" i="1" l="1"/>
  <c r="AH165" i="1"/>
  <c r="AC165" i="1"/>
  <c r="AD165" i="1"/>
  <c r="Y165" i="1"/>
  <c r="X165" i="1"/>
  <c r="T165" i="1"/>
  <c r="N165" i="1"/>
  <c r="S165" i="1"/>
  <c r="O165" i="1"/>
  <c r="P167" i="1"/>
  <c r="K167" i="1"/>
  <c r="L165" i="1"/>
  <c r="AB165" i="1"/>
  <c r="R165" i="1"/>
  <c r="AA165" i="1"/>
  <c r="U167" i="1"/>
  <c r="Z167" i="1"/>
  <c r="F165" i="1"/>
  <c r="V165" i="1"/>
  <c r="G165" i="1"/>
  <c r="W165" i="1"/>
  <c r="AQ165" i="1"/>
  <c r="AP165" i="1"/>
  <c r="AL165" i="1"/>
  <c r="AK165" i="1"/>
  <c r="AG165" i="1"/>
  <c r="AF165" i="1"/>
  <c r="E166" i="1"/>
  <c r="M166" i="1" s="1"/>
  <c r="H166" i="1"/>
  <c r="D166" i="1"/>
  <c r="N166" i="1" s="1"/>
  <c r="AE167" i="1"/>
  <c r="A168" i="1"/>
  <c r="I168" i="1" s="1"/>
  <c r="J168" i="1" s="1"/>
  <c r="AO167" i="1"/>
  <c r="B167" i="1"/>
  <c r="C167" i="1" s="1"/>
  <c r="AJ167" i="1"/>
  <c r="AI166" i="1" l="1"/>
  <c r="AH166" i="1"/>
  <c r="AD166" i="1"/>
  <c r="AC166" i="1"/>
  <c r="X166" i="1"/>
  <c r="Y166" i="1"/>
  <c r="S166" i="1"/>
  <c r="T166" i="1"/>
  <c r="L166" i="1"/>
  <c r="O166" i="1"/>
  <c r="P168" i="1"/>
  <c r="K168" i="1"/>
  <c r="AA166" i="1"/>
  <c r="Q166" i="1"/>
  <c r="AB166" i="1"/>
  <c r="R166" i="1"/>
  <c r="U168" i="1"/>
  <c r="Z168" i="1"/>
  <c r="F166" i="1"/>
  <c r="V166" i="1"/>
  <c r="G166" i="1"/>
  <c r="W166" i="1"/>
  <c r="AP166" i="1"/>
  <c r="AQ166" i="1"/>
  <c r="AK166" i="1"/>
  <c r="AL166" i="1"/>
  <c r="AG166" i="1"/>
  <c r="AF166" i="1"/>
  <c r="E167" i="1"/>
  <c r="O167" i="1" s="1"/>
  <c r="H167" i="1"/>
  <c r="D167" i="1"/>
  <c r="N167" i="1" s="1"/>
  <c r="A169" i="1"/>
  <c r="I169" i="1" s="1"/>
  <c r="J169" i="1" s="1"/>
  <c r="AO168" i="1"/>
  <c r="AJ168" i="1"/>
  <c r="B168" i="1"/>
  <c r="C168" i="1" s="1"/>
  <c r="AE168" i="1"/>
  <c r="AI167" i="1" l="1"/>
  <c r="AH167" i="1"/>
  <c r="AC167" i="1"/>
  <c r="AD167" i="1"/>
  <c r="X167" i="1"/>
  <c r="Y167" i="1"/>
  <c r="S167" i="1"/>
  <c r="T167" i="1"/>
  <c r="L167" i="1"/>
  <c r="M167" i="1"/>
  <c r="P169" i="1"/>
  <c r="K169" i="1"/>
  <c r="AA167" i="1"/>
  <c r="Q167" i="1"/>
  <c r="AB167" i="1"/>
  <c r="R167" i="1"/>
  <c r="U169" i="1"/>
  <c r="Z169" i="1"/>
  <c r="F167" i="1"/>
  <c r="V167" i="1"/>
  <c r="G167" i="1"/>
  <c r="W167" i="1"/>
  <c r="AQ167" i="1"/>
  <c r="AP167" i="1"/>
  <c r="AF167" i="1"/>
  <c r="AG167" i="1"/>
  <c r="AK167" i="1"/>
  <c r="AL167" i="1"/>
  <c r="AE169" i="1"/>
  <c r="A170" i="1"/>
  <c r="I170" i="1" s="1"/>
  <c r="J170" i="1" s="1"/>
  <c r="AO169" i="1"/>
  <c r="B169" i="1"/>
  <c r="C169" i="1" s="1"/>
  <c r="AJ169" i="1"/>
  <c r="E168" i="1"/>
  <c r="O168" i="1" s="1"/>
  <c r="D168" i="1"/>
  <c r="N168" i="1" s="1"/>
  <c r="H168" i="1"/>
  <c r="AH168" i="1" l="1"/>
  <c r="AI168" i="1"/>
  <c r="AC168" i="1"/>
  <c r="AD168" i="1"/>
  <c r="X168" i="1"/>
  <c r="Y168" i="1"/>
  <c r="T168" i="1"/>
  <c r="S168" i="1"/>
  <c r="L168" i="1"/>
  <c r="M168" i="1"/>
  <c r="P170" i="1"/>
  <c r="K170" i="1"/>
  <c r="AA168" i="1"/>
  <c r="Q168" i="1"/>
  <c r="AB168" i="1"/>
  <c r="R168" i="1"/>
  <c r="U170" i="1"/>
  <c r="Z170" i="1"/>
  <c r="F168" i="1"/>
  <c r="V168" i="1"/>
  <c r="G168" i="1"/>
  <c r="W168" i="1"/>
  <c r="AQ168" i="1"/>
  <c r="AP168" i="1"/>
  <c r="AK168" i="1"/>
  <c r="AL168" i="1"/>
  <c r="AF168" i="1"/>
  <c r="AG168" i="1"/>
  <c r="A171" i="1"/>
  <c r="I171" i="1" s="1"/>
  <c r="J171" i="1" s="1"/>
  <c r="AO170" i="1"/>
  <c r="AJ170" i="1"/>
  <c r="B170" i="1"/>
  <c r="C170" i="1" s="1"/>
  <c r="AE170" i="1"/>
  <c r="E169" i="1"/>
  <c r="O169" i="1" s="1"/>
  <c r="H169" i="1"/>
  <c r="D169" i="1"/>
  <c r="L169" i="1" s="1"/>
  <c r="AI169" i="1" l="1"/>
  <c r="AH169" i="1"/>
  <c r="AC169" i="1"/>
  <c r="AD169" i="1"/>
  <c r="X169" i="1"/>
  <c r="Y169" i="1"/>
  <c r="S169" i="1"/>
  <c r="T169" i="1"/>
  <c r="M169" i="1"/>
  <c r="N169" i="1"/>
  <c r="P171" i="1"/>
  <c r="K171" i="1"/>
  <c r="AB169" i="1"/>
  <c r="R169" i="1"/>
  <c r="AA169" i="1"/>
  <c r="Q169" i="1"/>
  <c r="U171" i="1"/>
  <c r="Z171" i="1"/>
  <c r="G169" i="1"/>
  <c r="W169" i="1"/>
  <c r="F169" i="1"/>
  <c r="V169" i="1"/>
  <c r="AQ169" i="1"/>
  <c r="AK169" i="1"/>
  <c r="AP169" i="1"/>
  <c r="AG169" i="1"/>
  <c r="AL169" i="1"/>
  <c r="AF169" i="1"/>
  <c r="E170" i="1"/>
  <c r="O170" i="1" s="1"/>
  <c r="H170" i="1"/>
  <c r="D170" i="1"/>
  <c r="N170" i="1" s="1"/>
  <c r="AE171" i="1"/>
  <c r="A172" i="1"/>
  <c r="I172" i="1" s="1"/>
  <c r="J172" i="1" s="1"/>
  <c r="AO171" i="1"/>
  <c r="AJ171" i="1"/>
  <c r="B171" i="1"/>
  <c r="C171" i="1" s="1"/>
  <c r="AI170" i="1" l="1"/>
  <c r="AH170" i="1"/>
  <c r="AC170" i="1"/>
  <c r="AD170" i="1"/>
  <c r="X170" i="1"/>
  <c r="Y170" i="1"/>
  <c r="S170" i="1"/>
  <c r="T170" i="1"/>
  <c r="L170" i="1"/>
  <c r="M170" i="1"/>
  <c r="P172" i="1"/>
  <c r="K172" i="1"/>
  <c r="AB170" i="1"/>
  <c r="R170" i="1"/>
  <c r="AA170" i="1"/>
  <c r="Q170" i="1"/>
  <c r="U172" i="1"/>
  <c r="Z172" i="1"/>
  <c r="F170" i="1"/>
  <c r="V170" i="1"/>
  <c r="G170" i="1"/>
  <c r="W170" i="1"/>
  <c r="AP170" i="1"/>
  <c r="AQ170" i="1"/>
  <c r="AK170" i="1"/>
  <c r="AL170" i="1"/>
  <c r="AF170" i="1"/>
  <c r="AG170" i="1"/>
  <c r="E171" i="1"/>
  <c r="M171" i="1" s="1"/>
  <c r="H171" i="1"/>
  <c r="D171" i="1"/>
  <c r="L171" i="1" s="1"/>
  <c r="A173" i="1"/>
  <c r="I173" i="1" s="1"/>
  <c r="J173" i="1" s="1"/>
  <c r="AO172" i="1"/>
  <c r="AJ172" i="1"/>
  <c r="B172" i="1"/>
  <c r="C172" i="1" s="1"/>
  <c r="AE172" i="1"/>
  <c r="AH171" i="1" l="1"/>
  <c r="AI171" i="1"/>
  <c r="AC171" i="1"/>
  <c r="AD171" i="1"/>
  <c r="X171" i="1"/>
  <c r="Y171" i="1"/>
  <c r="S171" i="1"/>
  <c r="T171" i="1"/>
  <c r="O171" i="1"/>
  <c r="N171" i="1"/>
  <c r="P173" i="1"/>
  <c r="K173" i="1"/>
  <c r="AB171" i="1"/>
  <c r="R171" i="1"/>
  <c r="AA171" i="1"/>
  <c r="Q171" i="1"/>
  <c r="U173" i="1"/>
  <c r="Z173" i="1"/>
  <c r="F171" i="1"/>
  <c r="V171" i="1"/>
  <c r="G171" i="1"/>
  <c r="W171" i="1"/>
  <c r="AP171" i="1"/>
  <c r="AQ171" i="1"/>
  <c r="AF171" i="1"/>
  <c r="AL171" i="1"/>
  <c r="AG171" i="1"/>
  <c r="AK171" i="1"/>
  <c r="AE173" i="1"/>
  <c r="A174" i="1"/>
  <c r="I174" i="1" s="1"/>
  <c r="J174" i="1" s="1"/>
  <c r="AO173" i="1"/>
  <c r="AJ173" i="1"/>
  <c r="B173" i="1"/>
  <c r="C173" i="1" s="1"/>
  <c r="E172" i="1"/>
  <c r="T172" i="1" s="1"/>
  <c r="H172" i="1"/>
  <c r="D172" i="1"/>
  <c r="L172" i="1" s="1"/>
  <c r="AH172" i="1" l="1"/>
  <c r="AI172" i="1"/>
  <c r="AH173" i="1"/>
  <c r="AC172" i="1"/>
  <c r="AD172" i="1"/>
  <c r="X172" i="1"/>
  <c r="Y172" i="1"/>
  <c r="N172" i="1"/>
  <c r="M172" i="1"/>
  <c r="O172" i="1"/>
  <c r="S172" i="1"/>
  <c r="P174" i="1"/>
  <c r="K174" i="1"/>
  <c r="AB172" i="1"/>
  <c r="R172" i="1"/>
  <c r="AA172" i="1"/>
  <c r="Q172" i="1"/>
  <c r="U174" i="1"/>
  <c r="Z174" i="1"/>
  <c r="F172" i="1"/>
  <c r="V172" i="1"/>
  <c r="G172" i="1"/>
  <c r="W172" i="1"/>
  <c r="AQ172" i="1"/>
  <c r="AK172" i="1"/>
  <c r="AP172" i="1"/>
  <c r="AL172" i="1"/>
  <c r="AG172" i="1"/>
  <c r="AF172" i="1"/>
  <c r="A175" i="1"/>
  <c r="I175" i="1" s="1"/>
  <c r="J175" i="1" s="1"/>
  <c r="AO174" i="1"/>
  <c r="AJ174" i="1"/>
  <c r="B174" i="1"/>
  <c r="C174" i="1" s="1"/>
  <c r="AE174" i="1"/>
  <c r="E173" i="1"/>
  <c r="O173" i="1" s="1"/>
  <c r="H173" i="1"/>
  <c r="D173" i="1"/>
  <c r="Q173" i="1" s="1"/>
  <c r="AI173" i="1" l="1"/>
  <c r="AC173" i="1"/>
  <c r="AD173" i="1"/>
  <c r="X173" i="1"/>
  <c r="Y173" i="1"/>
  <c r="T173" i="1"/>
  <c r="S173" i="1"/>
  <c r="N173" i="1"/>
  <c r="M173" i="1"/>
  <c r="L173" i="1"/>
  <c r="P175" i="1"/>
  <c r="K175" i="1"/>
  <c r="AA173" i="1"/>
  <c r="AB173" i="1"/>
  <c r="R173" i="1"/>
  <c r="U175" i="1"/>
  <c r="Z175" i="1"/>
  <c r="F173" i="1"/>
  <c r="V173" i="1"/>
  <c r="G173" i="1"/>
  <c r="W173" i="1"/>
  <c r="AQ173" i="1"/>
  <c r="AP173" i="1"/>
  <c r="AK173" i="1"/>
  <c r="AL173" i="1"/>
  <c r="AF173" i="1"/>
  <c r="AG173" i="1"/>
  <c r="E174" i="1"/>
  <c r="M174" i="1" s="1"/>
  <c r="H174" i="1"/>
  <c r="D174" i="1"/>
  <c r="L174" i="1" s="1"/>
  <c r="AE175" i="1"/>
  <c r="A176" i="1"/>
  <c r="I176" i="1" s="1"/>
  <c r="J176" i="1" s="1"/>
  <c r="AO175" i="1"/>
  <c r="B175" i="1"/>
  <c r="C175" i="1" s="1"/>
  <c r="AJ175" i="1"/>
  <c r="AH174" i="1" l="1"/>
  <c r="AI174" i="1"/>
  <c r="AD174" i="1"/>
  <c r="AC174" i="1"/>
  <c r="Y174" i="1"/>
  <c r="X174" i="1"/>
  <c r="S174" i="1"/>
  <c r="T174" i="1"/>
  <c r="N174" i="1"/>
  <c r="O174" i="1"/>
  <c r="P176" i="1"/>
  <c r="K176" i="1"/>
  <c r="AA174" i="1"/>
  <c r="Q174" i="1"/>
  <c r="AB174" i="1"/>
  <c r="R174" i="1"/>
  <c r="U176" i="1"/>
  <c r="Z176" i="1"/>
  <c r="F174" i="1"/>
  <c r="V174" i="1"/>
  <c r="G174" i="1"/>
  <c r="W174" i="1"/>
  <c r="AF174" i="1"/>
  <c r="AQ174" i="1"/>
  <c r="AP174" i="1"/>
  <c r="AK174" i="1"/>
  <c r="AL174" i="1"/>
  <c r="AG174" i="1"/>
  <c r="E175" i="1"/>
  <c r="O175" i="1" s="1"/>
  <c r="H175" i="1"/>
  <c r="D175" i="1"/>
  <c r="Q175" i="1" s="1"/>
  <c r="A177" i="1"/>
  <c r="I177" i="1" s="1"/>
  <c r="J177" i="1" s="1"/>
  <c r="AO176" i="1"/>
  <c r="AJ176" i="1"/>
  <c r="B176" i="1"/>
  <c r="C176" i="1" s="1"/>
  <c r="AE176" i="1"/>
  <c r="AH175" i="1" l="1"/>
  <c r="AI175" i="1"/>
  <c r="AC175" i="1"/>
  <c r="AD175" i="1"/>
  <c r="X175" i="1"/>
  <c r="Y175" i="1"/>
  <c r="T175" i="1"/>
  <c r="N175" i="1"/>
  <c r="S175" i="1"/>
  <c r="L175" i="1"/>
  <c r="M175" i="1"/>
  <c r="P177" i="1"/>
  <c r="K177" i="1"/>
  <c r="AA175" i="1"/>
  <c r="AF175" i="1"/>
  <c r="AB175" i="1"/>
  <c r="R175" i="1"/>
  <c r="U177" i="1"/>
  <c r="Z177" i="1"/>
  <c r="F175" i="1"/>
  <c r="V175" i="1"/>
  <c r="G175" i="1"/>
  <c r="W175" i="1"/>
  <c r="AQ175" i="1"/>
  <c r="AP175" i="1"/>
  <c r="AL175" i="1"/>
  <c r="AG175" i="1"/>
  <c r="AK175" i="1"/>
  <c r="AE177" i="1"/>
  <c r="A178" i="1"/>
  <c r="I178" i="1" s="1"/>
  <c r="J178" i="1" s="1"/>
  <c r="AO177" i="1"/>
  <c r="B177" i="1"/>
  <c r="C177" i="1" s="1"/>
  <c r="AJ177" i="1"/>
  <c r="E176" i="1"/>
  <c r="M176" i="1" s="1"/>
  <c r="D176" i="1"/>
  <c r="N176" i="1" s="1"/>
  <c r="H176" i="1"/>
  <c r="AH176" i="1" l="1"/>
  <c r="AI176" i="1"/>
  <c r="AC176" i="1"/>
  <c r="AD176" i="1"/>
  <c r="X176" i="1"/>
  <c r="Y176" i="1"/>
  <c r="S176" i="1"/>
  <c r="T176" i="1"/>
  <c r="L176" i="1"/>
  <c r="O176" i="1"/>
  <c r="P178" i="1"/>
  <c r="K178" i="1"/>
  <c r="AA176" i="1"/>
  <c r="Q176" i="1"/>
  <c r="AB176" i="1"/>
  <c r="R176" i="1"/>
  <c r="U178" i="1"/>
  <c r="Z178" i="1"/>
  <c r="G176" i="1"/>
  <c r="W176" i="1"/>
  <c r="F176" i="1"/>
  <c r="V176" i="1"/>
  <c r="AP176" i="1"/>
  <c r="AQ176" i="1"/>
  <c r="AF176" i="1"/>
  <c r="AL176" i="1"/>
  <c r="AG176" i="1"/>
  <c r="AK176" i="1"/>
  <c r="E177" i="1"/>
  <c r="T177" i="1" s="1"/>
  <c r="H177" i="1"/>
  <c r="D177" i="1"/>
  <c r="S177" i="1" s="1"/>
  <c r="A179" i="1"/>
  <c r="I179" i="1" s="1"/>
  <c r="J179" i="1" s="1"/>
  <c r="AO178" i="1"/>
  <c r="AJ178" i="1"/>
  <c r="B178" i="1"/>
  <c r="C178" i="1" s="1"/>
  <c r="AE178" i="1"/>
  <c r="AH177" i="1" l="1"/>
  <c r="AI177" i="1"/>
  <c r="N177" i="1"/>
  <c r="L177" i="1"/>
  <c r="X177" i="1"/>
  <c r="AC177" i="1"/>
  <c r="AD177" i="1"/>
  <c r="Y177" i="1"/>
  <c r="M177" i="1"/>
  <c r="O177" i="1"/>
  <c r="P179" i="1"/>
  <c r="K179" i="1"/>
  <c r="AA177" i="1"/>
  <c r="Q177" i="1"/>
  <c r="AB177" i="1"/>
  <c r="R177" i="1"/>
  <c r="AF177" i="1"/>
  <c r="U179" i="1"/>
  <c r="Z179" i="1"/>
  <c r="F177" i="1"/>
  <c r="V177" i="1"/>
  <c r="G177" i="1"/>
  <c r="W177" i="1"/>
  <c r="AL177" i="1"/>
  <c r="AP177" i="1"/>
  <c r="AQ177" i="1"/>
  <c r="AK177" i="1"/>
  <c r="AG177" i="1"/>
  <c r="E178" i="1"/>
  <c r="M178" i="1" s="1"/>
  <c r="H178" i="1"/>
  <c r="D178" i="1"/>
  <c r="L178" i="1" s="1"/>
  <c r="AE179" i="1"/>
  <c r="A180" i="1"/>
  <c r="I180" i="1" s="1"/>
  <c r="J180" i="1" s="1"/>
  <c r="AO179" i="1"/>
  <c r="AJ179" i="1"/>
  <c r="B179" i="1"/>
  <c r="C179" i="1" s="1"/>
  <c r="AI178" i="1" l="1"/>
  <c r="AH178" i="1"/>
  <c r="AC178" i="1"/>
  <c r="AD178" i="1"/>
  <c r="X178" i="1"/>
  <c r="Y178" i="1"/>
  <c r="S178" i="1"/>
  <c r="T178" i="1"/>
  <c r="N178" i="1"/>
  <c r="O178" i="1"/>
  <c r="P180" i="1"/>
  <c r="K180" i="1"/>
  <c r="AB178" i="1"/>
  <c r="R178" i="1"/>
  <c r="AA178" i="1"/>
  <c r="Q178" i="1"/>
  <c r="U180" i="1"/>
  <c r="Z180" i="1"/>
  <c r="G178" i="1"/>
  <c r="W178" i="1"/>
  <c r="F178" i="1"/>
  <c r="V178" i="1"/>
  <c r="AP178" i="1"/>
  <c r="AQ178" i="1"/>
  <c r="AF178" i="1"/>
  <c r="AL178" i="1"/>
  <c r="AK178" i="1"/>
  <c r="AG178" i="1"/>
  <c r="E179" i="1"/>
  <c r="M179" i="1" s="1"/>
  <c r="H179" i="1"/>
  <c r="D179" i="1"/>
  <c r="L179" i="1" s="1"/>
  <c r="A181" i="1"/>
  <c r="I181" i="1" s="1"/>
  <c r="J181" i="1" s="1"/>
  <c r="AO180" i="1"/>
  <c r="AJ180" i="1"/>
  <c r="B180" i="1"/>
  <c r="C180" i="1" s="1"/>
  <c r="AE180" i="1"/>
  <c r="AH179" i="1" l="1"/>
  <c r="AI179" i="1"/>
  <c r="AH180" i="1"/>
  <c r="AC179" i="1"/>
  <c r="AD179" i="1"/>
  <c r="S179" i="1"/>
  <c r="X179" i="1"/>
  <c r="Y179" i="1"/>
  <c r="T179" i="1"/>
  <c r="N179" i="1"/>
  <c r="O179" i="1"/>
  <c r="P181" i="1"/>
  <c r="K181" i="1"/>
  <c r="AB179" i="1"/>
  <c r="R179" i="1"/>
  <c r="AA179" i="1"/>
  <c r="Q179" i="1"/>
  <c r="U181" i="1"/>
  <c r="Z181" i="1"/>
  <c r="G179" i="1"/>
  <c r="W179" i="1"/>
  <c r="F179" i="1"/>
  <c r="V179" i="1"/>
  <c r="AQ179" i="1"/>
  <c r="AP179" i="1"/>
  <c r="AL179" i="1"/>
  <c r="AK179" i="1"/>
  <c r="AG179" i="1"/>
  <c r="AF179" i="1"/>
  <c r="AE181" i="1"/>
  <c r="A182" i="1"/>
  <c r="I182" i="1" s="1"/>
  <c r="J182" i="1" s="1"/>
  <c r="AO181" i="1"/>
  <c r="AJ181" i="1"/>
  <c r="B181" i="1"/>
  <c r="C181" i="1" s="1"/>
  <c r="E180" i="1"/>
  <c r="O180" i="1" s="1"/>
  <c r="H180" i="1"/>
  <c r="D180" i="1"/>
  <c r="Q180" i="1" s="1"/>
  <c r="AI180" i="1" l="1"/>
  <c r="AD180" i="1"/>
  <c r="AC180" i="1"/>
  <c r="X180" i="1"/>
  <c r="Y180" i="1"/>
  <c r="S180" i="1"/>
  <c r="T180" i="1"/>
  <c r="M180" i="1"/>
  <c r="N180" i="1"/>
  <c r="L180" i="1"/>
  <c r="P182" i="1"/>
  <c r="K182" i="1"/>
  <c r="AA180" i="1"/>
  <c r="AB180" i="1"/>
  <c r="R180" i="1"/>
  <c r="U182" i="1"/>
  <c r="Z182" i="1"/>
  <c r="F180" i="1"/>
  <c r="V180" i="1"/>
  <c r="G180" i="1"/>
  <c r="W180" i="1"/>
  <c r="AQ180" i="1"/>
  <c r="AP180" i="1"/>
  <c r="AG180" i="1"/>
  <c r="AK180" i="1"/>
  <c r="AL180" i="1"/>
  <c r="AF180" i="1"/>
  <c r="A183" i="1"/>
  <c r="I183" i="1" s="1"/>
  <c r="J183" i="1" s="1"/>
  <c r="AO182" i="1"/>
  <c r="AJ182" i="1"/>
  <c r="B182" i="1"/>
  <c r="C182" i="1" s="1"/>
  <c r="AE182" i="1"/>
  <c r="E181" i="1"/>
  <c r="T181" i="1" s="1"/>
  <c r="H181" i="1"/>
  <c r="D181" i="1"/>
  <c r="L181" i="1" s="1"/>
  <c r="AH181" i="1" l="1"/>
  <c r="AI181" i="1"/>
  <c r="AC181" i="1"/>
  <c r="AD181" i="1"/>
  <c r="X181" i="1"/>
  <c r="Y181" i="1"/>
  <c r="N181" i="1"/>
  <c r="M181" i="1"/>
  <c r="O181" i="1"/>
  <c r="S181" i="1"/>
  <c r="P183" i="1"/>
  <c r="K183" i="1"/>
  <c r="AA181" i="1"/>
  <c r="Q181" i="1"/>
  <c r="AB181" i="1"/>
  <c r="R181" i="1"/>
  <c r="U183" i="1"/>
  <c r="Z183" i="1"/>
  <c r="F181" i="1"/>
  <c r="V181" i="1"/>
  <c r="G181" i="1"/>
  <c r="W181" i="1"/>
  <c r="AQ181" i="1"/>
  <c r="AP181" i="1"/>
  <c r="AL181" i="1"/>
  <c r="AK181" i="1"/>
  <c r="AG181" i="1"/>
  <c r="AF181" i="1"/>
  <c r="E182" i="1"/>
  <c r="M182" i="1" s="1"/>
  <c r="H182" i="1"/>
  <c r="D182" i="1"/>
  <c r="L182" i="1" s="1"/>
  <c r="AE183" i="1"/>
  <c r="A184" i="1"/>
  <c r="I184" i="1" s="1"/>
  <c r="J184" i="1" s="1"/>
  <c r="AO183" i="1"/>
  <c r="B183" i="1"/>
  <c r="C183" i="1" s="1"/>
  <c r="AJ183" i="1"/>
  <c r="AH182" i="1" l="1"/>
  <c r="AI182" i="1"/>
  <c r="S182" i="1"/>
  <c r="X182" i="1"/>
  <c r="AD182" i="1"/>
  <c r="AC182" i="1"/>
  <c r="Y182" i="1"/>
  <c r="T182" i="1"/>
  <c r="N182" i="1"/>
  <c r="O182" i="1"/>
  <c r="P184" i="1"/>
  <c r="K184" i="1"/>
  <c r="AB182" i="1"/>
  <c r="R182" i="1"/>
  <c r="AA182" i="1"/>
  <c r="Q182" i="1"/>
  <c r="U184" i="1"/>
  <c r="Z184" i="1"/>
  <c r="G182" i="1"/>
  <c r="W182" i="1"/>
  <c r="F182" i="1"/>
  <c r="V182" i="1"/>
  <c r="AP182" i="1"/>
  <c r="AQ182" i="1"/>
  <c r="AL182" i="1"/>
  <c r="AK182" i="1"/>
  <c r="AG182" i="1"/>
  <c r="AF182" i="1"/>
  <c r="E183" i="1"/>
  <c r="O183" i="1" s="1"/>
  <c r="H183" i="1"/>
  <c r="D183" i="1"/>
  <c r="N183" i="1" s="1"/>
  <c r="A185" i="1"/>
  <c r="I185" i="1" s="1"/>
  <c r="J185" i="1" s="1"/>
  <c r="AO184" i="1"/>
  <c r="AJ184" i="1"/>
  <c r="B184" i="1"/>
  <c r="C184" i="1" s="1"/>
  <c r="AE184" i="1"/>
  <c r="AH183" i="1" l="1"/>
  <c r="AI183" i="1"/>
  <c r="AC183" i="1"/>
  <c r="AD183" i="1"/>
  <c r="X183" i="1"/>
  <c r="Y183" i="1"/>
  <c r="S183" i="1"/>
  <c r="T183" i="1"/>
  <c r="L183" i="1"/>
  <c r="M183" i="1"/>
  <c r="P185" i="1"/>
  <c r="K185" i="1"/>
  <c r="AA183" i="1"/>
  <c r="Q183" i="1"/>
  <c r="AB183" i="1"/>
  <c r="R183" i="1"/>
  <c r="U185" i="1"/>
  <c r="Z185" i="1"/>
  <c r="G183" i="1"/>
  <c r="W183" i="1"/>
  <c r="F183" i="1"/>
  <c r="V183" i="1"/>
  <c r="AQ183" i="1"/>
  <c r="AP183" i="1"/>
  <c r="AL183" i="1"/>
  <c r="AK183" i="1"/>
  <c r="AG183" i="1"/>
  <c r="AF183" i="1"/>
  <c r="AE185" i="1"/>
  <c r="A186" i="1"/>
  <c r="I186" i="1" s="1"/>
  <c r="J186" i="1" s="1"/>
  <c r="AO185" i="1"/>
  <c r="B185" i="1"/>
  <c r="C185" i="1" s="1"/>
  <c r="AJ185" i="1"/>
  <c r="E184" i="1"/>
  <c r="O184" i="1" s="1"/>
  <c r="D184" i="1"/>
  <c r="N184" i="1" s="1"/>
  <c r="H184" i="1"/>
  <c r="AH184" i="1" l="1"/>
  <c r="AI184" i="1"/>
  <c r="AD184" i="1"/>
  <c r="AC184" i="1"/>
  <c r="X184" i="1"/>
  <c r="Y184" i="1"/>
  <c r="T184" i="1"/>
  <c r="S184" i="1"/>
  <c r="L184" i="1"/>
  <c r="M184" i="1"/>
  <c r="P186" i="1"/>
  <c r="K186" i="1"/>
  <c r="AB184" i="1"/>
  <c r="R184" i="1"/>
  <c r="AA184" i="1"/>
  <c r="Q184" i="1"/>
  <c r="U186" i="1"/>
  <c r="Z186" i="1"/>
  <c r="F184" i="1"/>
  <c r="V184" i="1"/>
  <c r="G184" i="1"/>
  <c r="W184" i="1"/>
  <c r="AP184" i="1"/>
  <c r="AQ184" i="1"/>
  <c r="AF184" i="1"/>
  <c r="AG184" i="1"/>
  <c r="AK184" i="1"/>
  <c r="AL184" i="1"/>
  <c r="A187" i="1"/>
  <c r="I187" i="1" s="1"/>
  <c r="J187" i="1" s="1"/>
  <c r="AO186" i="1"/>
  <c r="AJ186" i="1"/>
  <c r="B186" i="1"/>
  <c r="C186" i="1" s="1"/>
  <c r="AE186" i="1"/>
  <c r="E185" i="1"/>
  <c r="M185" i="1" s="1"/>
  <c r="H185" i="1"/>
  <c r="D185" i="1"/>
  <c r="Q185" i="1" s="1"/>
  <c r="AH185" i="1" l="1"/>
  <c r="AI185" i="1"/>
  <c r="AD185" i="1"/>
  <c r="X185" i="1"/>
  <c r="AC185" i="1"/>
  <c r="Y185" i="1"/>
  <c r="S185" i="1"/>
  <c r="T185" i="1"/>
  <c r="N185" i="1"/>
  <c r="O185" i="1"/>
  <c r="L185" i="1"/>
  <c r="P187" i="1"/>
  <c r="K187" i="1"/>
  <c r="AA185" i="1"/>
  <c r="AB185" i="1"/>
  <c r="R185" i="1"/>
  <c r="U187" i="1"/>
  <c r="Z187" i="1"/>
  <c r="F185" i="1"/>
  <c r="V185" i="1"/>
  <c r="G185" i="1"/>
  <c r="W185" i="1"/>
  <c r="AP185" i="1"/>
  <c r="AQ185" i="1"/>
  <c r="AK185" i="1"/>
  <c r="AL185" i="1"/>
  <c r="AG185" i="1"/>
  <c r="AF185" i="1"/>
  <c r="E186" i="1"/>
  <c r="M186" i="1" s="1"/>
  <c r="H186" i="1"/>
  <c r="D186" i="1"/>
  <c r="L186" i="1" s="1"/>
  <c r="AE187" i="1"/>
  <c r="A188" i="1"/>
  <c r="I188" i="1" s="1"/>
  <c r="J188" i="1" s="1"/>
  <c r="AO187" i="1"/>
  <c r="AJ187" i="1"/>
  <c r="B187" i="1"/>
  <c r="C187" i="1" s="1"/>
  <c r="AH186" i="1" l="1"/>
  <c r="AI186" i="1"/>
  <c r="AC186" i="1"/>
  <c r="AD186" i="1"/>
  <c r="Y186" i="1"/>
  <c r="X186" i="1"/>
  <c r="S186" i="1"/>
  <c r="T186" i="1"/>
  <c r="N186" i="1"/>
  <c r="O186" i="1"/>
  <c r="P188" i="1"/>
  <c r="K188" i="1"/>
  <c r="AA186" i="1"/>
  <c r="Q186" i="1"/>
  <c r="AB186" i="1"/>
  <c r="R186" i="1"/>
  <c r="U188" i="1"/>
  <c r="Z188" i="1"/>
  <c r="F186" i="1"/>
  <c r="V186" i="1"/>
  <c r="G186" i="1"/>
  <c r="W186" i="1"/>
  <c r="AQ186" i="1"/>
  <c r="AP186" i="1"/>
  <c r="AF186" i="1"/>
  <c r="AG186" i="1"/>
  <c r="AK186" i="1"/>
  <c r="AL186" i="1"/>
  <c r="E187" i="1"/>
  <c r="M187" i="1" s="1"/>
  <c r="H187" i="1"/>
  <c r="D187" i="1"/>
  <c r="N187" i="1" s="1"/>
  <c r="A189" i="1"/>
  <c r="I189" i="1" s="1"/>
  <c r="J189" i="1" s="1"/>
  <c r="AO188" i="1"/>
  <c r="AJ188" i="1"/>
  <c r="B188" i="1"/>
  <c r="C188" i="1" s="1"/>
  <c r="AE188" i="1"/>
  <c r="AH187" i="1" l="1"/>
  <c r="AI187" i="1"/>
  <c r="AC187" i="1"/>
  <c r="AD187" i="1"/>
  <c r="X187" i="1"/>
  <c r="Y187" i="1"/>
  <c r="S187" i="1"/>
  <c r="T187" i="1"/>
  <c r="L187" i="1"/>
  <c r="O187" i="1"/>
  <c r="P189" i="1"/>
  <c r="K189" i="1"/>
  <c r="AB187" i="1"/>
  <c r="R187" i="1"/>
  <c r="AA187" i="1"/>
  <c r="Q187" i="1"/>
  <c r="U189" i="1"/>
  <c r="Z189" i="1"/>
  <c r="G187" i="1"/>
  <c r="W187" i="1"/>
  <c r="F187" i="1"/>
  <c r="V187" i="1"/>
  <c r="AQ187" i="1"/>
  <c r="AP187" i="1"/>
  <c r="AL187" i="1"/>
  <c r="AK187" i="1"/>
  <c r="AF187" i="1"/>
  <c r="AG187" i="1"/>
  <c r="E188" i="1"/>
  <c r="M188" i="1" s="1"/>
  <c r="H188" i="1"/>
  <c r="D188" i="1"/>
  <c r="L188" i="1" s="1"/>
  <c r="AE189" i="1"/>
  <c r="A190" i="1"/>
  <c r="I190" i="1" s="1"/>
  <c r="J190" i="1" s="1"/>
  <c r="AO189" i="1"/>
  <c r="AJ189" i="1"/>
  <c r="B189" i="1"/>
  <c r="C189" i="1" s="1"/>
  <c r="AH188" i="1" l="1"/>
  <c r="AI188" i="1"/>
  <c r="AC188" i="1"/>
  <c r="AD188" i="1"/>
  <c r="X188" i="1"/>
  <c r="Y188" i="1"/>
  <c r="S188" i="1"/>
  <c r="T188" i="1"/>
  <c r="N188" i="1"/>
  <c r="O188" i="1"/>
  <c r="P190" i="1"/>
  <c r="K190" i="1"/>
  <c r="AA188" i="1"/>
  <c r="Q188" i="1"/>
  <c r="AB188" i="1"/>
  <c r="R188" i="1"/>
  <c r="U190" i="1"/>
  <c r="Z190" i="1"/>
  <c r="G188" i="1"/>
  <c r="W188" i="1"/>
  <c r="F188" i="1"/>
  <c r="V188" i="1"/>
  <c r="AQ188" i="1"/>
  <c r="AP188" i="1"/>
  <c r="AK188" i="1"/>
  <c r="AL188" i="1"/>
  <c r="AG188" i="1"/>
  <c r="AF188" i="1"/>
  <c r="E189" i="1"/>
  <c r="O189" i="1" s="1"/>
  <c r="H189" i="1"/>
  <c r="D189" i="1"/>
  <c r="N189" i="1" s="1"/>
  <c r="A191" i="1"/>
  <c r="I191" i="1" s="1"/>
  <c r="J191" i="1" s="1"/>
  <c r="AO190" i="1"/>
  <c r="AJ190" i="1"/>
  <c r="B190" i="1"/>
  <c r="C190" i="1" s="1"/>
  <c r="AE190" i="1"/>
  <c r="AH189" i="1" l="1"/>
  <c r="AI189" i="1"/>
  <c r="AC189" i="1"/>
  <c r="AD189" i="1"/>
  <c r="X189" i="1"/>
  <c r="Y189" i="1"/>
  <c r="S189" i="1"/>
  <c r="T189" i="1"/>
  <c r="L189" i="1"/>
  <c r="M189" i="1"/>
  <c r="P191" i="1"/>
  <c r="K191" i="1"/>
  <c r="AB189" i="1"/>
  <c r="R189" i="1"/>
  <c r="AA189" i="1"/>
  <c r="Q189" i="1"/>
  <c r="U191" i="1"/>
  <c r="Z191" i="1"/>
  <c r="F189" i="1"/>
  <c r="V189" i="1"/>
  <c r="G189" i="1"/>
  <c r="W189" i="1"/>
  <c r="AG189" i="1"/>
  <c r="AP189" i="1"/>
  <c r="AK189" i="1"/>
  <c r="AQ189" i="1"/>
  <c r="AL189" i="1"/>
  <c r="AF189" i="1"/>
  <c r="AE191" i="1"/>
  <c r="A192" i="1"/>
  <c r="I192" i="1" s="1"/>
  <c r="J192" i="1" s="1"/>
  <c r="AO191" i="1"/>
  <c r="B191" i="1"/>
  <c r="C191" i="1" s="1"/>
  <c r="AJ191" i="1"/>
  <c r="E190" i="1"/>
  <c r="M190" i="1" s="1"/>
  <c r="H190" i="1"/>
  <c r="D190" i="1"/>
  <c r="Q190" i="1" s="1"/>
  <c r="AI190" i="1" l="1"/>
  <c r="AH190" i="1"/>
  <c r="AD190" i="1"/>
  <c r="AC190" i="1"/>
  <c r="X190" i="1"/>
  <c r="Y190" i="1"/>
  <c r="T190" i="1"/>
  <c r="S190" i="1"/>
  <c r="N190" i="1"/>
  <c r="O190" i="1"/>
  <c r="P192" i="1"/>
  <c r="K192" i="1"/>
  <c r="L190" i="1"/>
  <c r="AA190" i="1"/>
  <c r="AB190" i="1"/>
  <c r="R190" i="1"/>
  <c r="U192" i="1"/>
  <c r="Z192" i="1"/>
  <c r="F190" i="1"/>
  <c r="V190" i="1"/>
  <c r="G190" i="1"/>
  <c r="W190" i="1"/>
  <c r="AP190" i="1"/>
  <c r="AQ190" i="1"/>
  <c r="AK190" i="1"/>
  <c r="AL190" i="1"/>
  <c r="AG190" i="1"/>
  <c r="AF190" i="1"/>
  <c r="A193" i="1"/>
  <c r="I193" i="1" s="1"/>
  <c r="J193" i="1" s="1"/>
  <c r="AO192" i="1"/>
  <c r="AJ192" i="1"/>
  <c r="B192" i="1"/>
  <c r="C192" i="1" s="1"/>
  <c r="AE192" i="1"/>
  <c r="E191" i="1"/>
  <c r="M191" i="1" s="1"/>
  <c r="H191" i="1"/>
  <c r="D191" i="1"/>
  <c r="L191" i="1" s="1"/>
  <c r="AH191" i="1" l="1"/>
  <c r="AI191" i="1"/>
  <c r="AC191" i="1"/>
  <c r="AD191" i="1"/>
  <c r="X191" i="1"/>
  <c r="Y191" i="1"/>
  <c r="S191" i="1"/>
  <c r="T191" i="1"/>
  <c r="N191" i="1"/>
  <c r="O191" i="1"/>
  <c r="P193" i="1"/>
  <c r="K193" i="1"/>
  <c r="AA191" i="1"/>
  <c r="Q191" i="1"/>
  <c r="AB191" i="1"/>
  <c r="R191" i="1"/>
  <c r="U193" i="1"/>
  <c r="Z193" i="1"/>
  <c r="F191" i="1"/>
  <c r="V191" i="1"/>
  <c r="G191" i="1"/>
  <c r="W191" i="1"/>
  <c r="AK191" i="1"/>
  <c r="AP191" i="1"/>
  <c r="AQ191" i="1"/>
  <c r="AL191" i="1"/>
  <c r="AF191" i="1"/>
  <c r="AG191" i="1"/>
  <c r="E192" i="1"/>
  <c r="M192" i="1" s="1"/>
  <c r="D192" i="1"/>
  <c r="N192" i="1" s="1"/>
  <c r="H192" i="1"/>
  <c r="AE193" i="1"/>
  <c r="A194" i="1"/>
  <c r="I194" i="1" s="1"/>
  <c r="J194" i="1" s="1"/>
  <c r="AO193" i="1"/>
  <c r="B193" i="1"/>
  <c r="C193" i="1" s="1"/>
  <c r="AJ193" i="1"/>
  <c r="AH192" i="1" l="1"/>
  <c r="AI192" i="1"/>
  <c r="AC192" i="1"/>
  <c r="AD192" i="1"/>
  <c r="X192" i="1"/>
  <c r="Y192" i="1"/>
  <c r="S192" i="1"/>
  <c r="T192" i="1"/>
  <c r="L192" i="1"/>
  <c r="O192" i="1"/>
  <c r="P194" i="1"/>
  <c r="K194" i="1"/>
  <c r="AA192" i="1"/>
  <c r="Q192" i="1"/>
  <c r="AB192" i="1"/>
  <c r="R192" i="1"/>
  <c r="AP192" i="1"/>
  <c r="U194" i="1"/>
  <c r="Z194" i="1"/>
  <c r="F192" i="1"/>
  <c r="V192" i="1"/>
  <c r="G192" i="1"/>
  <c r="W192" i="1"/>
  <c r="AQ192" i="1"/>
  <c r="AF192" i="1"/>
  <c r="AL192" i="1"/>
  <c r="AG192" i="1"/>
  <c r="AK192" i="1"/>
  <c r="E193" i="1"/>
  <c r="R193" i="1" s="1"/>
  <c r="H193" i="1"/>
  <c r="D193" i="1"/>
  <c r="L193" i="1" s="1"/>
  <c r="A195" i="1"/>
  <c r="I195" i="1" s="1"/>
  <c r="J195" i="1" s="1"/>
  <c r="AO194" i="1"/>
  <c r="AJ194" i="1"/>
  <c r="B194" i="1"/>
  <c r="C194" i="1" s="1"/>
  <c r="AE194" i="1"/>
  <c r="AH193" i="1" l="1"/>
  <c r="AI193" i="1"/>
  <c r="AC193" i="1"/>
  <c r="AD193" i="1"/>
  <c r="X193" i="1"/>
  <c r="Y193" i="1"/>
  <c r="S193" i="1"/>
  <c r="T193" i="1"/>
  <c r="N193" i="1"/>
  <c r="O193" i="1"/>
  <c r="P195" i="1"/>
  <c r="K195" i="1"/>
  <c r="M193" i="1"/>
  <c r="AA193" i="1"/>
  <c r="Q193" i="1"/>
  <c r="AB193" i="1"/>
  <c r="U195" i="1"/>
  <c r="Z195" i="1"/>
  <c r="G193" i="1"/>
  <c r="W193" i="1"/>
  <c r="F193" i="1"/>
  <c r="V193" i="1"/>
  <c r="AP193" i="1"/>
  <c r="AQ193" i="1"/>
  <c r="AL193" i="1"/>
  <c r="AG193" i="1"/>
  <c r="AK193" i="1"/>
  <c r="AF193" i="1"/>
  <c r="E194" i="1"/>
  <c r="M194" i="1" s="1"/>
  <c r="H194" i="1"/>
  <c r="D194" i="1"/>
  <c r="N194" i="1" s="1"/>
  <c r="AE195" i="1"/>
  <c r="A196" i="1"/>
  <c r="I196" i="1" s="1"/>
  <c r="J196" i="1" s="1"/>
  <c r="AO195" i="1"/>
  <c r="AJ195" i="1"/>
  <c r="B195" i="1"/>
  <c r="C195" i="1" s="1"/>
  <c r="AH194" i="1" l="1"/>
  <c r="AI194" i="1"/>
  <c r="AC194" i="1"/>
  <c r="AD194" i="1"/>
  <c r="X194" i="1"/>
  <c r="Y194" i="1"/>
  <c r="S194" i="1"/>
  <c r="T194" i="1"/>
  <c r="L194" i="1"/>
  <c r="O194" i="1"/>
  <c r="P196" i="1"/>
  <c r="K196" i="1"/>
  <c r="AA194" i="1"/>
  <c r="Q194" i="1"/>
  <c r="AB194" i="1"/>
  <c r="R194" i="1"/>
  <c r="U196" i="1"/>
  <c r="Z196" i="1"/>
  <c r="G194" i="1"/>
  <c r="W194" i="1"/>
  <c r="F194" i="1"/>
  <c r="V194" i="1"/>
  <c r="AQ194" i="1"/>
  <c r="AP194" i="1"/>
  <c r="AL194" i="1"/>
  <c r="AK194" i="1"/>
  <c r="AF194" i="1"/>
  <c r="AG194" i="1"/>
  <c r="E195" i="1"/>
  <c r="M195" i="1" s="1"/>
  <c r="H195" i="1"/>
  <c r="D195" i="1"/>
  <c r="L195" i="1" s="1"/>
  <c r="A197" i="1"/>
  <c r="I197" i="1" s="1"/>
  <c r="J197" i="1" s="1"/>
  <c r="AO196" i="1"/>
  <c r="AJ196" i="1"/>
  <c r="B196" i="1"/>
  <c r="C196" i="1" s="1"/>
  <c r="AE196" i="1"/>
  <c r="AH195" i="1" l="1"/>
  <c r="AI195" i="1"/>
  <c r="AC195" i="1"/>
  <c r="AD195" i="1"/>
  <c r="S195" i="1"/>
  <c r="X195" i="1"/>
  <c r="Y195" i="1"/>
  <c r="T195" i="1"/>
  <c r="N195" i="1"/>
  <c r="O195" i="1"/>
  <c r="P197" i="1"/>
  <c r="K197" i="1"/>
  <c r="AB195" i="1"/>
  <c r="R195" i="1"/>
  <c r="AA195" i="1"/>
  <c r="Q195" i="1"/>
  <c r="U197" i="1"/>
  <c r="Z197" i="1"/>
  <c r="G195" i="1"/>
  <c r="W195" i="1"/>
  <c r="F195" i="1"/>
  <c r="V195" i="1"/>
  <c r="AQ195" i="1"/>
  <c r="AP195" i="1"/>
  <c r="AL195" i="1"/>
  <c r="AK195" i="1"/>
  <c r="AG195" i="1"/>
  <c r="AF195" i="1"/>
  <c r="E196" i="1"/>
  <c r="M196" i="1" s="1"/>
  <c r="H196" i="1"/>
  <c r="D196" i="1"/>
  <c r="Q196" i="1" s="1"/>
  <c r="AE197" i="1"/>
  <c r="A198" i="1"/>
  <c r="I198" i="1" s="1"/>
  <c r="J198" i="1" s="1"/>
  <c r="AO197" i="1"/>
  <c r="AJ197" i="1"/>
  <c r="B197" i="1"/>
  <c r="C197" i="1" s="1"/>
  <c r="AH196" i="1" l="1"/>
  <c r="AI196" i="1"/>
  <c r="AC196" i="1"/>
  <c r="AD196" i="1"/>
  <c r="X196" i="1"/>
  <c r="Y196" i="1"/>
  <c r="S196" i="1"/>
  <c r="T196" i="1"/>
  <c r="N196" i="1"/>
  <c r="O196" i="1"/>
  <c r="L196" i="1"/>
  <c r="P198" i="1"/>
  <c r="K198" i="1"/>
  <c r="AP196" i="1"/>
  <c r="AA196" i="1"/>
  <c r="AB196" i="1"/>
  <c r="R196" i="1"/>
  <c r="U198" i="1"/>
  <c r="Z198" i="1"/>
  <c r="F196" i="1"/>
  <c r="V196" i="1"/>
  <c r="G196" i="1"/>
  <c r="W196" i="1"/>
  <c r="AQ196" i="1"/>
  <c r="AL196" i="1"/>
  <c r="AK196" i="1"/>
  <c r="AG196" i="1"/>
  <c r="AF196" i="1"/>
  <c r="E197" i="1"/>
  <c r="M197" i="1" s="1"/>
  <c r="H197" i="1"/>
  <c r="D197" i="1"/>
  <c r="L197" i="1" s="1"/>
  <c r="A199" i="1"/>
  <c r="I199" i="1" s="1"/>
  <c r="J199" i="1" s="1"/>
  <c r="AO198" i="1"/>
  <c r="AJ198" i="1"/>
  <c r="B198" i="1"/>
  <c r="C198" i="1" s="1"/>
  <c r="AE198" i="1"/>
  <c r="AH197" i="1" l="1"/>
  <c r="AI197" i="1"/>
  <c r="AC197" i="1"/>
  <c r="AD197" i="1"/>
  <c r="X197" i="1"/>
  <c r="Y197" i="1"/>
  <c r="S197" i="1"/>
  <c r="T197" i="1"/>
  <c r="N197" i="1"/>
  <c r="O197" i="1"/>
  <c r="P199" i="1"/>
  <c r="K199" i="1"/>
  <c r="AB197" i="1"/>
  <c r="R197" i="1"/>
  <c r="AA197" i="1"/>
  <c r="Q197" i="1"/>
  <c r="U199" i="1"/>
  <c r="Z199" i="1"/>
  <c r="G197" i="1"/>
  <c r="W197" i="1"/>
  <c r="F197" i="1"/>
  <c r="V197" i="1"/>
  <c r="AP197" i="1"/>
  <c r="AQ197" i="1"/>
  <c r="AL197" i="1"/>
  <c r="AK197" i="1"/>
  <c r="AF197" i="1"/>
  <c r="AG197" i="1"/>
  <c r="E198" i="1"/>
  <c r="M198" i="1" s="1"/>
  <c r="H198" i="1"/>
  <c r="D198" i="1"/>
  <c r="L198" i="1" s="1"/>
  <c r="AE199" i="1"/>
  <c r="A200" i="1"/>
  <c r="I200" i="1" s="1"/>
  <c r="J200" i="1" s="1"/>
  <c r="AO199" i="1"/>
  <c r="B199" i="1"/>
  <c r="C199" i="1" s="1"/>
  <c r="AJ199" i="1"/>
  <c r="AH198" i="1" l="1"/>
  <c r="AI198" i="1"/>
  <c r="AD198" i="1"/>
  <c r="AC198" i="1"/>
  <c r="X198" i="1"/>
  <c r="Y198" i="1"/>
  <c r="S198" i="1"/>
  <c r="T198" i="1"/>
  <c r="N198" i="1"/>
  <c r="O198" i="1"/>
  <c r="P200" i="1"/>
  <c r="K200" i="1"/>
  <c r="AB198" i="1"/>
  <c r="R198" i="1"/>
  <c r="AA198" i="1"/>
  <c r="Q198" i="1"/>
  <c r="U200" i="1"/>
  <c r="Z200" i="1"/>
  <c r="G198" i="1"/>
  <c r="W198" i="1"/>
  <c r="F198" i="1"/>
  <c r="V198" i="1"/>
  <c r="AP198" i="1"/>
  <c r="AQ198" i="1"/>
  <c r="AL198" i="1"/>
  <c r="AK198" i="1"/>
  <c r="AF198" i="1"/>
  <c r="AG198" i="1"/>
  <c r="E199" i="1"/>
  <c r="M199" i="1" s="1"/>
  <c r="H199" i="1"/>
  <c r="D199" i="1"/>
  <c r="L199" i="1" s="1"/>
  <c r="A201" i="1"/>
  <c r="I201" i="1" s="1"/>
  <c r="J201" i="1" s="1"/>
  <c r="AO200" i="1"/>
  <c r="AJ200" i="1"/>
  <c r="B200" i="1"/>
  <c r="C200" i="1" s="1"/>
  <c r="AE200" i="1"/>
  <c r="AH199" i="1" l="1"/>
  <c r="AI199" i="1"/>
  <c r="AC199" i="1"/>
  <c r="AD199" i="1"/>
  <c r="X199" i="1"/>
  <c r="Y199" i="1"/>
  <c r="S199" i="1"/>
  <c r="T199" i="1"/>
  <c r="N199" i="1"/>
  <c r="O199" i="1"/>
  <c r="P201" i="1"/>
  <c r="K201" i="1"/>
  <c r="AB199" i="1"/>
  <c r="R199" i="1"/>
  <c r="AA199" i="1"/>
  <c r="Q199" i="1"/>
  <c r="U201" i="1"/>
  <c r="Z201" i="1"/>
  <c r="G199" i="1"/>
  <c r="W199" i="1"/>
  <c r="F199" i="1"/>
  <c r="V199" i="1"/>
  <c r="AP199" i="1"/>
  <c r="AQ199" i="1"/>
  <c r="AL199" i="1"/>
  <c r="AF199" i="1"/>
  <c r="AK199" i="1"/>
  <c r="AG199" i="1"/>
  <c r="E200" i="1"/>
  <c r="M200" i="1" s="1"/>
  <c r="D200" i="1"/>
  <c r="N200" i="1" s="1"/>
  <c r="H200" i="1"/>
  <c r="AE201" i="1"/>
  <c r="A202" i="1"/>
  <c r="I202" i="1" s="1"/>
  <c r="J202" i="1" s="1"/>
  <c r="AO201" i="1"/>
  <c r="B201" i="1"/>
  <c r="C201" i="1" s="1"/>
  <c r="AJ201" i="1"/>
  <c r="AH200" i="1" l="1"/>
  <c r="AI200" i="1"/>
  <c r="AC200" i="1"/>
  <c r="AD200" i="1"/>
  <c r="X200" i="1"/>
  <c r="Y200" i="1"/>
  <c r="S200" i="1"/>
  <c r="T200" i="1"/>
  <c r="L200" i="1"/>
  <c r="O200" i="1"/>
  <c r="P202" i="1"/>
  <c r="K202" i="1"/>
  <c r="AQ200" i="1"/>
  <c r="R200" i="1"/>
  <c r="AA200" i="1"/>
  <c r="Q200" i="1"/>
  <c r="U202" i="1"/>
  <c r="Z202" i="1"/>
  <c r="AB200" i="1"/>
  <c r="F200" i="1"/>
  <c r="V200" i="1"/>
  <c r="G200" i="1"/>
  <c r="W200" i="1"/>
  <c r="AP200" i="1"/>
  <c r="AK200" i="1"/>
  <c r="AL200" i="1"/>
  <c r="AF200" i="1"/>
  <c r="AG200" i="1"/>
  <c r="E201" i="1"/>
  <c r="M201" i="1" s="1"/>
  <c r="H201" i="1"/>
  <c r="D201" i="1"/>
  <c r="L201" i="1" s="1"/>
  <c r="A203" i="1"/>
  <c r="I203" i="1" s="1"/>
  <c r="J203" i="1" s="1"/>
  <c r="AO202" i="1"/>
  <c r="AJ202" i="1"/>
  <c r="B202" i="1"/>
  <c r="C202" i="1" s="1"/>
  <c r="AE202" i="1"/>
  <c r="AH201" i="1" l="1"/>
  <c r="AI201" i="1"/>
  <c r="AH202" i="1"/>
  <c r="AC201" i="1"/>
  <c r="AD201" i="1"/>
  <c r="X201" i="1"/>
  <c r="Y201" i="1"/>
  <c r="S201" i="1"/>
  <c r="T201" i="1"/>
  <c r="N201" i="1"/>
  <c r="O201" i="1"/>
  <c r="P203" i="1"/>
  <c r="K203" i="1"/>
  <c r="AB201" i="1"/>
  <c r="R201" i="1"/>
  <c r="AA201" i="1"/>
  <c r="Q201" i="1"/>
  <c r="U203" i="1"/>
  <c r="Z203" i="1"/>
  <c r="G201" i="1"/>
  <c r="W201" i="1"/>
  <c r="F201" i="1"/>
  <c r="V201" i="1"/>
  <c r="AQ201" i="1"/>
  <c r="AP201" i="1"/>
  <c r="AK201" i="1"/>
  <c r="AL201" i="1"/>
  <c r="AF201" i="1"/>
  <c r="AG201" i="1"/>
  <c r="AE203" i="1"/>
  <c r="A204" i="1"/>
  <c r="I204" i="1" s="1"/>
  <c r="J204" i="1" s="1"/>
  <c r="AO203" i="1"/>
  <c r="AJ203" i="1"/>
  <c r="B203" i="1"/>
  <c r="C203" i="1" s="1"/>
  <c r="E202" i="1"/>
  <c r="M202" i="1" s="1"/>
  <c r="H202" i="1"/>
  <c r="D202" i="1"/>
  <c r="L202" i="1" s="1"/>
  <c r="AI202" i="1" l="1"/>
  <c r="AD202" i="1"/>
  <c r="AC202" i="1"/>
  <c r="X202" i="1"/>
  <c r="Y202" i="1"/>
  <c r="T202" i="1"/>
  <c r="S202" i="1"/>
  <c r="N202" i="1"/>
  <c r="O202" i="1"/>
  <c r="P204" i="1"/>
  <c r="K204" i="1"/>
  <c r="AB202" i="1"/>
  <c r="R202" i="1"/>
  <c r="AA202" i="1"/>
  <c r="Q202" i="1"/>
  <c r="U204" i="1"/>
  <c r="Z204" i="1"/>
  <c r="F202" i="1"/>
  <c r="V202" i="1"/>
  <c r="G202" i="1"/>
  <c r="W202" i="1"/>
  <c r="AP202" i="1"/>
  <c r="AQ202" i="1"/>
  <c r="AL202" i="1"/>
  <c r="AK202" i="1"/>
  <c r="AF202" i="1"/>
  <c r="AG202" i="1"/>
  <c r="A205" i="1"/>
  <c r="I205" i="1" s="1"/>
  <c r="J205" i="1" s="1"/>
  <c r="AO204" i="1"/>
  <c r="AJ204" i="1"/>
  <c r="B204" i="1"/>
  <c r="C204" i="1" s="1"/>
  <c r="AE204" i="1"/>
  <c r="E203" i="1"/>
  <c r="O203" i="1" s="1"/>
  <c r="H203" i="1"/>
  <c r="D203" i="1"/>
  <c r="Q203" i="1" s="1"/>
  <c r="AH203" i="1" l="1"/>
  <c r="AI203" i="1"/>
  <c r="AC203" i="1"/>
  <c r="AD203" i="1"/>
  <c r="X203" i="1"/>
  <c r="Y203" i="1"/>
  <c r="S203" i="1"/>
  <c r="T203" i="1"/>
  <c r="M203" i="1"/>
  <c r="N203" i="1"/>
  <c r="L203" i="1"/>
  <c r="P205" i="1"/>
  <c r="K205" i="1"/>
  <c r="AA203" i="1"/>
  <c r="AB203" i="1"/>
  <c r="R203" i="1"/>
  <c r="U205" i="1"/>
  <c r="Z205" i="1"/>
  <c r="F203" i="1"/>
  <c r="V203" i="1"/>
  <c r="G203" i="1"/>
  <c r="W203" i="1"/>
  <c r="AF203" i="1"/>
  <c r="AQ203" i="1"/>
  <c r="AP203" i="1"/>
  <c r="AL203" i="1"/>
  <c r="AK203" i="1"/>
  <c r="AG203" i="1"/>
  <c r="E204" i="1"/>
  <c r="M204" i="1" s="1"/>
  <c r="H204" i="1"/>
  <c r="D204" i="1"/>
  <c r="L204" i="1" s="1"/>
  <c r="AE205" i="1"/>
  <c r="A206" i="1"/>
  <c r="I206" i="1" s="1"/>
  <c r="J206" i="1" s="1"/>
  <c r="AO205" i="1"/>
  <c r="AJ205" i="1"/>
  <c r="B205" i="1"/>
  <c r="C205" i="1" s="1"/>
  <c r="AH204" i="1" l="1"/>
  <c r="AI204" i="1"/>
  <c r="AC204" i="1"/>
  <c r="AD204" i="1"/>
  <c r="X204" i="1"/>
  <c r="Y204" i="1"/>
  <c r="S204" i="1"/>
  <c r="T204" i="1"/>
  <c r="N204" i="1"/>
  <c r="O204" i="1"/>
  <c r="P206" i="1"/>
  <c r="K206" i="1"/>
  <c r="AA204" i="1"/>
  <c r="Q204" i="1"/>
  <c r="AB204" i="1"/>
  <c r="R204" i="1"/>
  <c r="AG204" i="1"/>
  <c r="AQ204" i="1"/>
  <c r="U206" i="1"/>
  <c r="Z206" i="1"/>
  <c r="F204" i="1"/>
  <c r="V204" i="1"/>
  <c r="G204" i="1"/>
  <c r="W204" i="1"/>
  <c r="AP204" i="1"/>
  <c r="AL204" i="1"/>
  <c r="AK204" i="1"/>
  <c r="AF204" i="1"/>
  <c r="E205" i="1"/>
  <c r="M205" i="1" s="1"/>
  <c r="H205" i="1"/>
  <c r="D205" i="1"/>
  <c r="N205" i="1" s="1"/>
  <c r="A207" i="1"/>
  <c r="I207" i="1" s="1"/>
  <c r="J207" i="1" s="1"/>
  <c r="AO206" i="1"/>
  <c r="AJ206" i="1"/>
  <c r="B206" i="1"/>
  <c r="C206" i="1" s="1"/>
  <c r="AE206" i="1"/>
  <c r="AH205" i="1" l="1"/>
  <c r="AI205" i="1"/>
  <c r="AC205" i="1"/>
  <c r="AD205" i="1"/>
  <c r="X205" i="1"/>
  <c r="Y205" i="1"/>
  <c r="S205" i="1"/>
  <c r="T205" i="1"/>
  <c r="L205" i="1"/>
  <c r="O205" i="1"/>
  <c r="P207" i="1"/>
  <c r="K207" i="1"/>
  <c r="AB205" i="1"/>
  <c r="R205" i="1"/>
  <c r="AA205" i="1"/>
  <c r="Q205" i="1"/>
  <c r="U207" i="1"/>
  <c r="Z207" i="1"/>
  <c r="F205" i="1"/>
  <c r="V205" i="1"/>
  <c r="G205" i="1"/>
  <c r="W205" i="1"/>
  <c r="AP205" i="1"/>
  <c r="AQ205" i="1"/>
  <c r="AK205" i="1"/>
  <c r="AL205" i="1"/>
  <c r="AG205" i="1"/>
  <c r="AF205" i="1"/>
  <c r="E206" i="1"/>
  <c r="O206" i="1" s="1"/>
  <c r="H206" i="1"/>
  <c r="D206" i="1"/>
  <c r="N206" i="1" s="1"/>
  <c r="AE207" i="1"/>
  <c r="A208" i="1"/>
  <c r="I208" i="1" s="1"/>
  <c r="J208" i="1" s="1"/>
  <c r="AO207" i="1"/>
  <c r="B207" i="1"/>
  <c r="C207" i="1" s="1"/>
  <c r="AJ207" i="1"/>
  <c r="AH206" i="1" l="1"/>
  <c r="AI206" i="1"/>
  <c r="Y206" i="1"/>
  <c r="AD206" i="1"/>
  <c r="AC206" i="1"/>
  <c r="X206" i="1"/>
  <c r="S206" i="1"/>
  <c r="T206" i="1"/>
  <c r="L206" i="1"/>
  <c r="M206" i="1"/>
  <c r="P208" i="1"/>
  <c r="K208" i="1"/>
  <c r="AB206" i="1"/>
  <c r="R206" i="1"/>
  <c r="AA206" i="1"/>
  <c r="Q206" i="1"/>
  <c r="U208" i="1"/>
  <c r="Z208" i="1"/>
  <c r="G206" i="1"/>
  <c r="W206" i="1"/>
  <c r="F206" i="1"/>
  <c r="V206" i="1"/>
  <c r="AQ206" i="1"/>
  <c r="AP206" i="1"/>
  <c r="AL206" i="1"/>
  <c r="AK206" i="1"/>
  <c r="AG206" i="1"/>
  <c r="AF206" i="1"/>
  <c r="E207" i="1"/>
  <c r="M207" i="1" s="1"/>
  <c r="H207" i="1"/>
  <c r="D207" i="1"/>
  <c r="L207" i="1" s="1"/>
  <c r="A209" i="1"/>
  <c r="I209" i="1" s="1"/>
  <c r="J209" i="1" s="1"/>
  <c r="AO208" i="1"/>
  <c r="AJ208" i="1"/>
  <c r="B208" i="1"/>
  <c r="C208" i="1" s="1"/>
  <c r="AE208" i="1"/>
  <c r="AH207" i="1" l="1"/>
  <c r="AI207" i="1"/>
  <c r="AC207" i="1"/>
  <c r="AD207" i="1"/>
  <c r="Y207" i="1"/>
  <c r="X207" i="1"/>
  <c r="S207" i="1"/>
  <c r="T207" i="1"/>
  <c r="N207" i="1"/>
  <c r="O207" i="1"/>
  <c r="P209" i="1"/>
  <c r="K209" i="1"/>
  <c r="AP207" i="1"/>
  <c r="Q207" i="1"/>
  <c r="AQ207" i="1"/>
  <c r="R207" i="1"/>
  <c r="AA207" i="1"/>
  <c r="U209" i="1"/>
  <c r="Z209" i="1"/>
  <c r="AB207" i="1"/>
  <c r="G207" i="1"/>
  <c r="W207" i="1"/>
  <c r="F207" i="1"/>
  <c r="V207" i="1"/>
  <c r="AL207" i="1"/>
  <c r="AF207" i="1"/>
  <c r="AK207" i="1"/>
  <c r="AG207" i="1"/>
  <c r="E208" i="1"/>
  <c r="R208" i="1" s="1"/>
  <c r="D208" i="1"/>
  <c r="N208" i="1" s="1"/>
  <c r="H208" i="1"/>
  <c r="AE209" i="1"/>
  <c r="A210" i="1"/>
  <c r="I210" i="1" s="1"/>
  <c r="J210" i="1" s="1"/>
  <c r="AO209" i="1"/>
  <c r="B209" i="1"/>
  <c r="C209" i="1" s="1"/>
  <c r="AJ209" i="1"/>
  <c r="AH208" i="1" l="1"/>
  <c r="AI208" i="1"/>
  <c r="AC208" i="1"/>
  <c r="AD208" i="1"/>
  <c r="X208" i="1"/>
  <c r="Y208" i="1"/>
  <c r="S208" i="1"/>
  <c r="T208" i="1"/>
  <c r="L208" i="1"/>
  <c r="M208" i="1"/>
  <c r="O208" i="1"/>
  <c r="P210" i="1"/>
  <c r="K210" i="1"/>
  <c r="AB208" i="1"/>
  <c r="AA208" i="1"/>
  <c r="Q208" i="1"/>
  <c r="U210" i="1"/>
  <c r="Z210" i="1"/>
  <c r="F208" i="1"/>
  <c r="V208" i="1"/>
  <c r="G208" i="1"/>
  <c r="W208" i="1"/>
  <c r="AP208" i="1"/>
  <c r="AQ208" i="1"/>
  <c r="AL208" i="1"/>
  <c r="AK208" i="1"/>
  <c r="AF208" i="1"/>
  <c r="AG208" i="1"/>
  <c r="E209" i="1"/>
  <c r="M209" i="1" s="1"/>
  <c r="H209" i="1"/>
  <c r="D209" i="1"/>
  <c r="L209" i="1" s="1"/>
  <c r="A211" i="1"/>
  <c r="I211" i="1" s="1"/>
  <c r="J211" i="1" s="1"/>
  <c r="AO210" i="1"/>
  <c r="AJ210" i="1"/>
  <c r="B210" i="1"/>
  <c r="C210" i="1" s="1"/>
  <c r="AE210" i="1"/>
  <c r="AH209" i="1" l="1"/>
  <c r="AI209" i="1"/>
  <c r="AC209" i="1"/>
  <c r="AD209" i="1"/>
  <c r="X209" i="1"/>
  <c r="Y209" i="1"/>
  <c r="S209" i="1"/>
  <c r="T209" i="1"/>
  <c r="N209" i="1"/>
  <c r="O209" i="1"/>
  <c r="P211" i="1"/>
  <c r="K211" i="1"/>
  <c r="AA209" i="1"/>
  <c r="Q209" i="1"/>
  <c r="AB209" i="1"/>
  <c r="R209" i="1"/>
  <c r="U211" i="1"/>
  <c r="Z211" i="1"/>
  <c r="F209" i="1"/>
  <c r="V209" i="1"/>
  <c r="G209" i="1"/>
  <c r="W209" i="1"/>
  <c r="AP209" i="1"/>
  <c r="AF209" i="1"/>
  <c r="AK209" i="1"/>
  <c r="AQ209" i="1"/>
  <c r="AL209" i="1"/>
  <c r="AG209" i="1"/>
  <c r="E210" i="1"/>
  <c r="M210" i="1" s="1"/>
  <c r="H210" i="1"/>
  <c r="D210" i="1"/>
  <c r="L210" i="1" s="1"/>
  <c r="AE211" i="1"/>
  <c r="A212" i="1"/>
  <c r="I212" i="1" s="1"/>
  <c r="J212" i="1" s="1"/>
  <c r="AO211" i="1"/>
  <c r="AJ211" i="1"/>
  <c r="B211" i="1"/>
  <c r="C211" i="1" s="1"/>
  <c r="AH210" i="1" l="1"/>
  <c r="AI210" i="1"/>
  <c r="AC210" i="1"/>
  <c r="AD210" i="1"/>
  <c r="X210" i="1"/>
  <c r="Y210" i="1"/>
  <c r="S210" i="1"/>
  <c r="T210" i="1"/>
  <c r="N210" i="1"/>
  <c r="O210" i="1"/>
  <c r="P212" i="1"/>
  <c r="K212" i="1"/>
  <c r="AA210" i="1"/>
  <c r="Q210" i="1"/>
  <c r="AB210" i="1"/>
  <c r="R210" i="1"/>
  <c r="U212" i="1"/>
  <c r="Z212" i="1"/>
  <c r="G210" i="1"/>
  <c r="W210" i="1"/>
  <c r="F210" i="1"/>
  <c r="V210" i="1"/>
  <c r="AP210" i="1"/>
  <c r="AG210" i="1"/>
  <c r="AQ210" i="1"/>
  <c r="AL210" i="1"/>
  <c r="AK210" i="1"/>
  <c r="AF210" i="1"/>
  <c r="E211" i="1"/>
  <c r="M211" i="1" s="1"/>
  <c r="H211" i="1"/>
  <c r="D211" i="1"/>
  <c r="L211" i="1" s="1"/>
  <c r="A213" i="1"/>
  <c r="I213" i="1" s="1"/>
  <c r="J213" i="1" s="1"/>
  <c r="AO212" i="1"/>
  <c r="AJ212" i="1"/>
  <c r="B212" i="1"/>
  <c r="C212" i="1" s="1"/>
  <c r="AE212" i="1"/>
  <c r="AH211" i="1" l="1"/>
  <c r="AI211" i="1"/>
  <c r="AC211" i="1"/>
  <c r="AD211" i="1"/>
  <c r="Y211" i="1"/>
  <c r="X211" i="1"/>
  <c r="S211" i="1"/>
  <c r="T211" i="1"/>
  <c r="N211" i="1"/>
  <c r="O211" i="1"/>
  <c r="P213" i="1"/>
  <c r="K213" i="1"/>
  <c r="AA211" i="1"/>
  <c r="Q211" i="1"/>
  <c r="AB211" i="1"/>
  <c r="R211" i="1"/>
  <c r="U213" i="1"/>
  <c r="Z213" i="1"/>
  <c r="G211" i="1"/>
  <c r="W211" i="1"/>
  <c r="F211" i="1"/>
  <c r="V211" i="1"/>
  <c r="AP211" i="1"/>
  <c r="AQ211" i="1"/>
  <c r="AK211" i="1"/>
  <c r="AF211" i="1"/>
  <c r="AL211" i="1"/>
  <c r="AG211" i="1"/>
  <c r="E212" i="1"/>
  <c r="M212" i="1" s="1"/>
  <c r="H212" i="1"/>
  <c r="D212" i="1"/>
  <c r="L212" i="1" s="1"/>
  <c r="AE213" i="1"/>
  <c r="A214" i="1"/>
  <c r="I214" i="1" s="1"/>
  <c r="J214" i="1" s="1"/>
  <c r="AO213" i="1"/>
  <c r="AJ213" i="1"/>
  <c r="B213" i="1"/>
  <c r="C213" i="1" s="1"/>
  <c r="AH212" i="1" l="1"/>
  <c r="AI212" i="1"/>
  <c r="AC212" i="1"/>
  <c r="AD212" i="1"/>
  <c r="X212" i="1"/>
  <c r="Y212" i="1"/>
  <c r="S212" i="1"/>
  <c r="T212" i="1"/>
  <c r="N212" i="1"/>
  <c r="O212" i="1"/>
  <c r="P214" i="1"/>
  <c r="K214" i="1"/>
  <c r="AA212" i="1"/>
  <c r="Q212" i="1"/>
  <c r="AB212" i="1"/>
  <c r="R212" i="1"/>
  <c r="U214" i="1"/>
  <c r="Z214" i="1"/>
  <c r="G212" i="1"/>
  <c r="W212" i="1"/>
  <c r="F212" i="1"/>
  <c r="V212" i="1"/>
  <c r="AP212" i="1"/>
  <c r="AQ212" i="1"/>
  <c r="AG212" i="1"/>
  <c r="AK212" i="1"/>
  <c r="AL212" i="1"/>
  <c r="AF212" i="1"/>
  <c r="A215" i="1"/>
  <c r="I215" i="1" s="1"/>
  <c r="J215" i="1" s="1"/>
  <c r="AO214" i="1"/>
  <c r="AJ214" i="1"/>
  <c r="B214" i="1"/>
  <c r="C214" i="1" s="1"/>
  <c r="AE214" i="1"/>
  <c r="E213" i="1"/>
  <c r="M213" i="1" s="1"/>
  <c r="H213" i="1"/>
  <c r="D213" i="1"/>
  <c r="Q213" i="1" s="1"/>
  <c r="AH213" i="1" l="1"/>
  <c r="AI213" i="1"/>
  <c r="AC213" i="1"/>
  <c r="AD213" i="1"/>
  <c r="X213" i="1"/>
  <c r="Y213" i="1"/>
  <c r="T213" i="1"/>
  <c r="S213" i="1"/>
  <c r="N213" i="1"/>
  <c r="O213" i="1"/>
  <c r="L213" i="1"/>
  <c r="P215" i="1"/>
  <c r="K215" i="1"/>
  <c r="AA213" i="1"/>
  <c r="AB213" i="1"/>
  <c r="R213" i="1"/>
  <c r="U215" i="1"/>
  <c r="Z215" i="1"/>
  <c r="F213" i="1"/>
  <c r="V213" i="1"/>
  <c r="G213" i="1"/>
  <c r="W213" i="1"/>
  <c r="AP213" i="1"/>
  <c r="AK213" i="1"/>
  <c r="AQ213" i="1"/>
  <c r="AL213" i="1"/>
  <c r="AF213" i="1"/>
  <c r="AG213" i="1"/>
  <c r="E214" i="1"/>
  <c r="M214" i="1" s="1"/>
  <c r="H214" i="1"/>
  <c r="D214" i="1"/>
  <c r="L214" i="1" s="1"/>
  <c r="AE215" i="1"/>
  <c r="A216" i="1"/>
  <c r="I216" i="1" s="1"/>
  <c r="J216" i="1" s="1"/>
  <c r="AO215" i="1"/>
  <c r="B215" i="1"/>
  <c r="C215" i="1" s="1"/>
  <c r="AJ215" i="1"/>
  <c r="AI214" i="1" l="1"/>
  <c r="AH214" i="1"/>
  <c r="AD214" i="1"/>
  <c r="AC214" i="1"/>
  <c r="X214" i="1"/>
  <c r="Y214" i="1"/>
  <c r="S214" i="1"/>
  <c r="T214" i="1"/>
  <c r="N214" i="1"/>
  <c r="O214" i="1"/>
  <c r="P216" i="1"/>
  <c r="K216" i="1"/>
  <c r="AB214" i="1"/>
  <c r="R214" i="1"/>
  <c r="AA214" i="1"/>
  <c r="Q214" i="1"/>
  <c r="U216" i="1"/>
  <c r="Z216" i="1"/>
  <c r="F214" i="1"/>
  <c r="V214" i="1"/>
  <c r="G214" i="1"/>
  <c r="W214" i="1"/>
  <c r="AP214" i="1"/>
  <c r="AQ214" i="1"/>
  <c r="AK214" i="1"/>
  <c r="AF214" i="1"/>
  <c r="AL214" i="1"/>
  <c r="AG214" i="1"/>
  <c r="E215" i="1"/>
  <c r="M215" i="1" s="1"/>
  <c r="H215" i="1"/>
  <c r="D215" i="1"/>
  <c r="L215" i="1" s="1"/>
  <c r="A217" i="1"/>
  <c r="I217" i="1" s="1"/>
  <c r="J217" i="1" s="1"/>
  <c r="AO216" i="1"/>
  <c r="AJ216" i="1"/>
  <c r="B216" i="1"/>
  <c r="C216" i="1" s="1"/>
  <c r="AE216" i="1"/>
  <c r="AH215" i="1" l="1"/>
  <c r="AI215" i="1"/>
  <c r="AC215" i="1"/>
  <c r="AD215" i="1"/>
  <c r="X215" i="1"/>
  <c r="Y215" i="1"/>
  <c r="S215" i="1"/>
  <c r="T215" i="1"/>
  <c r="N215" i="1"/>
  <c r="O215" i="1"/>
  <c r="P217" i="1"/>
  <c r="K217" i="1"/>
  <c r="AA215" i="1"/>
  <c r="Q215" i="1"/>
  <c r="AB215" i="1"/>
  <c r="R215" i="1"/>
  <c r="U217" i="1"/>
  <c r="Z217" i="1"/>
  <c r="F215" i="1"/>
  <c r="V215" i="1"/>
  <c r="G215" i="1"/>
  <c r="W215" i="1"/>
  <c r="AG215" i="1"/>
  <c r="AP215" i="1"/>
  <c r="AQ215" i="1"/>
  <c r="AK215" i="1"/>
  <c r="AL215" i="1"/>
  <c r="AF215" i="1"/>
  <c r="AE217" i="1"/>
  <c r="A218" i="1"/>
  <c r="I218" i="1" s="1"/>
  <c r="J218" i="1" s="1"/>
  <c r="AO217" i="1"/>
  <c r="B217" i="1"/>
  <c r="C217" i="1" s="1"/>
  <c r="AJ217" i="1"/>
  <c r="E216" i="1"/>
  <c r="O216" i="1" s="1"/>
  <c r="D216" i="1"/>
  <c r="L216" i="1" s="1"/>
  <c r="H216" i="1"/>
  <c r="AH216" i="1" l="1"/>
  <c r="AI216" i="1"/>
  <c r="AC216" i="1"/>
  <c r="AD216" i="1"/>
  <c r="X216" i="1"/>
  <c r="Y216" i="1"/>
  <c r="T216" i="1"/>
  <c r="N216" i="1"/>
  <c r="S216" i="1"/>
  <c r="M216" i="1"/>
  <c r="P218" i="1"/>
  <c r="K218" i="1"/>
  <c r="AA216" i="1"/>
  <c r="Q216" i="1"/>
  <c r="AB216" i="1"/>
  <c r="R216" i="1"/>
  <c r="U218" i="1"/>
  <c r="Z218" i="1"/>
  <c r="F216" i="1"/>
  <c r="V216" i="1"/>
  <c r="G216" i="1"/>
  <c r="W216" i="1"/>
  <c r="AP216" i="1"/>
  <c r="AQ216" i="1"/>
  <c r="AL216" i="1"/>
  <c r="AK216" i="1"/>
  <c r="AF216" i="1"/>
  <c r="AG216" i="1"/>
  <c r="E217" i="1"/>
  <c r="M217" i="1" s="1"/>
  <c r="H217" i="1"/>
  <c r="D217" i="1"/>
  <c r="L217" i="1" s="1"/>
  <c r="A219" i="1"/>
  <c r="I219" i="1" s="1"/>
  <c r="J219" i="1" s="1"/>
  <c r="AO218" i="1"/>
  <c r="AJ218" i="1"/>
  <c r="B218" i="1"/>
  <c r="C218" i="1" s="1"/>
  <c r="AE218" i="1"/>
  <c r="AH217" i="1" l="1"/>
  <c r="AI217" i="1"/>
  <c r="AC217" i="1"/>
  <c r="AD217" i="1"/>
  <c r="X217" i="1"/>
  <c r="Y217" i="1"/>
  <c r="S217" i="1"/>
  <c r="T217" i="1"/>
  <c r="N217" i="1"/>
  <c r="O217" i="1"/>
  <c r="P219" i="1"/>
  <c r="K219" i="1"/>
  <c r="AB217" i="1"/>
  <c r="R217" i="1"/>
  <c r="AA217" i="1"/>
  <c r="Q217" i="1"/>
  <c r="U219" i="1"/>
  <c r="Z219" i="1"/>
  <c r="F217" i="1"/>
  <c r="V217" i="1"/>
  <c r="G217" i="1"/>
  <c r="W217" i="1"/>
  <c r="AP217" i="1"/>
  <c r="AQ217" i="1"/>
  <c r="AK217" i="1"/>
  <c r="AL217" i="1"/>
  <c r="AG217" i="1"/>
  <c r="AF217" i="1"/>
  <c r="AE219" i="1"/>
  <c r="A220" i="1"/>
  <c r="I220" i="1" s="1"/>
  <c r="J220" i="1" s="1"/>
  <c r="AO219" i="1"/>
  <c r="AJ219" i="1"/>
  <c r="B219" i="1"/>
  <c r="C219" i="1" s="1"/>
  <c r="E218" i="1"/>
  <c r="O218" i="1" s="1"/>
  <c r="H218" i="1"/>
  <c r="D218" i="1"/>
  <c r="Q218" i="1" s="1"/>
  <c r="AH218" i="1" l="1"/>
  <c r="AI218" i="1"/>
  <c r="AC218" i="1"/>
  <c r="AD218" i="1"/>
  <c r="Y218" i="1"/>
  <c r="X218" i="1"/>
  <c r="T218" i="1"/>
  <c r="N218" i="1"/>
  <c r="S218" i="1"/>
  <c r="M218" i="1"/>
  <c r="L218" i="1"/>
  <c r="P220" i="1"/>
  <c r="K220" i="1"/>
  <c r="AA218" i="1"/>
  <c r="AB218" i="1"/>
  <c r="R218" i="1"/>
  <c r="U220" i="1"/>
  <c r="Z220" i="1"/>
  <c r="F218" i="1"/>
  <c r="V218" i="1"/>
  <c r="G218" i="1"/>
  <c r="W218" i="1"/>
  <c r="AP218" i="1"/>
  <c r="AK218" i="1"/>
  <c r="AQ218" i="1"/>
  <c r="AL218" i="1"/>
  <c r="AF218" i="1"/>
  <c r="AG218" i="1"/>
  <c r="A221" i="1"/>
  <c r="I221" i="1" s="1"/>
  <c r="J221" i="1" s="1"/>
  <c r="AO220" i="1"/>
  <c r="AJ220" i="1"/>
  <c r="B220" i="1"/>
  <c r="C220" i="1" s="1"/>
  <c r="AE220" i="1"/>
  <c r="E219" i="1"/>
  <c r="M219" i="1" s="1"/>
  <c r="H219" i="1"/>
  <c r="D219" i="1"/>
  <c r="L219" i="1" s="1"/>
  <c r="AH219" i="1" l="1"/>
  <c r="AI219" i="1"/>
  <c r="AC219" i="1"/>
  <c r="AD219" i="1"/>
  <c r="X219" i="1"/>
  <c r="Y219" i="1"/>
  <c r="S219" i="1"/>
  <c r="T219" i="1"/>
  <c r="N219" i="1"/>
  <c r="O219" i="1"/>
  <c r="P221" i="1"/>
  <c r="K221" i="1"/>
  <c r="AA219" i="1"/>
  <c r="Q219" i="1"/>
  <c r="AB219" i="1"/>
  <c r="R219" i="1"/>
  <c r="U221" i="1"/>
  <c r="Z221" i="1"/>
  <c r="G219" i="1"/>
  <c r="W219" i="1"/>
  <c r="AQ219" i="1"/>
  <c r="F219" i="1"/>
  <c r="V219" i="1"/>
  <c r="AP219" i="1"/>
  <c r="AG219" i="1"/>
  <c r="AK219" i="1"/>
  <c r="AL219" i="1"/>
  <c r="AF219" i="1"/>
  <c r="E220" i="1"/>
  <c r="M220" i="1" s="1"/>
  <c r="H220" i="1"/>
  <c r="D220" i="1"/>
  <c r="L220" i="1" s="1"/>
  <c r="AE221" i="1"/>
  <c r="A222" i="1"/>
  <c r="I222" i="1" s="1"/>
  <c r="J222" i="1" s="1"/>
  <c r="AO221" i="1"/>
  <c r="AJ221" i="1"/>
  <c r="B221" i="1"/>
  <c r="C221" i="1" s="1"/>
  <c r="AH220" i="1" l="1"/>
  <c r="AI220" i="1"/>
  <c r="AC220" i="1"/>
  <c r="AD220" i="1"/>
  <c r="X220" i="1"/>
  <c r="Y220" i="1"/>
  <c r="S220" i="1"/>
  <c r="T220" i="1"/>
  <c r="N220" i="1"/>
  <c r="O220" i="1"/>
  <c r="P222" i="1"/>
  <c r="K222" i="1"/>
  <c r="AB220" i="1"/>
  <c r="R220" i="1"/>
  <c r="AA220" i="1"/>
  <c r="Q220" i="1"/>
  <c r="U222" i="1"/>
  <c r="Z222" i="1"/>
  <c r="F220" i="1"/>
  <c r="V220" i="1"/>
  <c r="G220" i="1"/>
  <c r="W220" i="1"/>
  <c r="AP220" i="1"/>
  <c r="AL220" i="1"/>
  <c r="AQ220" i="1"/>
  <c r="AK220" i="1"/>
  <c r="AF220" i="1"/>
  <c r="AG220" i="1"/>
  <c r="E221" i="1"/>
  <c r="M221" i="1" s="1"/>
  <c r="H221" i="1"/>
  <c r="D221" i="1"/>
  <c r="L221" i="1" s="1"/>
  <c r="A223" i="1"/>
  <c r="I223" i="1" s="1"/>
  <c r="J223" i="1" s="1"/>
  <c r="AO222" i="1"/>
  <c r="AJ222" i="1"/>
  <c r="B222" i="1"/>
  <c r="C222" i="1" s="1"/>
  <c r="AE222" i="1"/>
  <c r="AH221" i="1" l="1"/>
  <c r="AI221" i="1"/>
  <c r="AC221" i="1"/>
  <c r="AD221" i="1"/>
  <c r="X221" i="1"/>
  <c r="Y221" i="1"/>
  <c r="S221" i="1"/>
  <c r="T221" i="1"/>
  <c r="N221" i="1"/>
  <c r="O221" i="1"/>
  <c r="P223" i="1"/>
  <c r="K223" i="1"/>
  <c r="AB221" i="1"/>
  <c r="R221" i="1"/>
  <c r="AA221" i="1"/>
  <c r="Q221" i="1"/>
  <c r="U223" i="1"/>
  <c r="Z223" i="1"/>
  <c r="F221" i="1"/>
  <c r="V221" i="1"/>
  <c r="G221" i="1"/>
  <c r="W221" i="1"/>
  <c r="AQ221" i="1"/>
  <c r="AP221" i="1"/>
  <c r="AL221" i="1"/>
  <c r="AK221" i="1"/>
  <c r="AG221" i="1"/>
  <c r="AF221" i="1"/>
  <c r="AE223" i="1"/>
  <c r="A224" i="1"/>
  <c r="I224" i="1" s="1"/>
  <c r="J224" i="1" s="1"/>
  <c r="AO223" i="1"/>
  <c r="B223" i="1"/>
  <c r="C223" i="1" s="1"/>
  <c r="AJ223" i="1"/>
  <c r="E222" i="1"/>
  <c r="M222" i="1" s="1"/>
  <c r="H222" i="1"/>
  <c r="D222" i="1"/>
  <c r="L222" i="1" s="1"/>
  <c r="AH222" i="1" l="1"/>
  <c r="AI222" i="1"/>
  <c r="AD222" i="1"/>
  <c r="AC222" i="1"/>
  <c r="X222" i="1"/>
  <c r="Y222" i="1"/>
  <c r="S222" i="1"/>
  <c r="T222" i="1"/>
  <c r="N222" i="1"/>
  <c r="O222" i="1"/>
  <c r="P224" i="1"/>
  <c r="K224" i="1"/>
  <c r="AB222" i="1"/>
  <c r="R222" i="1"/>
  <c r="AA222" i="1"/>
  <c r="Q222" i="1"/>
  <c r="AQ222" i="1"/>
  <c r="U224" i="1"/>
  <c r="Z224" i="1"/>
  <c r="F222" i="1"/>
  <c r="V222" i="1"/>
  <c r="G222" i="1"/>
  <c r="W222" i="1"/>
  <c r="AP222" i="1"/>
  <c r="AL222" i="1"/>
  <c r="AK222" i="1"/>
  <c r="AG222" i="1"/>
  <c r="AF222" i="1"/>
  <c r="A225" i="1"/>
  <c r="I225" i="1" s="1"/>
  <c r="J225" i="1" s="1"/>
  <c r="AO224" i="1"/>
  <c r="AJ224" i="1"/>
  <c r="B224" i="1"/>
  <c r="C224" i="1" s="1"/>
  <c r="AE224" i="1"/>
  <c r="E223" i="1"/>
  <c r="O223" i="1" s="1"/>
  <c r="H223" i="1"/>
  <c r="D223" i="1"/>
  <c r="L223" i="1" s="1"/>
  <c r="AH223" i="1" l="1"/>
  <c r="AI223" i="1"/>
  <c r="AC223" i="1"/>
  <c r="AD223" i="1"/>
  <c r="X223" i="1"/>
  <c r="Y223" i="1"/>
  <c r="T223" i="1"/>
  <c r="S223" i="1"/>
  <c r="M223" i="1"/>
  <c r="N223" i="1"/>
  <c r="P225" i="1"/>
  <c r="K225" i="1"/>
  <c r="AB223" i="1"/>
  <c r="R223" i="1"/>
  <c r="AA223" i="1"/>
  <c r="Q223" i="1"/>
  <c r="U225" i="1"/>
  <c r="Z225" i="1"/>
  <c r="F223" i="1"/>
  <c r="V223" i="1"/>
  <c r="G223" i="1"/>
  <c r="W223" i="1"/>
  <c r="AQ223" i="1"/>
  <c r="AP223" i="1"/>
  <c r="AL223" i="1"/>
  <c r="AK223" i="1"/>
  <c r="AF223" i="1"/>
  <c r="AG223" i="1"/>
  <c r="E224" i="1"/>
  <c r="M224" i="1" s="1"/>
  <c r="D224" i="1"/>
  <c r="L224" i="1" s="1"/>
  <c r="H224" i="1"/>
  <c r="AE225" i="1"/>
  <c r="A226" i="1"/>
  <c r="I226" i="1" s="1"/>
  <c r="J226" i="1" s="1"/>
  <c r="AO225" i="1"/>
  <c r="B225" i="1"/>
  <c r="C225" i="1" s="1"/>
  <c r="AJ225" i="1"/>
  <c r="AH224" i="1" l="1"/>
  <c r="AI224" i="1"/>
  <c r="AC224" i="1"/>
  <c r="AD224" i="1"/>
  <c r="Y224" i="1"/>
  <c r="X224" i="1"/>
  <c r="S224" i="1"/>
  <c r="T224" i="1"/>
  <c r="O224" i="1"/>
  <c r="N224" i="1"/>
  <c r="P226" i="1"/>
  <c r="K226" i="1"/>
  <c r="AA224" i="1"/>
  <c r="Q224" i="1"/>
  <c r="AQ224" i="1"/>
  <c r="R224" i="1"/>
  <c r="U226" i="1"/>
  <c r="Z226" i="1"/>
  <c r="AB224" i="1"/>
  <c r="F224" i="1"/>
  <c r="V224" i="1"/>
  <c r="G224" i="1"/>
  <c r="W224" i="1"/>
  <c r="AP224" i="1"/>
  <c r="AL224" i="1"/>
  <c r="AK224" i="1"/>
  <c r="AF224" i="1"/>
  <c r="AG224" i="1"/>
  <c r="E225" i="1"/>
  <c r="M225" i="1" s="1"/>
  <c r="H225" i="1"/>
  <c r="D225" i="1"/>
  <c r="L225" i="1" s="1"/>
  <c r="A227" i="1"/>
  <c r="I227" i="1" s="1"/>
  <c r="J227" i="1" s="1"/>
  <c r="AO226" i="1"/>
  <c r="AJ226" i="1"/>
  <c r="B226" i="1"/>
  <c r="C226" i="1" s="1"/>
  <c r="AE226" i="1"/>
  <c r="AH225" i="1" l="1"/>
  <c r="AI225" i="1"/>
  <c r="AC225" i="1"/>
  <c r="AD225" i="1"/>
  <c r="X225" i="1"/>
  <c r="Y225" i="1"/>
  <c r="S225" i="1"/>
  <c r="T225" i="1"/>
  <c r="N225" i="1"/>
  <c r="O225" i="1"/>
  <c r="P227" i="1"/>
  <c r="K227" i="1"/>
  <c r="AB225" i="1"/>
  <c r="R225" i="1"/>
  <c r="AA225" i="1"/>
  <c r="Q225" i="1"/>
  <c r="U227" i="1"/>
  <c r="Z227" i="1"/>
  <c r="G225" i="1"/>
  <c r="W225" i="1"/>
  <c r="F225" i="1"/>
  <c r="V225" i="1"/>
  <c r="AP225" i="1"/>
  <c r="AQ225" i="1"/>
  <c r="AL225" i="1"/>
  <c r="AK225" i="1"/>
  <c r="AF225" i="1"/>
  <c r="AG225" i="1"/>
  <c r="E226" i="1"/>
  <c r="M226" i="1" s="1"/>
  <c r="H226" i="1"/>
  <c r="D226" i="1"/>
  <c r="N226" i="1" s="1"/>
  <c r="AE227" i="1"/>
  <c r="A228" i="1"/>
  <c r="I228" i="1" s="1"/>
  <c r="J228" i="1" s="1"/>
  <c r="AO227" i="1"/>
  <c r="AJ227" i="1"/>
  <c r="B227" i="1"/>
  <c r="C227" i="1" s="1"/>
  <c r="AH226" i="1" l="1"/>
  <c r="AI226" i="1"/>
  <c r="AC226" i="1"/>
  <c r="AD226" i="1"/>
  <c r="X226" i="1"/>
  <c r="Y226" i="1"/>
  <c r="S226" i="1"/>
  <c r="T226" i="1"/>
  <c r="L226" i="1"/>
  <c r="O226" i="1"/>
  <c r="P228" i="1"/>
  <c r="K228" i="1"/>
  <c r="AB226" i="1"/>
  <c r="R226" i="1"/>
  <c r="AA226" i="1"/>
  <c r="Q226" i="1"/>
  <c r="U228" i="1"/>
  <c r="Z228" i="1"/>
  <c r="G226" i="1"/>
  <c r="W226" i="1"/>
  <c r="F226" i="1"/>
  <c r="V226" i="1"/>
  <c r="AP226" i="1"/>
  <c r="AQ226" i="1"/>
  <c r="AL226" i="1"/>
  <c r="AF226" i="1"/>
  <c r="AK226" i="1"/>
  <c r="AG226" i="1"/>
  <c r="E227" i="1"/>
  <c r="M227" i="1" s="1"/>
  <c r="H227" i="1"/>
  <c r="D227" i="1"/>
  <c r="L227" i="1" s="1"/>
  <c r="A229" i="1"/>
  <c r="I229" i="1" s="1"/>
  <c r="J229" i="1" s="1"/>
  <c r="AO228" i="1"/>
  <c r="AJ228" i="1"/>
  <c r="B228" i="1"/>
  <c r="C228" i="1" s="1"/>
  <c r="AE228" i="1"/>
  <c r="AH227" i="1" l="1"/>
  <c r="AI227" i="1"/>
  <c r="AC227" i="1"/>
  <c r="AD227" i="1"/>
  <c r="Y227" i="1"/>
  <c r="S227" i="1"/>
  <c r="X227" i="1"/>
  <c r="T227" i="1"/>
  <c r="O227" i="1"/>
  <c r="N227" i="1"/>
  <c r="P229" i="1"/>
  <c r="K229" i="1"/>
  <c r="AB227" i="1"/>
  <c r="R227" i="1"/>
  <c r="AA227" i="1"/>
  <c r="Q227" i="1"/>
  <c r="U229" i="1"/>
  <c r="Z229" i="1"/>
  <c r="G227" i="1"/>
  <c r="W227" i="1"/>
  <c r="F227" i="1"/>
  <c r="V227" i="1"/>
  <c r="AP227" i="1"/>
  <c r="AQ227" i="1"/>
  <c r="AK227" i="1"/>
  <c r="AG227" i="1"/>
  <c r="AL227" i="1"/>
  <c r="AF227" i="1"/>
  <c r="AE229" i="1"/>
  <c r="A230" i="1"/>
  <c r="I230" i="1" s="1"/>
  <c r="J230" i="1" s="1"/>
  <c r="AO229" i="1"/>
  <c r="AJ229" i="1"/>
  <c r="B229" i="1"/>
  <c r="C229" i="1" s="1"/>
  <c r="E228" i="1"/>
  <c r="M228" i="1" s="1"/>
  <c r="H228" i="1"/>
  <c r="D228" i="1"/>
  <c r="L228" i="1" s="1"/>
  <c r="AH228" i="1" l="1"/>
  <c r="AI228" i="1"/>
  <c r="AD228" i="1"/>
  <c r="AC228" i="1"/>
  <c r="X228" i="1"/>
  <c r="Y228" i="1"/>
  <c r="S228" i="1"/>
  <c r="T228" i="1"/>
  <c r="N228" i="1"/>
  <c r="O228" i="1"/>
  <c r="P230" i="1"/>
  <c r="K230" i="1"/>
  <c r="AB228" i="1"/>
  <c r="R228" i="1"/>
  <c r="AA228" i="1"/>
  <c r="Q228" i="1"/>
  <c r="U230" i="1"/>
  <c r="Z230" i="1"/>
  <c r="F228" i="1"/>
  <c r="V228" i="1"/>
  <c r="G228" i="1"/>
  <c r="W228" i="1"/>
  <c r="AP228" i="1"/>
  <c r="AQ228" i="1"/>
  <c r="AF228" i="1"/>
  <c r="AK228" i="1"/>
  <c r="AL228" i="1"/>
  <c r="AG228" i="1"/>
  <c r="A231" i="1"/>
  <c r="I231" i="1" s="1"/>
  <c r="J231" i="1" s="1"/>
  <c r="AO230" i="1"/>
  <c r="AJ230" i="1"/>
  <c r="B230" i="1"/>
  <c r="C230" i="1" s="1"/>
  <c r="AE230" i="1"/>
  <c r="E229" i="1"/>
  <c r="M229" i="1" s="1"/>
  <c r="H229" i="1"/>
  <c r="D229" i="1"/>
  <c r="L229" i="1" s="1"/>
  <c r="AH229" i="1" l="1"/>
  <c r="AI229" i="1"/>
  <c r="AC229" i="1"/>
  <c r="AD229" i="1"/>
  <c r="X229" i="1"/>
  <c r="Y229" i="1"/>
  <c r="T229" i="1"/>
  <c r="S229" i="1"/>
  <c r="N229" i="1"/>
  <c r="O229" i="1"/>
  <c r="P231" i="1"/>
  <c r="K231" i="1"/>
  <c r="AB229" i="1"/>
  <c r="R229" i="1"/>
  <c r="AA229" i="1"/>
  <c r="Q229" i="1"/>
  <c r="U231" i="1"/>
  <c r="Z231" i="1"/>
  <c r="F229" i="1"/>
  <c r="V229" i="1"/>
  <c r="G229" i="1"/>
  <c r="W229" i="1"/>
  <c r="AQ229" i="1"/>
  <c r="AP229" i="1"/>
  <c r="AK229" i="1"/>
  <c r="AL229" i="1"/>
  <c r="AG229" i="1"/>
  <c r="AF229" i="1"/>
  <c r="E230" i="1"/>
  <c r="M230" i="1" s="1"/>
  <c r="H230" i="1"/>
  <c r="D230" i="1"/>
  <c r="L230" i="1" s="1"/>
  <c r="AE231" i="1"/>
  <c r="A232" i="1"/>
  <c r="I232" i="1" s="1"/>
  <c r="J232" i="1" s="1"/>
  <c r="AO231" i="1"/>
  <c r="B231" i="1"/>
  <c r="C231" i="1" s="1"/>
  <c r="AJ231" i="1"/>
  <c r="AI231" i="1" l="1"/>
  <c r="AI230" i="1"/>
  <c r="AH230" i="1"/>
  <c r="AD230" i="1"/>
  <c r="AC230" i="1"/>
  <c r="X230" i="1"/>
  <c r="Y230" i="1"/>
  <c r="S230" i="1"/>
  <c r="T230" i="1"/>
  <c r="N230" i="1"/>
  <c r="O230" i="1"/>
  <c r="P232" i="1"/>
  <c r="K232" i="1"/>
  <c r="AA230" i="1"/>
  <c r="Q230" i="1"/>
  <c r="AB230" i="1"/>
  <c r="R230" i="1"/>
  <c r="U232" i="1"/>
  <c r="Z232" i="1"/>
  <c r="G230" i="1"/>
  <c r="W230" i="1"/>
  <c r="F230" i="1"/>
  <c r="V230" i="1"/>
  <c r="AP230" i="1"/>
  <c r="AQ230" i="1"/>
  <c r="AL230" i="1"/>
  <c r="AK230" i="1"/>
  <c r="AG230" i="1"/>
  <c r="AF230" i="1"/>
  <c r="E231" i="1"/>
  <c r="M231" i="1" s="1"/>
  <c r="H231" i="1"/>
  <c r="D231" i="1"/>
  <c r="L231" i="1" s="1"/>
  <c r="A233" i="1"/>
  <c r="I233" i="1" s="1"/>
  <c r="J233" i="1" s="1"/>
  <c r="AO232" i="1"/>
  <c r="AJ232" i="1"/>
  <c r="B232" i="1"/>
  <c r="C232" i="1" s="1"/>
  <c r="AE232" i="1"/>
  <c r="AH231" i="1" l="1"/>
  <c r="AC231" i="1"/>
  <c r="AD231" i="1"/>
  <c r="X231" i="1"/>
  <c r="Y231" i="1"/>
  <c r="S231" i="1"/>
  <c r="T231" i="1"/>
  <c r="N231" i="1"/>
  <c r="O231" i="1"/>
  <c r="P233" i="1"/>
  <c r="K233" i="1"/>
  <c r="AB231" i="1"/>
  <c r="R231" i="1"/>
  <c r="AA231" i="1"/>
  <c r="Q231" i="1"/>
  <c r="U233" i="1"/>
  <c r="Z233" i="1"/>
  <c r="G231" i="1"/>
  <c r="W231" i="1"/>
  <c r="F231" i="1"/>
  <c r="V231" i="1"/>
  <c r="AK231" i="1"/>
  <c r="AP231" i="1"/>
  <c r="AF231" i="1"/>
  <c r="AQ231" i="1"/>
  <c r="AG231" i="1"/>
  <c r="AL231" i="1"/>
  <c r="E232" i="1"/>
  <c r="M232" i="1" s="1"/>
  <c r="D232" i="1"/>
  <c r="N232" i="1" s="1"/>
  <c r="H232" i="1"/>
  <c r="AE233" i="1"/>
  <c r="A234" i="1"/>
  <c r="I234" i="1" s="1"/>
  <c r="J234" i="1" s="1"/>
  <c r="AO233" i="1"/>
  <c r="B233" i="1"/>
  <c r="C233" i="1" s="1"/>
  <c r="AJ233" i="1"/>
  <c r="AI232" i="1" l="1"/>
  <c r="AH232" i="1"/>
  <c r="AC232" i="1"/>
  <c r="AD232" i="1"/>
  <c r="Y232" i="1"/>
  <c r="X232" i="1"/>
  <c r="S232" i="1"/>
  <c r="T232" i="1"/>
  <c r="L232" i="1"/>
  <c r="O232" i="1"/>
  <c r="P234" i="1"/>
  <c r="K234" i="1"/>
  <c r="AA232" i="1"/>
  <c r="Q232" i="1"/>
  <c r="AB232" i="1"/>
  <c r="R232" i="1"/>
  <c r="U234" i="1"/>
  <c r="Z234" i="1"/>
  <c r="F232" i="1"/>
  <c r="V232" i="1"/>
  <c r="G232" i="1"/>
  <c r="W232" i="1"/>
  <c r="AQ232" i="1"/>
  <c r="AP232" i="1"/>
  <c r="AK232" i="1"/>
  <c r="AG232" i="1"/>
  <c r="AL232" i="1"/>
  <c r="AF232" i="1"/>
  <c r="E233" i="1"/>
  <c r="M233" i="1" s="1"/>
  <c r="H233" i="1"/>
  <c r="D233" i="1"/>
  <c r="L233" i="1" s="1"/>
  <c r="A235" i="1"/>
  <c r="I235" i="1" s="1"/>
  <c r="J235" i="1" s="1"/>
  <c r="AO234" i="1"/>
  <c r="AJ234" i="1"/>
  <c r="B234" i="1"/>
  <c r="C234" i="1" s="1"/>
  <c r="AE234" i="1"/>
  <c r="AH233" i="1" l="1"/>
  <c r="AI233" i="1"/>
  <c r="AC233" i="1"/>
  <c r="AD233" i="1"/>
  <c r="X233" i="1"/>
  <c r="Y233" i="1"/>
  <c r="S233" i="1"/>
  <c r="T233" i="1"/>
  <c r="N233" i="1"/>
  <c r="O233" i="1"/>
  <c r="P235" i="1"/>
  <c r="K235" i="1"/>
  <c r="AA233" i="1"/>
  <c r="Q233" i="1"/>
  <c r="AB233" i="1"/>
  <c r="R233" i="1"/>
  <c r="U235" i="1"/>
  <c r="Z235" i="1"/>
  <c r="F233" i="1"/>
  <c r="V233" i="1"/>
  <c r="G233" i="1"/>
  <c r="W233" i="1"/>
  <c r="AP233" i="1"/>
  <c r="AQ233" i="1"/>
  <c r="AK233" i="1"/>
  <c r="AL233" i="1"/>
  <c r="AF233" i="1"/>
  <c r="AG233" i="1"/>
  <c r="E234" i="1"/>
  <c r="M234" i="1" s="1"/>
  <c r="H234" i="1"/>
  <c r="D234" i="1"/>
  <c r="N234" i="1" s="1"/>
  <c r="A236" i="1"/>
  <c r="I236" i="1" s="1"/>
  <c r="J236" i="1" s="1"/>
  <c r="AO235" i="1"/>
  <c r="AJ235" i="1"/>
  <c r="AE235" i="1"/>
  <c r="B235" i="1"/>
  <c r="C235" i="1" s="1"/>
  <c r="AI234" i="1" l="1"/>
  <c r="AH234" i="1"/>
  <c r="AC234" i="1"/>
  <c r="AD234" i="1"/>
  <c r="X234" i="1"/>
  <c r="Y234" i="1"/>
  <c r="S234" i="1"/>
  <c r="T234" i="1"/>
  <c r="L234" i="1"/>
  <c r="O234" i="1"/>
  <c r="P236" i="1"/>
  <c r="K236" i="1"/>
  <c r="AB234" i="1"/>
  <c r="R234" i="1"/>
  <c r="AA234" i="1"/>
  <c r="Q234" i="1"/>
  <c r="U236" i="1"/>
  <c r="Z236" i="1"/>
  <c r="F234" i="1"/>
  <c r="V234" i="1"/>
  <c r="G234" i="1"/>
  <c r="W234" i="1"/>
  <c r="AP234" i="1"/>
  <c r="AQ234" i="1"/>
  <c r="AK234" i="1"/>
  <c r="AL234" i="1"/>
  <c r="AG234" i="1"/>
  <c r="AF234" i="1"/>
  <c r="E235" i="1"/>
  <c r="M235" i="1" s="1"/>
  <c r="H235" i="1"/>
  <c r="D235" i="1"/>
  <c r="L235" i="1" s="1"/>
  <c r="AE236" i="1"/>
  <c r="A237" i="1"/>
  <c r="I237" i="1" s="1"/>
  <c r="J237" i="1" s="1"/>
  <c r="AO236" i="1"/>
  <c r="AJ236" i="1"/>
  <c r="B236" i="1"/>
  <c r="C236" i="1" s="1"/>
  <c r="AH235" i="1" l="1"/>
  <c r="AI235" i="1"/>
  <c r="AC235" i="1"/>
  <c r="AD235" i="1"/>
  <c r="X235" i="1"/>
  <c r="Y235" i="1"/>
  <c r="S235" i="1"/>
  <c r="T235" i="1"/>
  <c r="N235" i="1"/>
  <c r="O235" i="1"/>
  <c r="P237" i="1"/>
  <c r="K237" i="1"/>
  <c r="AA235" i="1"/>
  <c r="Q235" i="1"/>
  <c r="AB235" i="1"/>
  <c r="R235" i="1"/>
  <c r="U237" i="1"/>
  <c r="Z237" i="1"/>
  <c r="F235" i="1"/>
  <c r="V235" i="1"/>
  <c r="G235" i="1"/>
  <c r="W235" i="1"/>
  <c r="AP235" i="1"/>
  <c r="AK235" i="1"/>
  <c r="AQ235" i="1"/>
  <c r="AL235" i="1"/>
  <c r="AG235" i="1"/>
  <c r="AF235" i="1"/>
  <c r="E236" i="1"/>
  <c r="M236" i="1" s="1"/>
  <c r="H236" i="1"/>
  <c r="D236" i="1"/>
  <c r="L236" i="1" s="1"/>
  <c r="A238" i="1"/>
  <c r="I238" i="1" s="1"/>
  <c r="J238" i="1" s="1"/>
  <c r="AO237" i="1"/>
  <c r="AJ237" i="1"/>
  <c r="B237" i="1"/>
  <c r="C237" i="1" s="1"/>
  <c r="AE237" i="1"/>
  <c r="AI236" i="1" l="1"/>
  <c r="AH236" i="1"/>
  <c r="AD236" i="1"/>
  <c r="AC236" i="1"/>
  <c r="X236" i="1"/>
  <c r="Y236" i="1"/>
  <c r="S236" i="1"/>
  <c r="T236" i="1"/>
  <c r="N236" i="1"/>
  <c r="O236" i="1"/>
  <c r="P238" i="1"/>
  <c r="K238" i="1"/>
  <c r="AB236" i="1"/>
  <c r="R236" i="1"/>
  <c r="AA236" i="1"/>
  <c r="Q236" i="1"/>
  <c r="U238" i="1"/>
  <c r="Z238" i="1"/>
  <c r="F236" i="1"/>
  <c r="V236" i="1"/>
  <c r="G236" i="1"/>
  <c r="W236" i="1"/>
  <c r="AP236" i="1"/>
  <c r="AQ236" i="1"/>
  <c r="AL236" i="1"/>
  <c r="AK236" i="1"/>
  <c r="AG236" i="1"/>
  <c r="AF236" i="1"/>
  <c r="E237" i="1"/>
  <c r="M237" i="1" s="1"/>
  <c r="H237" i="1"/>
  <c r="D237" i="1"/>
  <c r="N237" i="1" s="1"/>
  <c r="AE238" i="1"/>
  <c r="A239" i="1"/>
  <c r="I239" i="1" s="1"/>
  <c r="J239" i="1" s="1"/>
  <c r="AO238" i="1"/>
  <c r="AJ238" i="1"/>
  <c r="B238" i="1"/>
  <c r="C238" i="1" s="1"/>
  <c r="AI237" i="1" l="1"/>
  <c r="AH237" i="1"/>
  <c r="AC237" i="1"/>
  <c r="AD237" i="1"/>
  <c r="X237" i="1"/>
  <c r="Y237" i="1"/>
  <c r="S237" i="1"/>
  <c r="T237" i="1"/>
  <c r="L237" i="1"/>
  <c r="O237" i="1"/>
  <c r="P239" i="1"/>
  <c r="K239" i="1"/>
  <c r="AB237" i="1"/>
  <c r="R237" i="1"/>
  <c r="AA237" i="1"/>
  <c r="Q237" i="1"/>
  <c r="U239" i="1"/>
  <c r="Z239" i="1"/>
  <c r="F237" i="1"/>
  <c r="V237" i="1"/>
  <c r="G237" i="1"/>
  <c r="W237" i="1"/>
  <c r="AP237" i="1"/>
  <c r="AQ237" i="1"/>
  <c r="AK237" i="1"/>
  <c r="AL237" i="1"/>
  <c r="AG237" i="1"/>
  <c r="AF237" i="1"/>
  <c r="E238" i="1"/>
  <c r="M238" i="1" s="1"/>
  <c r="H238" i="1"/>
  <c r="D238" i="1"/>
  <c r="L238" i="1" s="1"/>
  <c r="A240" i="1"/>
  <c r="I240" i="1" s="1"/>
  <c r="J240" i="1" s="1"/>
  <c r="AO239" i="1"/>
  <c r="AJ239" i="1"/>
  <c r="B239" i="1"/>
  <c r="C239" i="1" s="1"/>
  <c r="AE239" i="1"/>
  <c r="AI238" i="1" l="1"/>
  <c r="AH238" i="1"/>
  <c r="AD238" i="1"/>
  <c r="AC238" i="1"/>
  <c r="Y238" i="1"/>
  <c r="X238" i="1"/>
  <c r="S238" i="1"/>
  <c r="T238" i="1"/>
  <c r="N238" i="1"/>
  <c r="O238" i="1"/>
  <c r="P240" i="1"/>
  <c r="K240" i="1"/>
  <c r="AA238" i="1"/>
  <c r="Q238" i="1"/>
  <c r="AB238" i="1"/>
  <c r="R238" i="1"/>
  <c r="U240" i="1"/>
  <c r="Z240" i="1"/>
  <c r="F238" i="1"/>
  <c r="V238" i="1"/>
  <c r="G238" i="1"/>
  <c r="W238" i="1"/>
  <c r="AQ238" i="1"/>
  <c r="AP238" i="1"/>
  <c r="AK238" i="1"/>
  <c r="AL238" i="1"/>
  <c r="AF238" i="1"/>
  <c r="AG238" i="1"/>
  <c r="AE240" i="1"/>
  <c r="A241" i="1"/>
  <c r="I241" i="1" s="1"/>
  <c r="J241" i="1" s="1"/>
  <c r="AO240" i="1"/>
  <c r="B240" i="1"/>
  <c r="C240" i="1" s="1"/>
  <c r="AJ240" i="1"/>
  <c r="E239" i="1"/>
  <c r="M239" i="1" s="1"/>
  <c r="H239" i="1"/>
  <c r="D239" i="1"/>
  <c r="Q239" i="1" s="1"/>
  <c r="AH239" i="1" l="1"/>
  <c r="AI239" i="1"/>
  <c r="AC239" i="1"/>
  <c r="AD239" i="1"/>
  <c r="Y239" i="1"/>
  <c r="X239" i="1"/>
  <c r="T239" i="1"/>
  <c r="S239" i="1"/>
  <c r="O239" i="1"/>
  <c r="N239" i="1"/>
  <c r="L239" i="1"/>
  <c r="P241" i="1"/>
  <c r="K241" i="1"/>
  <c r="AA239" i="1"/>
  <c r="AB239" i="1"/>
  <c r="R239" i="1"/>
  <c r="U241" i="1"/>
  <c r="Z241" i="1"/>
  <c r="F239" i="1"/>
  <c r="V239" i="1"/>
  <c r="G239" i="1"/>
  <c r="W239" i="1"/>
  <c r="AP239" i="1"/>
  <c r="AQ239" i="1"/>
  <c r="AK239" i="1"/>
  <c r="AL239" i="1"/>
  <c r="AF239" i="1"/>
  <c r="AG239" i="1"/>
  <c r="E240" i="1"/>
  <c r="M240" i="1" s="1"/>
  <c r="H240" i="1"/>
  <c r="D240" i="1"/>
  <c r="L240" i="1" s="1"/>
  <c r="A242" i="1"/>
  <c r="I242" i="1" s="1"/>
  <c r="J242" i="1" s="1"/>
  <c r="AO241" i="1"/>
  <c r="AJ241" i="1"/>
  <c r="B241" i="1"/>
  <c r="C241" i="1" s="1"/>
  <c r="AE241" i="1"/>
  <c r="AH240" i="1" l="1"/>
  <c r="AI240" i="1"/>
  <c r="AC240" i="1"/>
  <c r="AD240" i="1"/>
  <c r="X240" i="1"/>
  <c r="Y240" i="1"/>
  <c r="S240" i="1"/>
  <c r="T240" i="1"/>
  <c r="N240" i="1"/>
  <c r="O240" i="1"/>
  <c r="P242" i="1"/>
  <c r="K242" i="1"/>
  <c r="AB240" i="1"/>
  <c r="R240" i="1"/>
  <c r="AA240" i="1"/>
  <c r="Q240" i="1"/>
  <c r="U242" i="1"/>
  <c r="Z242" i="1"/>
  <c r="F240" i="1"/>
  <c r="V240" i="1"/>
  <c r="G240" i="1"/>
  <c r="W240" i="1"/>
  <c r="AQ240" i="1"/>
  <c r="AP240" i="1"/>
  <c r="AF240" i="1"/>
  <c r="AG240" i="1"/>
  <c r="AL240" i="1"/>
  <c r="AK240" i="1"/>
  <c r="E241" i="1"/>
  <c r="M241" i="1" s="1"/>
  <c r="D241" i="1"/>
  <c r="N241" i="1" s="1"/>
  <c r="H241" i="1"/>
  <c r="AE242" i="1"/>
  <c r="A243" i="1"/>
  <c r="I243" i="1" s="1"/>
  <c r="J243" i="1" s="1"/>
  <c r="AO242" i="1"/>
  <c r="B242" i="1"/>
  <c r="C242" i="1" s="1"/>
  <c r="AJ242" i="1"/>
  <c r="AH241" i="1" l="1"/>
  <c r="AI241" i="1"/>
  <c r="AC241" i="1"/>
  <c r="AD241" i="1"/>
  <c r="X241" i="1"/>
  <c r="Y241" i="1"/>
  <c r="S241" i="1"/>
  <c r="T241" i="1"/>
  <c r="L241" i="1"/>
  <c r="O241" i="1"/>
  <c r="P243" i="1"/>
  <c r="K243" i="1"/>
  <c r="AB241" i="1"/>
  <c r="R241" i="1"/>
  <c r="AA241" i="1"/>
  <c r="Q241" i="1"/>
  <c r="U243" i="1"/>
  <c r="Z243" i="1"/>
  <c r="F241" i="1"/>
  <c r="V241" i="1"/>
  <c r="G241" i="1"/>
  <c r="W241" i="1"/>
  <c r="AL241" i="1"/>
  <c r="AP241" i="1"/>
  <c r="AQ241" i="1"/>
  <c r="AK241" i="1"/>
  <c r="AF241" i="1"/>
  <c r="AG241" i="1"/>
  <c r="E242" i="1"/>
  <c r="M242" i="1" s="1"/>
  <c r="H242" i="1"/>
  <c r="D242" i="1"/>
  <c r="L242" i="1" s="1"/>
  <c r="A244" i="1"/>
  <c r="I244" i="1" s="1"/>
  <c r="J244" i="1" s="1"/>
  <c r="AO243" i="1"/>
  <c r="AJ243" i="1"/>
  <c r="B243" i="1"/>
  <c r="C243" i="1" s="1"/>
  <c r="AE243" i="1"/>
  <c r="AH242" i="1" l="1"/>
  <c r="AI242" i="1"/>
  <c r="AC242" i="1"/>
  <c r="AD242" i="1"/>
  <c r="X242" i="1"/>
  <c r="Y242" i="1"/>
  <c r="S242" i="1"/>
  <c r="T242" i="1"/>
  <c r="N242" i="1"/>
  <c r="O242" i="1"/>
  <c r="P244" i="1"/>
  <c r="K244" i="1"/>
  <c r="AB242" i="1"/>
  <c r="R242" i="1"/>
  <c r="AA242" i="1"/>
  <c r="Q242" i="1"/>
  <c r="U244" i="1"/>
  <c r="Z244" i="1"/>
  <c r="F242" i="1"/>
  <c r="V242" i="1"/>
  <c r="G242" i="1"/>
  <c r="W242" i="1"/>
  <c r="AP242" i="1"/>
  <c r="AQ242" i="1"/>
  <c r="AK242" i="1"/>
  <c r="AL242" i="1"/>
  <c r="AF242" i="1"/>
  <c r="AG242" i="1"/>
  <c r="E243" i="1"/>
  <c r="M243" i="1" s="1"/>
  <c r="H243" i="1"/>
  <c r="D243" i="1"/>
  <c r="N243" i="1" s="1"/>
  <c r="AE244" i="1"/>
  <c r="A245" i="1"/>
  <c r="I245" i="1" s="1"/>
  <c r="J245" i="1" s="1"/>
  <c r="AO244" i="1"/>
  <c r="AJ244" i="1"/>
  <c r="B244" i="1"/>
  <c r="C244" i="1" s="1"/>
  <c r="AH243" i="1" l="1"/>
  <c r="AI243" i="1"/>
  <c r="AC243" i="1"/>
  <c r="AD243" i="1"/>
  <c r="Y243" i="1"/>
  <c r="S243" i="1"/>
  <c r="X243" i="1"/>
  <c r="T243" i="1"/>
  <c r="L243" i="1"/>
  <c r="O243" i="1"/>
  <c r="P245" i="1"/>
  <c r="K245" i="1"/>
  <c r="AB243" i="1"/>
  <c r="R243" i="1"/>
  <c r="AA243" i="1"/>
  <c r="Q243" i="1"/>
  <c r="U245" i="1"/>
  <c r="Z245" i="1"/>
  <c r="F243" i="1"/>
  <c r="V243" i="1"/>
  <c r="G243" i="1"/>
  <c r="W243" i="1"/>
  <c r="AQ243" i="1"/>
  <c r="AP243" i="1"/>
  <c r="AK243" i="1"/>
  <c r="AL243" i="1"/>
  <c r="AG243" i="1"/>
  <c r="AF243" i="1"/>
  <c r="E244" i="1"/>
  <c r="M244" i="1" s="1"/>
  <c r="H244" i="1"/>
  <c r="D244" i="1"/>
  <c r="L244" i="1" s="1"/>
  <c r="A246" i="1"/>
  <c r="I246" i="1" s="1"/>
  <c r="J246" i="1" s="1"/>
  <c r="AO245" i="1"/>
  <c r="AJ245" i="1"/>
  <c r="B245" i="1"/>
  <c r="C245" i="1" s="1"/>
  <c r="AE245" i="1"/>
  <c r="AH244" i="1" l="1"/>
  <c r="AI244" i="1"/>
  <c r="AC244" i="1"/>
  <c r="AD244" i="1"/>
  <c r="X244" i="1"/>
  <c r="Y244" i="1"/>
  <c r="S244" i="1"/>
  <c r="T244" i="1"/>
  <c r="O244" i="1"/>
  <c r="N244" i="1"/>
  <c r="P246" i="1"/>
  <c r="K246" i="1"/>
  <c r="AA244" i="1"/>
  <c r="Q244" i="1"/>
  <c r="AB244" i="1"/>
  <c r="R244" i="1"/>
  <c r="U246" i="1"/>
  <c r="Z246" i="1"/>
  <c r="F244" i="1"/>
  <c r="V244" i="1"/>
  <c r="G244" i="1"/>
  <c r="W244" i="1"/>
  <c r="AP244" i="1"/>
  <c r="AK244" i="1"/>
  <c r="AQ244" i="1"/>
  <c r="AL244" i="1"/>
  <c r="AF244" i="1"/>
  <c r="AG244" i="1"/>
  <c r="E245" i="1"/>
  <c r="R245" i="1" s="1"/>
  <c r="H245" i="1"/>
  <c r="D245" i="1"/>
  <c r="Q245" i="1" s="1"/>
  <c r="AE246" i="1"/>
  <c r="A247" i="1"/>
  <c r="I247" i="1" s="1"/>
  <c r="J247" i="1" s="1"/>
  <c r="AO246" i="1"/>
  <c r="AJ246" i="1"/>
  <c r="B246" i="1"/>
  <c r="C246" i="1" s="1"/>
  <c r="AH245" i="1" l="1"/>
  <c r="AI245" i="1"/>
  <c r="AC245" i="1"/>
  <c r="AD245" i="1"/>
  <c r="Y245" i="1"/>
  <c r="X245" i="1"/>
  <c r="S245" i="1"/>
  <c r="T245" i="1"/>
  <c r="N245" i="1"/>
  <c r="O245" i="1"/>
  <c r="L245" i="1"/>
  <c r="P247" i="1"/>
  <c r="K247" i="1"/>
  <c r="M245" i="1"/>
  <c r="AA245" i="1"/>
  <c r="AB245" i="1"/>
  <c r="U247" i="1"/>
  <c r="Z247" i="1"/>
  <c r="F245" i="1"/>
  <c r="V245" i="1"/>
  <c r="G245" i="1"/>
  <c r="W245" i="1"/>
  <c r="AP245" i="1"/>
  <c r="AQ245" i="1"/>
  <c r="AK245" i="1"/>
  <c r="AL245" i="1"/>
  <c r="AG245" i="1"/>
  <c r="AF245" i="1"/>
  <c r="E246" i="1"/>
  <c r="M246" i="1" s="1"/>
  <c r="H246" i="1"/>
  <c r="D246" i="1"/>
  <c r="L246" i="1" s="1"/>
  <c r="A248" i="1"/>
  <c r="I248" i="1" s="1"/>
  <c r="J248" i="1" s="1"/>
  <c r="AO247" i="1"/>
  <c r="AJ247" i="1"/>
  <c r="B247" i="1"/>
  <c r="C247" i="1" s="1"/>
  <c r="AE247" i="1"/>
  <c r="AI246" i="1" l="1"/>
  <c r="AH247" i="1"/>
  <c r="AH246" i="1"/>
  <c r="AC246" i="1"/>
  <c r="AD246" i="1"/>
  <c r="Y246" i="1"/>
  <c r="X246" i="1"/>
  <c r="S246" i="1"/>
  <c r="T246" i="1"/>
  <c r="N246" i="1"/>
  <c r="O246" i="1"/>
  <c r="P248" i="1"/>
  <c r="K248" i="1"/>
  <c r="AB246" i="1"/>
  <c r="R246" i="1"/>
  <c r="AA246" i="1"/>
  <c r="Q246" i="1"/>
  <c r="U248" i="1"/>
  <c r="Z248" i="1"/>
  <c r="F246" i="1"/>
  <c r="V246" i="1"/>
  <c r="G246" i="1"/>
  <c r="W246" i="1"/>
  <c r="AP246" i="1"/>
  <c r="AQ246" i="1"/>
  <c r="AL246" i="1"/>
  <c r="AK246" i="1"/>
  <c r="AG246" i="1"/>
  <c r="AF246" i="1"/>
  <c r="AE248" i="1"/>
  <c r="A249" i="1"/>
  <c r="I249" i="1" s="1"/>
  <c r="J249" i="1" s="1"/>
  <c r="AO248" i="1"/>
  <c r="B248" i="1"/>
  <c r="C248" i="1" s="1"/>
  <c r="AJ248" i="1"/>
  <c r="E247" i="1"/>
  <c r="M247" i="1" s="1"/>
  <c r="H247" i="1"/>
  <c r="D247" i="1"/>
  <c r="L247" i="1" s="1"/>
  <c r="AI247" i="1" l="1"/>
  <c r="AC247" i="1"/>
  <c r="AD247" i="1"/>
  <c r="Y247" i="1"/>
  <c r="X247" i="1"/>
  <c r="T247" i="1"/>
  <c r="S247" i="1"/>
  <c r="N247" i="1"/>
  <c r="O247" i="1"/>
  <c r="P249" i="1"/>
  <c r="K249" i="1"/>
  <c r="AB247" i="1"/>
  <c r="R247" i="1"/>
  <c r="AA247" i="1"/>
  <c r="Q247" i="1"/>
  <c r="U249" i="1"/>
  <c r="Z249" i="1"/>
  <c r="F247" i="1"/>
  <c r="V247" i="1"/>
  <c r="G247" i="1"/>
  <c r="W247" i="1"/>
  <c r="AP247" i="1"/>
  <c r="AQ247" i="1"/>
  <c r="AK247" i="1"/>
  <c r="AL247" i="1"/>
  <c r="AG247" i="1"/>
  <c r="AF247" i="1"/>
  <c r="A250" i="1"/>
  <c r="I250" i="1" s="1"/>
  <c r="J250" i="1" s="1"/>
  <c r="AO249" i="1"/>
  <c r="AJ249" i="1"/>
  <c r="B249" i="1"/>
  <c r="C249" i="1" s="1"/>
  <c r="AE249" i="1"/>
  <c r="E248" i="1"/>
  <c r="M248" i="1" s="1"/>
  <c r="H248" i="1"/>
  <c r="D248" i="1"/>
  <c r="L248" i="1" s="1"/>
  <c r="AH248" i="1" l="1"/>
  <c r="AI248" i="1"/>
  <c r="AC248" i="1"/>
  <c r="AD248" i="1"/>
  <c r="Y248" i="1"/>
  <c r="X248" i="1"/>
  <c r="S248" i="1"/>
  <c r="T248" i="1"/>
  <c r="N248" i="1"/>
  <c r="O248" i="1"/>
  <c r="P250" i="1"/>
  <c r="K250" i="1"/>
  <c r="AB248" i="1"/>
  <c r="R248" i="1"/>
  <c r="AA248" i="1"/>
  <c r="Q248" i="1"/>
  <c r="U250" i="1"/>
  <c r="Z250" i="1"/>
  <c r="F248" i="1"/>
  <c r="V248" i="1"/>
  <c r="G248" i="1"/>
  <c r="W248" i="1"/>
  <c r="AP248" i="1"/>
  <c r="AQ248" i="1"/>
  <c r="AK248" i="1"/>
  <c r="AL248" i="1"/>
  <c r="AF248" i="1"/>
  <c r="AG248" i="1"/>
  <c r="E249" i="1"/>
  <c r="M249" i="1" s="1"/>
  <c r="D249" i="1"/>
  <c r="L249" i="1" s="1"/>
  <c r="H249" i="1"/>
  <c r="AE250" i="1"/>
  <c r="A251" i="1"/>
  <c r="I251" i="1" s="1"/>
  <c r="J251" i="1" s="1"/>
  <c r="AO250" i="1"/>
  <c r="B250" i="1"/>
  <c r="C250" i="1" s="1"/>
  <c r="AJ250" i="1"/>
  <c r="AC249" i="1" l="1"/>
  <c r="AH249" i="1"/>
  <c r="AI249" i="1"/>
  <c r="AD249" i="1"/>
  <c r="X249" i="1"/>
  <c r="Y249" i="1"/>
  <c r="S249" i="1"/>
  <c r="T249" i="1"/>
  <c r="N249" i="1"/>
  <c r="O249" i="1"/>
  <c r="P251" i="1"/>
  <c r="K251" i="1"/>
  <c r="AA249" i="1"/>
  <c r="Q249" i="1"/>
  <c r="AB249" i="1"/>
  <c r="R249" i="1"/>
  <c r="U251" i="1"/>
  <c r="Z251" i="1"/>
  <c r="G249" i="1"/>
  <c r="W249" i="1"/>
  <c r="F249" i="1"/>
  <c r="V249" i="1"/>
  <c r="AP249" i="1"/>
  <c r="AQ249" i="1"/>
  <c r="AK249" i="1"/>
  <c r="AL249" i="1"/>
  <c r="AG249" i="1"/>
  <c r="AF249" i="1"/>
  <c r="E250" i="1"/>
  <c r="M250" i="1" s="1"/>
  <c r="H250" i="1"/>
  <c r="D250" i="1"/>
  <c r="L250" i="1" s="1"/>
  <c r="A252" i="1"/>
  <c r="I252" i="1" s="1"/>
  <c r="J252" i="1" s="1"/>
  <c r="AO251" i="1"/>
  <c r="AJ251" i="1"/>
  <c r="B251" i="1"/>
  <c r="C251" i="1" s="1"/>
  <c r="AE251" i="1"/>
  <c r="AI250" i="1" l="1"/>
  <c r="AH250" i="1"/>
  <c r="AC250" i="1"/>
  <c r="AD250" i="1"/>
  <c r="Y250" i="1"/>
  <c r="X250" i="1"/>
  <c r="S250" i="1"/>
  <c r="T250" i="1"/>
  <c r="N250" i="1"/>
  <c r="O250" i="1"/>
  <c r="P252" i="1"/>
  <c r="K252" i="1"/>
  <c r="AA250" i="1"/>
  <c r="Q250" i="1"/>
  <c r="AB250" i="1"/>
  <c r="R250" i="1"/>
  <c r="U252" i="1"/>
  <c r="Z252" i="1"/>
  <c r="F250" i="1"/>
  <c r="V250" i="1"/>
  <c r="G250" i="1"/>
  <c r="W250" i="1"/>
  <c r="AP250" i="1"/>
  <c r="AQ250" i="1"/>
  <c r="AK250" i="1"/>
  <c r="AL250" i="1"/>
  <c r="AF250" i="1"/>
  <c r="AG250" i="1"/>
  <c r="AE252" i="1"/>
  <c r="A253" i="1"/>
  <c r="I253" i="1" s="1"/>
  <c r="J253" i="1" s="1"/>
  <c r="AO252" i="1"/>
  <c r="AJ252" i="1"/>
  <c r="B252" i="1"/>
  <c r="C252" i="1" s="1"/>
  <c r="E251" i="1"/>
  <c r="M251" i="1" s="1"/>
  <c r="H251" i="1"/>
  <c r="D251" i="1"/>
  <c r="L251" i="1" s="1"/>
  <c r="AI251" i="1" l="1"/>
  <c r="AH251" i="1"/>
  <c r="AD251" i="1"/>
  <c r="AC251" i="1"/>
  <c r="X251" i="1"/>
  <c r="Y251" i="1"/>
  <c r="T251" i="1"/>
  <c r="S251" i="1"/>
  <c r="N251" i="1"/>
  <c r="O251" i="1"/>
  <c r="P253" i="1"/>
  <c r="K253" i="1"/>
  <c r="AB251" i="1"/>
  <c r="R251" i="1"/>
  <c r="AA251" i="1"/>
  <c r="Q251" i="1"/>
  <c r="U253" i="1"/>
  <c r="Z253" i="1"/>
  <c r="F251" i="1"/>
  <c r="V251" i="1"/>
  <c r="G251" i="1"/>
  <c r="W251" i="1"/>
  <c r="AP251" i="1"/>
  <c r="AK251" i="1"/>
  <c r="AQ251" i="1"/>
  <c r="AL251" i="1"/>
  <c r="AG251" i="1"/>
  <c r="AF251" i="1"/>
  <c r="A254" i="1"/>
  <c r="I254" i="1" s="1"/>
  <c r="J254" i="1" s="1"/>
  <c r="AO253" i="1"/>
  <c r="AJ253" i="1"/>
  <c r="B253" i="1"/>
  <c r="C253" i="1" s="1"/>
  <c r="AE253" i="1"/>
  <c r="E252" i="1"/>
  <c r="M252" i="1" s="1"/>
  <c r="H252" i="1"/>
  <c r="D252" i="1"/>
  <c r="L252" i="1" s="1"/>
  <c r="AI253" i="1" l="1"/>
  <c r="AD252" i="1"/>
  <c r="AH252" i="1"/>
  <c r="AI252" i="1"/>
  <c r="AC252" i="1"/>
  <c r="X252" i="1"/>
  <c r="Y252" i="1"/>
  <c r="S252" i="1"/>
  <c r="T252" i="1"/>
  <c r="N252" i="1"/>
  <c r="O252" i="1"/>
  <c r="P254" i="1"/>
  <c r="K254" i="1"/>
  <c r="AB252" i="1"/>
  <c r="R252" i="1"/>
  <c r="AA252" i="1"/>
  <c r="Q252" i="1"/>
  <c r="U254" i="1"/>
  <c r="Z254" i="1"/>
  <c r="F252" i="1"/>
  <c r="V252" i="1"/>
  <c r="G252" i="1"/>
  <c r="W252" i="1"/>
  <c r="AP252" i="1"/>
  <c r="AQ252" i="1"/>
  <c r="AK252" i="1"/>
  <c r="AL252" i="1"/>
  <c r="AF252" i="1"/>
  <c r="AG252" i="1"/>
  <c r="E253" i="1"/>
  <c r="M253" i="1" s="1"/>
  <c r="H253" i="1"/>
  <c r="D253" i="1"/>
  <c r="L253" i="1" s="1"/>
  <c r="AE254" i="1"/>
  <c r="A255" i="1"/>
  <c r="I255" i="1" s="1"/>
  <c r="J255" i="1" s="1"/>
  <c r="AO254" i="1"/>
  <c r="AJ254" i="1"/>
  <c r="B254" i="1"/>
  <c r="C254" i="1" s="1"/>
  <c r="AH253" i="1" l="1"/>
  <c r="AC253" i="1"/>
  <c r="AD253" i="1"/>
  <c r="Y253" i="1"/>
  <c r="X253" i="1"/>
  <c r="S253" i="1"/>
  <c r="T253" i="1"/>
  <c r="N253" i="1"/>
  <c r="O253" i="1"/>
  <c r="P255" i="1"/>
  <c r="K255" i="1"/>
  <c r="AB253" i="1"/>
  <c r="R253" i="1"/>
  <c r="AA253" i="1"/>
  <c r="Q253" i="1"/>
  <c r="U255" i="1"/>
  <c r="Z255" i="1"/>
  <c r="G253" i="1"/>
  <c r="W253" i="1"/>
  <c r="F253" i="1"/>
  <c r="V253" i="1"/>
  <c r="AP253" i="1"/>
  <c r="AQ253" i="1"/>
  <c r="AK253" i="1"/>
  <c r="AL253" i="1"/>
  <c r="AF253" i="1"/>
  <c r="AG253" i="1"/>
  <c r="E254" i="1"/>
  <c r="M254" i="1" s="1"/>
  <c r="H254" i="1"/>
  <c r="D254" i="1"/>
  <c r="L254" i="1" s="1"/>
  <c r="A256" i="1"/>
  <c r="I256" i="1" s="1"/>
  <c r="J256" i="1" s="1"/>
  <c r="AO255" i="1"/>
  <c r="AJ255" i="1"/>
  <c r="B255" i="1"/>
  <c r="C255" i="1" s="1"/>
  <c r="AE255" i="1"/>
  <c r="AI254" i="1" l="1"/>
  <c r="AC254" i="1"/>
  <c r="AH254" i="1"/>
  <c r="AD254" i="1"/>
  <c r="Y254" i="1"/>
  <c r="X254" i="1"/>
  <c r="S254" i="1"/>
  <c r="T254" i="1"/>
  <c r="N254" i="1"/>
  <c r="O254" i="1"/>
  <c r="P256" i="1"/>
  <c r="K256" i="1"/>
  <c r="AA254" i="1"/>
  <c r="Q254" i="1"/>
  <c r="AB254" i="1"/>
  <c r="R254" i="1"/>
  <c r="AP254" i="1"/>
  <c r="U256" i="1"/>
  <c r="Z256" i="1"/>
  <c r="F254" i="1"/>
  <c r="V254" i="1"/>
  <c r="G254" i="1"/>
  <c r="W254" i="1"/>
  <c r="AQ254" i="1"/>
  <c r="AK254" i="1"/>
  <c r="AL254" i="1"/>
  <c r="AG254" i="1"/>
  <c r="AF254" i="1"/>
  <c r="E255" i="1"/>
  <c r="M255" i="1" s="1"/>
  <c r="H255" i="1"/>
  <c r="D255" i="1"/>
  <c r="N255" i="1" s="1"/>
  <c r="AE256" i="1"/>
  <c r="A257" i="1"/>
  <c r="I257" i="1" s="1"/>
  <c r="J257" i="1" s="1"/>
  <c r="AO256" i="1"/>
  <c r="B256" i="1"/>
  <c r="C256" i="1" s="1"/>
  <c r="AJ256" i="1"/>
  <c r="AI255" i="1" l="1"/>
  <c r="AC255" i="1"/>
  <c r="AH255" i="1"/>
  <c r="AD255" i="1"/>
  <c r="Y255" i="1"/>
  <c r="S255" i="1"/>
  <c r="X255" i="1"/>
  <c r="T255" i="1"/>
  <c r="L255" i="1"/>
  <c r="O255" i="1"/>
  <c r="P257" i="1"/>
  <c r="K257" i="1"/>
  <c r="AB255" i="1"/>
  <c r="R255" i="1"/>
  <c r="AA255" i="1"/>
  <c r="Q255" i="1"/>
  <c r="U257" i="1"/>
  <c r="Z257" i="1"/>
  <c r="G255" i="1"/>
  <c r="W255" i="1"/>
  <c r="F255" i="1"/>
  <c r="V255" i="1"/>
  <c r="AQ255" i="1"/>
  <c r="AP255" i="1"/>
  <c r="AK255" i="1"/>
  <c r="AL255" i="1"/>
  <c r="AG255" i="1"/>
  <c r="AF255" i="1"/>
  <c r="E256" i="1"/>
  <c r="M256" i="1" s="1"/>
  <c r="H256" i="1"/>
  <c r="D256" i="1"/>
  <c r="L256" i="1" s="1"/>
  <c r="A258" i="1"/>
  <c r="I258" i="1" s="1"/>
  <c r="J258" i="1" s="1"/>
  <c r="AO257" i="1"/>
  <c r="AJ257" i="1"/>
  <c r="B257" i="1"/>
  <c r="C257" i="1" s="1"/>
  <c r="AE257" i="1"/>
  <c r="AI256" i="1" l="1"/>
  <c r="AH256" i="1"/>
  <c r="AC256" i="1"/>
  <c r="AD256" i="1"/>
  <c r="Y256" i="1"/>
  <c r="X256" i="1"/>
  <c r="S256" i="1"/>
  <c r="T256" i="1"/>
  <c r="N256" i="1"/>
  <c r="O256" i="1"/>
  <c r="P258" i="1"/>
  <c r="K258" i="1"/>
  <c r="AA256" i="1"/>
  <c r="Q256" i="1"/>
  <c r="AB256" i="1"/>
  <c r="R256" i="1"/>
  <c r="U258" i="1"/>
  <c r="Z258" i="1"/>
  <c r="G256" i="1"/>
  <c r="W256" i="1"/>
  <c r="F256" i="1"/>
  <c r="V256" i="1"/>
  <c r="AK256" i="1"/>
  <c r="AQ256" i="1"/>
  <c r="AP256" i="1"/>
  <c r="AL256" i="1"/>
  <c r="AG256" i="1"/>
  <c r="AF256" i="1"/>
  <c r="E257" i="1"/>
  <c r="M257" i="1" s="1"/>
  <c r="D257" i="1"/>
  <c r="L257" i="1" s="1"/>
  <c r="H257" i="1"/>
  <c r="AE258" i="1"/>
  <c r="A259" i="1"/>
  <c r="I259" i="1" s="1"/>
  <c r="J259" i="1" s="1"/>
  <c r="AO258" i="1"/>
  <c r="B258" i="1"/>
  <c r="C258" i="1" s="1"/>
  <c r="AJ258" i="1"/>
  <c r="AH257" i="1" l="1"/>
  <c r="AI257" i="1"/>
  <c r="AC257" i="1"/>
  <c r="AD257" i="1"/>
  <c r="X257" i="1"/>
  <c r="Y257" i="1"/>
  <c r="S257" i="1"/>
  <c r="T257" i="1"/>
  <c r="O257" i="1"/>
  <c r="N257" i="1"/>
  <c r="P259" i="1"/>
  <c r="K259" i="1"/>
  <c r="AP257" i="1"/>
  <c r="Q257" i="1"/>
  <c r="AB257" i="1"/>
  <c r="R257" i="1"/>
  <c r="AA257" i="1"/>
  <c r="U259" i="1"/>
  <c r="Z259" i="1"/>
  <c r="F257" i="1"/>
  <c r="V257" i="1"/>
  <c r="G257" i="1"/>
  <c r="W257" i="1"/>
  <c r="AQ257" i="1"/>
  <c r="AK257" i="1"/>
  <c r="AL257" i="1"/>
  <c r="AG257" i="1"/>
  <c r="AF257" i="1"/>
  <c r="E258" i="1"/>
  <c r="M258" i="1" s="1"/>
  <c r="H258" i="1"/>
  <c r="D258" i="1"/>
  <c r="L258" i="1" s="1"/>
  <c r="A260" i="1"/>
  <c r="I260" i="1" s="1"/>
  <c r="J260" i="1" s="1"/>
  <c r="AO259" i="1"/>
  <c r="AJ259" i="1"/>
  <c r="B259" i="1"/>
  <c r="C259" i="1" s="1"/>
  <c r="AE259" i="1"/>
  <c r="AH258" i="1" l="1"/>
  <c r="AI258" i="1"/>
  <c r="AC258" i="1"/>
  <c r="AD258" i="1"/>
  <c r="X258" i="1"/>
  <c r="Y258" i="1"/>
  <c r="S258" i="1"/>
  <c r="T258" i="1"/>
  <c r="N258" i="1"/>
  <c r="O258" i="1"/>
  <c r="P260" i="1"/>
  <c r="K260" i="1"/>
  <c r="AA258" i="1"/>
  <c r="Q258" i="1"/>
  <c r="AB258" i="1"/>
  <c r="R258" i="1"/>
  <c r="U260" i="1"/>
  <c r="Z260" i="1"/>
  <c r="G258" i="1"/>
  <c r="W258" i="1"/>
  <c r="F258" i="1"/>
  <c r="V258" i="1"/>
  <c r="AK258" i="1"/>
  <c r="AP258" i="1"/>
  <c r="AQ258" i="1"/>
  <c r="AL258" i="1"/>
  <c r="AF258" i="1"/>
  <c r="AG258" i="1"/>
  <c r="AE260" i="1"/>
  <c r="A261" i="1"/>
  <c r="I261" i="1" s="1"/>
  <c r="J261" i="1" s="1"/>
  <c r="AO260" i="1"/>
  <c r="AJ260" i="1"/>
  <c r="B260" i="1"/>
  <c r="C260" i="1" s="1"/>
  <c r="E259" i="1"/>
  <c r="M259" i="1" s="1"/>
  <c r="H259" i="1"/>
  <c r="D259" i="1"/>
  <c r="L259" i="1" s="1"/>
  <c r="AH259" i="1" l="1"/>
  <c r="AI259" i="1"/>
  <c r="AC259" i="1"/>
  <c r="AD259" i="1"/>
  <c r="Y259" i="1"/>
  <c r="X259" i="1"/>
  <c r="T259" i="1"/>
  <c r="S259" i="1"/>
  <c r="O259" i="1"/>
  <c r="N259" i="1"/>
  <c r="P261" i="1"/>
  <c r="K261" i="1"/>
  <c r="AB259" i="1"/>
  <c r="R259" i="1"/>
  <c r="AA259" i="1"/>
  <c r="Q259" i="1"/>
  <c r="U261" i="1"/>
  <c r="Z261" i="1"/>
  <c r="F259" i="1"/>
  <c r="V259" i="1"/>
  <c r="G259" i="1"/>
  <c r="W259" i="1"/>
  <c r="AQ259" i="1"/>
  <c r="AP259" i="1"/>
  <c r="AK259" i="1"/>
  <c r="AL259" i="1"/>
  <c r="AG259" i="1"/>
  <c r="AF259" i="1"/>
  <c r="A262" i="1"/>
  <c r="I262" i="1" s="1"/>
  <c r="J262" i="1" s="1"/>
  <c r="AO261" i="1"/>
  <c r="AJ261" i="1"/>
  <c r="B261" i="1"/>
  <c r="C261" i="1" s="1"/>
  <c r="AE261" i="1"/>
  <c r="E260" i="1"/>
  <c r="M260" i="1" s="1"/>
  <c r="H260" i="1"/>
  <c r="D260" i="1"/>
  <c r="L260" i="1" s="1"/>
  <c r="AI260" i="1" l="1"/>
  <c r="AH260" i="1"/>
  <c r="AD260" i="1"/>
  <c r="AC260" i="1"/>
  <c r="X260" i="1"/>
  <c r="Y260" i="1"/>
  <c r="T260" i="1"/>
  <c r="S260" i="1"/>
  <c r="N260" i="1"/>
  <c r="O260" i="1"/>
  <c r="P262" i="1"/>
  <c r="K262" i="1"/>
  <c r="AB260" i="1"/>
  <c r="R260" i="1"/>
  <c r="AA260" i="1"/>
  <c r="Q260" i="1"/>
  <c r="U262" i="1"/>
  <c r="Z262" i="1"/>
  <c r="F260" i="1"/>
  <c r="V260" i="1"/>
  <c r="G260" i="1"/>
  <c r="W260" i="1"/>
  <c r="AP260" i="1"/>
  <c r="AQ260" i="1"/>
  <c r="AK260" i="1"/>
  <c r="AL260" i="1"/>
  <c r="AF260" i="1"/>
  <c r="AG260" i="1"/>
  <c r="E261" i="1"/>
  <c r="M261" i="1" s="1"/>
  <c r="H261" i="1"/>
  <c r="D261" i="1"/>
  <c r="L261" i="1" s="1"/>
  <c r="AE262" i="1"/>
  <c r="A263" i="1"/>
  <c r="I263" i="1" s="1"/>
  <c r="J263" i="1" s="1"/>
  <c r="AO262" i="1"/>
  <c r="AJ262" i="1"/>
  <c r="B262" i="1"/>
  <c r="C262" i="1" s="1"/>
  <c r="AI261" i="1" l="1"/>
  <c r="AH261" i="1"/>
  <c r="AI262" i="1"/>
  <c r="AC261" i="1"/>
  <c r="AD261" i="1"/>
  <c r="X261" i="1"/>
  <c r="Y261" i="1"/>
  <c r="S261" i="1"/>
  <c r="T261" i="1"/>
  <c r="N261" i="1"/>
  <c r="O261" i="1"/>
  <c r="P263" i="1"/>
  <c r="K263" i="1"/>
  <c r="AB261" i="1"/>
  <c r="R261" i="1"/>
  <c r="AA261" i="1"/>
  <c r="Q261" i="1"/>
  <c r="U263" i="1"/>
  <c r="Z263" i="1"/>
  <c r="F261" i="1"/>
  <c r="V261" i="1"/>
  <c r="G261" i="1"/>
  <c r="W261" i="1"/>
  <c r="AP261" i="1"/>
  <c r="AQ261" i="1"/>
  <c r="AL261" i="1"/>
  <c r="AK261" i="1"/>
  <c r="AG261" i="1"/>
  <c r="AF261" i="1"/>
  <c r="E262" i="1"/>
  <c r="M262" i="1" s="1"/>
  <c r="H262" i="1"/>
  <c r="D262" i="1"/>
  <c r="L262" i="1" s="1"/>
  <c r="A264" i="1"/>
  <c r="I264" i="1" s="1"/>
  <c r="J264" i="1" s="1"/>
  <c r="AO263" i="1"/>
  <c r="AJ263" i="1"/>
  <c r="B263" i="1"/>
  <c r="C263" i="1" s="1"/>
  <c r="AE263" i="1"/>
  <c r="AH262" i="1" l="1"/>
  <c r="AC262" i="1"/>
  <c r="AD262" i="1"/>
  <c r="X262" i="1"/>
  <c r="Y262" i="1"/>
  <c r="S262" i="1"/>
  <c r="T262" i="1"/>
  <c r="N262" i="1"/>
  <c r="O262" i="1"/>
  <c r="P264" i="1"/>
  <c r="K264" i="1"/>
  <c r="AA262" i="1"/>
  <c r="Q262" i="1"/>
  <c r="AB262" i="1"/>
  <c r="R262" i="1"/>
  <c r="U264" i="1"/>
  <c r="Z264" i="1"/>
  <c r="F262" i="1"/>
  <c r="V262" i="1"/>
  <c r="G262" i="1"/>
  <c r="W262" i="1"/>
  <c r="AQ262" i="1"/>
  <c r="AP262" i="1"/>
  <c r="AK262" i="1"/>
  <c r="AL262" i="1"/>
  <c r="AG262" i="1"/>
  <c r="AF262" i="1"/>
  <c r="AE264" i="1"/>
  <c r="A265" i="1"/>
  <c r="I265" i="1" s="1"/>
  <c r="J265" i="1" s="1"/>
  <c r="AO264" i="1"/>
  <c r="B264" i="1"/>
  <c r="C264" i="1" s="1"/>
  <c r="AJ264" i="1"/>
  <c r="E263" i="1"/>
  <c r="M263" i="1" s="1"/>
  <c r="H263" i="1"/>
  <c r="D263" i="1"/>
  <c r="Q263" i="1" s="1"/>
  <c r="AH263" i="1" l="1"/>
  <c r="AI263" i="1"/>
  <c r="AC263" i="1"/>
  <c r="AD263" i="1"/>
  <c r="X263" i="1"/>
  <c r="Y263" i="1"/>
  <c r="S263" i="1"/>
  <c r="T263" i="1"/>
  <c r="N263" i="1"/>
  <c r="O263" i="1"/>
  <c r="L263" i="1"/>
  <c r="P265" i="1"/>
  <c r="K265" i="1"/>
  <c r="AA263" i="1"/>
  <c r="AB263" i="1"/>
  <c r="R263" i="1"/>
  <c r="U265" i="1"/>
  <c r="Z265" i="1"/>
  <c r="F263" i="1"/>
  <c r="V263" i="1"/>
  <c r="G263" i="1"/>
  <c r="W263" i="1"/>
  <c r="AP263" i="1"/>
  <c r="AK263" i="1"/>
  <c r="AQ263" i="1"/>
  <c r="AL263" i="1"/>
  <c r="AG263" i="1"/>
  <c r="AF263" i="1"/>
  <c r="E264" i="1"/>
  <c r="M264" i="1" s="1"/>
  <c r="H264" i="1"/>
  <c r="D264" i="1"/>
  <c r="L264" i="1" s="1"/>
  <c r="A266" i="1"/>
  <c r="I266" i="1" s="1"/>
  <c r="J266" i="1" s="1"/>
  <c r="AO265" i="1"/>
  <c r="AJ265" i="1"/>
  <c r="B265" i="1"/>
  <c r="C265" i="1" s="1"/>
  <c r="AE265" i="1"/>
  <c r="AH264" i="1" l="1"/>
  <c r="AI264" i="1"/>
  <c r="AC264" i="1"/>
  <c r="AD264" i="1"/>
  <c r="X264" i="1"/>
  <c r="Y264" i="1"/>
  <c r="S264" i="1"/>
  <c r="T264" i="1"/>
  <c r="N264" i="1"/>
  <c r="O264" i="1"/>
  <c r="P266" i="1"/>
  <c r="K266" i="1"/>
  <c r="AB264" i="1"/>
  <c r="R264" i="1"/>
  <c r="AA264" i="1"/>
  <c r="Q264" i="1"/>
  <c r="U266" i="1"/>
  <c r="Z266" i="1"/>
  <c r="F264" i="1"/>
  <c r="V264" i="1"/>
  <c r="G264" i="1"/>
  <c r="W264" i="1"/>
  <c r="AP264" i="1"/>
  <c r="AQ264" i="1"/>
  <c r="AK264" i="1"/>
  <c r="AL264" i="1"/>
  <c r="AF264" i="1"/>
  <c r="AG264" i="1"/>
  <c r="AE266" i="1"/>
  <c r="A267" i="1"/>
  <c r="I267" i="1" s="1"/>
  <c r="J267" i="1" s="1"/>
  <c r="AO266" i="1"/>
  <c r="B266" i="1"/>
  <c r="C266" i="1" s="1"/>
  <c r="AJ266" i="1"/>
  <c r="E265" i="1"/>
  <c r="M265" i="1" s="1"/>
  <c r="D265" i="1"/>
  <c r="N265" i="1" s="1"/>
  <c r="H265" i="1"/>
  <c r="AI266" i="1" l="1"/>
  <c r="AH265" i="1"/>
  <c r="AI265" i="1"/>
  <c r="AC265" i="1"/>
  <c r="AD265" i="1"/>
  <c r="X265" i="1"/>
  <c r="Y265" i="1"/>
  <c r="S265" i="1"/>
  <c r="T265" i="1"/>
  <c r="L265" i="1"/>
  <c r="O265" i="1"/>
  <c r="P267" i="1"/>
  <c r="K267" i="1"/>
  <c r="AA265" i="1"/>
  <c r="Q265" i="1"/>
  <c r="AB265" i="1"/>
  <c r="R265" i="1"/>
  <c r="U267" i="1"/>
  <c r="Z267" i="1"/>
  <c r="F265" i="1"/>
  <c r="V265" i="1"/>
  <c r="G265" i="1"/>
  <c r="W265" i="1"/>
  <c r="AQ265" i="1"/>
  <c r="AP265" i="1"/>
  <c r="AK265" i="1"/>
  <c r="AL265" i="1"/>
  <c r="AG265" i="1"/>
  <c r="AF265" i="1"/>
  <c r="E266" i="1"/>
  <c r="M266" i="1" s="1"/>
  <c r="H266" i="1"/>
  <c r="D266" i="1"/>
  <c r="N266" i="1" s="1"/>
  <c r="A268" i="1"/>
  <c r="I268" i="1" s="1"/>
  <c r="J268" i="1" s="1"/>
  <c r="AO267" i="1"/>
  <c r="AJ267" i="1"/>
  <c r="B267" i="1"/>
  <c r="C267" i="1" s="1"/>
  <c r="AE267" i="1"/>
  <c r="AH266" i="1" l="1"/>
  <c r="AC266" i="1"/>
  <c r="AD266" i="1"/>
  <c r="X266" i="1"/>
  <c r="Y266" i="1"/>
  <c r="S266" i="1"/>
  <c r="T266" i="1"/>
  <c r="L266" i="1"/>
  <c r="O266" i="1"/>
  <c r="P268" i="1"/>
  <c r="K268" i="1"/>
  <c r="AA266" i="1"/>
  <c r="Q266" i="1"/>
  <c r="AB266" i="1"/>
  <c r="R266" i="1"/>
  <c r="U268" i="1"/>
  <c r="Z268" i="1"/>
  <c r="F266" i="1"/>
  <c r="V266" i="1"/>
  <c r="G266" i="1"/>
  <c r="W266" i="1"/>
  <c r="AP266" i="1"/>
  <c r="AL266" i="1"/>
  <c r="AQ266" i="1"/>
  <c r="AK266" i="1"/>
  <c r="AG266" i="1"/>
  <c r="AF266" i="1"/>
  <c r="E267" i="1"/>
  <c r="R267" i="1" s="1"/>
  <c r="H267" i="1"/>
  <c r="D267" i="1"/>
  <c r="Q267" i="1" s="1"/>
  <c r="AE268" i="1"/>
  <c r="A269" i="1"/>
  <c r="I269" i="1" s="1"/>
  <c r="J269" i="1" s="1"/>
  <c r="AO268" i="1"/>
  <c r="AJ268" i="1"/>
  <c r="B268" i="1"/>
  <c r="C268" i="1" s="1"/>
  <c r="AI267" i="1" l="1"/>
  <c r="AH267" i="1"/>
  <c r="AC267" i="1"/>
  <c r="AD267" i="1"/>
  <c r="X267" i="1"/>
  <c r="Y267" i="1"/>
  <c r="S267" i="1"/>
  <c r="T267" i="1"/>
  <c r="N267" i="1"/>
  <c r="O267" i="1"/>
  <c r="L267" i="1"/>
  <c r="P269" i="1"/>
  <c r="K269" i="1"/>
  <c r="M267" i="1"/>
  <c r="AA267" i="1"/>
  <c r="AB267" i="1"/>
  <c r="U269" i="1"/>
  <c r="Z269" i="1"/>
  <c r="F267" i="1"/>
  <c r="V267" i="1"/>
  <c r="G267" i="1"/>
  <c r="W267" i="1"/>
  <c r="AQ267" i="1"/>
  <c r="AP267" i="1"/>
  <c r="AK267" i="1"/>
  <c r="AL267" i="1"/>
  <c r="AG267" i="1"/>
  <c r="AF267" i="1"/>
  <c r="E268" i="1"/>
  <c r="M268" i="1" s="1"/>
  <c r="H268" i="1"/>
  <c r="D268" i="1"/>
  <c r="L268" i="1" s="1"/>
  <c r="A270" i="1"/>
  <c r="I270" i="1" s="1"/>
  <c r="J270" i="1" s="1"/>
  <c r="AO269" i="1"/>
  <c r="AJ269" i="1"/>
  <c r="B269" i="1"/>
  <c r="C269" i="1" s="1"/>
  <c r="AE269" i="1"/>
  <c r="AI268" i="1" l="1"/>
  <c r="AH268" i="1"/>
  <c r="AC268" i="1"/>
  <c r="AD268" i="1"/>
  <c r="X268" i="1"/>
  <c r="Y268" i="1"/>
  <c r="S268" i="1"/>
  <c r="T268" i="1"/>
  <c r="N268" i="1"/>
  <c r="O268" i="1"/>
  <c r="P270" i="1"/>
  <c r="K270" i="1"/>
  <c r="AB268" i="1"/>
  <c r="R268" i="1"/>
  <c r="AA268" i="1"/>
  <c r="Q268" i="1"/>
  <c r="U270" i="1"/>
  <c r="Z270" i="1"/>
  <c r="F268" i="1"/>
  <c r="V268" i="1"/>
  <c r="G268" i="1"/>
  <c r="W268" i="1"/>
  <c r="AP268" i="1"/>
  <c r="AQ268" i="1"/>
  <c r="AK268" i="1"/>
  <c r="AL268" i="1"/>
  <c r="AF268" i="1"/>
  <c r="AG268" i="1"/>
  <c r="E269" i="1"/>
  <c r="M269" i="1" s="1"/>
  <c r="H269" i="1"/>
  <c r="D269" i="1"/>
  <c r="N269" i="1" s="1"/>
  <c r="AE270" i="1"/>
  <c r="A271" i="1"/>
  <c r="I271" i="1" s="1"/>
  <c r="J271" i="1" s="1"/>
  <c r="AO270" i="1"/>
  <c r="AJ270" i="1"/>
  <c r="B270" i="1"/>
  <c r="C270" i="1" s="1"/>
  <c r="AI269" i="1" l="1"/>
  <c r="AH269" i="1"/>
  <c r="AC269" i="1"/>
  <c r="AD269" i="1"/>
  <c r="X269" i="1"/>
  <c r="Y269" i="1"/>
  <c r="S269" i="1"/>
  <c r="T269" i="1"/>
  <c r="L269" i="1"/>
  <c r="O269" i="1"/>
  <c r="P271" i="1"/>
  <c r="K271" i="1"/>
  <c r="AA269" i="1"/>
  <c r="Q269" i="1"/>
  <c r="AB269" i="1"/>
  <c r="R269" i="1"/>
  <c r="U271" i="1"/>
  <c r="Z271" i="1"/>
  <c r="F269" i="1"/>
  <c r="V269" i="1"/>
  <c r="G269" i="1"/>
  <c r="W269" i="1"/>
  <c r="AQ269" i="1"/>
  <c r="AP269" i="1"/>
  <c r="AK269" i="1"/>
  <c r="AL269" i="1"/>
  <c r="AF269" i="1"/>
  <c r="AG269" i="1"/>
  <c r="E270" i="1"/>
  <c r="M270" i="1" s="1"/>
  <c r="H270" i="1"/>
  <c r="D270" i="1"/>
  <c r="L270" i="1" s="1"/>
  <c r="A272" i="1"/>
  <c r="I272" i="1" s="1"/>
  <c r="J272" i="1" s="1"/>
  <c r="AO271" i="1"/>
  <c r="AJ271" i="1"/>
  <c r="B271" i="1"/>
  <c r="C271" i="1" s="1"/>
  <c r="AE271" i="1"/>
  <c r="AI270" i="1" l="1"/>
  <c r="AH270" i="1"/>
  <c r="AC270" i="1"/>
  <c r="AD270" i="1"/>
  <c r="Y270" i="1"/>
  <c r="X270" i="1"/>
  <c r="S270" i="1"/>
  <c r="T270" i="1"/>
  <c r="N270" i="1"/>
  <c r="O270" i="1"/>
  <c r="P272" i="1"/>
  <c r="K272" i="1"/>
  <c r="AA270" i="1"/>
  <c r="Q270" i="1"/>
  <c r="AB270" i="1"/>
  <c r="R270" i="1"/>
  <c r="U272" i="1"/>
  <c r="Z272" i="1"/>
  <c r="F270" i="1"/>
  <c r="V270" i="1"/>
  <c r="G270" i="1"/>
  <c r="W270" i="1"/>
  <c r="AP270" i="1"/>
  <c r="AQ270" i="1"/>
  <c r="AK270" i="1"/>
  <c r="AL270" i="1"/>
  <c r="AG270" i="1"/>
  <c r="AF270" i="1"/>
  <c r="E271" i="1"/>
  <c r="O271" i="1" s="1"/>
  <c r="H271" i="1"/>
  <c r="D271" i="1"/>
  <c r="N271" i="1" s="1"/>
  <c r="AE272" i="1"/>
  <c r="A273" i="1"/>
  <c r="I273" i="1" s="1"/>
  <c r="J273" i="1" s="1"/>
  <c r="AO272" i="1"/>
  <c r="B272" i="1"/>
  <c r="C272" i="1" s="1"/>
  <c r="AJ272" i="1"/>
  <c r="AI271" i="1" l="1"/>
  <c r="AH271" i="1"/>
  <c r="AD271" i="1"/>
  <c r="AC271" i="1"/>
  <c r="Y271" i="1"/>
  <c r="S271" i="1"/>
  <c r="X271" i="1"/>
  <c r="T271" i="1"/>
  <c r="L271" i="1"/>
  <c r="M271" i="1"/>
  <c r="P273" i="1"/>
  <c r="K273" i="1"/>
  <c r="AA271" i="1"/>
  <c r="Q271" i="1"/>
  <c r="AB271" i="1"/>
  <c r="R271" i="1"/>
  <c r="U273" i="1"/>
  <c r="Z273" i="1"/>
  <c r="F271" i="1"/>
  <c r="V271" i="1"/>
  <c r="G271" i="1"/>
  <c r="W271" i="1"/>
  <c r="AP271" i="1"/>
  <c r="AQ271" i="1"/>
  <c r="AK271" i="1"/>
  <c r="AL271" i="1"/>
  <c r="AG271" i="1"/>
  <c r="AF271" i="1"/>
  <c r="E272" i="1"/>
  <c r="M272" i="1" s="1"/>
  <c r="H272" i="1"/>
  <c r="D272" i="1"/>
  <c r="L272" i="1" s="1"/>
  <c r="A274" i="1"/>
  <c r="I274" i="1" s="1"/>
  <c r="J274" i="1" s="1"/>
  <c r="AO273" i="1"/>
  <c r="AJ273" i="1"/>
  <c r="B273" i="1"/>
  <c r="C273" i="1" s="1"/>
  <c r="AE273" i="1"/>
  <c r="AH272" i="1" l="1"/>
  <c r="AI272" i="1"/>
  <c r="AC272" i="1"/>
  <c r="AD272" i="1"/>
  <c r="X272" i="1"/>
  <c r="Y272" i="1"/>
  <c r="S272" i="1"/>
  <c r="T272" i="1"/>
  <c r="O272" i="1"/>
  <c r="N272" i="1"/>
  <c r="P274" i="1"/>
  <c r="K274" i="1"/>
  <c r="AB272" i="1"/>
  <c r="R272" i="1"/>
  <c r="AA272" i="1"/>
  <c r="Q272" i="1"/>
  <c r="U274" i="1"/>
  <c r="Z274" i="1"/>
  <c r="F272" i="1"/>
  <c r="V272" i="1"/>
  <c r="G272" i="1"/>
  <c r="W272" i="1"/>
  <c r="AQ272" i="1"/>
  <c r="AP272" i="1"/>
  <c r="AK272" i="1"/>
  <c r="AL272" i="1"/>
  <c r="AG272" i="1"/>
  <c r="AF272" i="1"/>
  <c r="AE274" i="1"/>
  <c r="A275" i="1"/>
  <c r="I275" i="1" s="1"/>
  <c r="J275" i="1" s="1"/>
  <c r="AO274" i="1"/>
  <c r="B274" i="1"/>
  <c r="C274" i="1" s="1"/>
  <c r="AJ274" i="1"/>
  <c r="E273" i="1"/>
  <c r="M273" i="1" s="1"/>
  <c r="D273" i="1"/>
  <c r="L273" i="1" s="1"/>
  <c r="H273" i="1"/>
  <c r="AH273" i="1" l="1"/>
  <c r="AI273" i="1"/>
  <c r="AC273" i="1"/>
  <c r="AD273" i="1"/>
  <c r="X273" i="1"/>
  <c r="Y273" i="1"/>
  <c r="T273" i="1"/>
  <c r="S273" i="1"/>
  <c r="N273" i="1"/>
  <c r="O273" i="1"/>
  <c r="P275" i="1"/>
  <c r="K275" i="1"/>
  <c r="AA273" i="1"/>
  <c r="Q273" i="1"/>
  <c r="AB273" i="1"/>
  <c r="R273" i="1"/>
  <c r="U275" i="1"/>
  <c r="Z275" i="1"/>
  <c r="F273" i="1"/>
  <c r="V273" i="1"/>
  <c r="G273" i="1"/>
  <c r="W273" i="1"/>
  <c r="AQ273" i="1"/>
  <c r="AP273" i="1"/>
  <c r="AL273" i="1"/>
  <c r="AK273" i="1"/>
  <c r="AG273" i="1"/>
  <c r="AF273" i="1"/>
  <c r="A276" i="1"/>
  <c r="I276" i="1" s="1"/>
  <c r="J276" i="1" s="1"/>
  <c r="AO275" i="1"/>
  <c r="AJ275" i="1"/>
  <c r="B275" i="1"/>
  <c r="C275" i="1" s="1"/>
  <c r="AE275" i="1"/>
  <c r="E274" i="1"/>
  <c r="M274" i="1" s="1"/>
  <c r="H274" i="1"/>
  <c r="D274" i="1"/>
  <c r="Q274" i="1" s="1"/>
  <c r="AH274" i="1" l="1"/>
  <c r="AI274" i="1"/>
  <c r="AC274" i="1"/>
  <c r="AD274" i="1"/>
  <c r="X274" i="1"/>
  <c r="Y274" i="1"/>
  <c r="S274" i="1"/>
  <c r="T274" i="1"/>
  <c r="N274" i="1"/>
  <c r="O274" i="1"/>
  <c r="L274" i="1"/>
  <c r="P276" i="1"/>
  <c r="K276" i="1"/>
  <c r="AB274" i="1"/>
  <c r="R274" i="1"/>
  <c r="AA274" i="1"/>
  <c r="U276" i="1"/>
  <c r="Z276" i="1"/>
  <c r="F274" i="1"/>
  <c r="V274" i="1"/>
  <c r="G274" i="1"/>
  <c r="W274" i="1"/>
  <c r="AP274" i="1"/>
  <c r="AK274" i="1"/>
  <c r="AQ274" i="1"/>
  <c r="AL274" i="1"/>
  <c r="AF274" i="1"/>
  <c r="AG274" i="1"/>
  <c r="E275" i="1"/>
  <c r="M275" i="1" s="1"/>
  <c r="H275" i="1"/>
  <c r="D275" i="1"/>
  <c r="L275" i="1" s="1"/>
  <c r="AE276" i="1"/>
  <c r="A277" i="1"/>
  <c r="I277" i="1" s="1"/>
  <c r="J277" i="1" s="1"/>
  <c r="AO276" i="1"/>
  <c r="AJ276" i="1"/>
  <c r="B276" i="1"/>
  <c r="C276" i="1" s="1"/>
  <c r="AH275" i="1" l="1"/>
  <c r="AI275" i="1"/>
  <c r="AC275" i="1"/>
  <c r="AD275" i="1"/>
  <c r="X275" i="1"/>
  <c r="Y275" i="1"/>
  <c r="S275" i="1"/>
  <c r="T275" i="1"/>
  <c r="N275" i="1"/>
  <c r="O275" i="1"/>
  <c r="P277" i="1"/>
  <c r="K277" i="1"/>
  <c r="AP275" i="1"/>
  <c r="Q275" i="1"/>
  <c r="AB275" i="1"/>
  <c r="R275" i="1"/>
  <c r="AA275" i="1"/>
  <c r="U277" i="1"/>
  <c r="Z277" i="1"/>
  <c r="G275" i="1"/>
  <c r="W275" i="1"/>
  <c r="F275" i="1"/>
  <c r="V275" i="1"/>
  <c r="AQ275" i="1"/>
  <c r="AL275" i="1"/>
  <c r="AK275" i="1"/>
  <c r="AG275" i="1"/>
  <c r="AF275" i="1"/>
  <c r="E276" i="1"/>
  <c r="M276" i="1" s="1"/>
  <c r="H276" i="1"/>
  <c r="D276" i="1"/>
  <c r="L276" i="1" s="1"/>
  <c r="A278" i="1"/>
  <c r="I278" i="1" s="1"/>
  <c r="J278" i="1" s="1"/>
  <c r="AO277" i="1"/>
  <c r="AJ277" i="1"/>
  <c r="B277" i="1"/>
  <c r="C277" i="1" s="1"/>
  <c r="AE277" i="1"/>
  <c r="AH276" i="1" l="1"/>
  <c r="AI276" i="1"/>
  <c r="AC276" i="1"/>
  <c r="AD276" i="1"/>
  <c r="X276" i="1"/>
  <c r="Y276" i="1"/>
  <c r="S276" i="1"/>
  <c r="T276" i="1"/>
  <c r="N276" i="1"/>
  <c r="O276" i="1"/>
  <c r="P278" i="1"/>
  <c r="K278" i="1"/>
  <c r="AB276" i="1"/>
  <c r="R276" i="1"/>
  <c r="AA276" i="1"/>
  <c r="Q276" i="1"/>
  <c r="U278" i="1"/>
  <c r="Z278" i="1"/>
  <c r="F276" i="1"/>
  <c r="V276" i="1"/>
  <c r="G276" i="1"/>
  <c r="W276" i="1"/>
  <c r="AP276" i="1"/>
  <c r="AQ276" i="1"/>
  <c r="AK276" i="1"/>
  <c r="AL276" i="1"/>
  <c r="AG276" i="1"/>
  <c r="AF276" i="1"/>
  <c r="E277" i="1"/>
  <c r="M277" i="1" s="1"/>
  <c r="H277" i="1"/>
  <c r="D277" i="1"/>
  <c r="L277" i="1" s="1"/>
  <c r="AE278" i="1"/>
  <c r="A279" i="1"/>
  <c r="I279" i="1" s="1"/>
  <c r="J279" i="1" s="1"/>
  <c r="AO278" i="1"/>
  <c r="AJ278" i="1"/>
  <c r="B278" i="1"/>
  <c r="C278" i="1" s="1"/>
  <c r="AH277" i="1" l="1"/>
  <c r="AI277" i="1"/>
  <c r="AI278" i="1"/>
  <c r="AC277" i="1"/>
  <c r="AD277" i="1"/>
  <c r="X277" i="1"/>
  <c r="Y277" i="1"/>
  <c r="S277" i="1"/>
  <c r="T277" i="1"/>
  <c r="N277" i="1"/>
  <c r="O277" i="1"/>
  <c r="P279" i="1"/>
  <c r="K279" i="1"/>
  <c r="AB277" i="1"/>
  <c r="R277" i="1"/>
  <c r="AA277" i="1"/>
  <c r="Q277" i="1"/>
  <c r="U279" i="1"/>
  <c r="Z279" i="1"/>
  <c r="F277" i="1"/>
  <c r="V277" i="1"/>
  <c r="G277" i="1"/>
  <c r="W277" i="1"/>
  <c r="AP277" i="1"/>
  <c r="AQ277" i="1"/>
  <c r="AK277" i="1"/>
  <c r="AL277" i="1"/>
  <c r="AG277" i="1"/>
  <c r="AF277" i="1"/>
  <c r="E278" i="1"/>
  <c r="M278" i="1" s="1"/>
  <c r="H278" i="1"/>
  <c r="D278" i="1"/>
  <c r="L278" i="1" s="1"/>
  <c r="A280" i="1"/>
  <c r="I280" i="1" s="1"/>
  <c r="J280" i="1" s="1"/>
  <c r="AO279" i="1"/>
  <c r="AJ279" i="1"/>
  <c r="B279" i="1"/>
  <c r="C279" i="1" s="1"/>
  <c r="AE279" i="1"/>
  <c r="AH278" i="1" l="1"/>
  <c r="AD278" i="1"/>
  <c r="AC278" i="1"/>
  <c r="X278" i="1"/>
  <c r="Y278" i="1"/>
  <c r="S278" i="1"/>
  <c r="T278" i="1"/>
  <c r="N278" i="1"/>
  <c r="O278" i="1"/>
  <c r="P280" i="1"/>
  <c r="K280" i="1"/>
  <c r="AB278" i="1"/>
  <c r="R278" i="1"/>
  <c r="AA278" i="1"/>
  <c r="Q278" i="1"/>
  <c r="U280" i="1"/>
  <c r="Z280" i="1"/>
  <c r="F278" i="1"/>
  <c r="V278" i="1"/>
  <c r="G278" i="1"/>
  <c r="W278" i="1"/>
  <c r="AP278" i="1"/>
  <c r="AQ278" i="1"/>
  <c r="AK278" i="1"/>
  <c r="AL278" i="1"/>
  <c r="AF278" i="1"/>
  <c r="AG278" i="1"/>
  <c r="AE280" i="1"/>
  <c r="A281" i="1"/>
  <c r="I281" i="1" s="1"/>
  <c r="J281" i="1" s="1"/>
  <c r="AO280" i="1"/>
  <c r="B280" i="1"/>
  <c r="C280" i="1" s="1"/>
  <c r="AJ280" i="1"/>
  <c r="E279" i="1"/>
  <c r="M279" i="1" s="1"/>
  <c r="H279" i="1"/>
  <c r="D279" i="1"/>
  <c r="Q279" i="1" s="1"/>
  <c r="AH279" i="1" l="1"/>
  <c r="AI279" i="1"/>
  <c r="AC279" i="1"/>
  <c r="AD279" i="1"/>
  <c r="X279" i="1"/>
  <c r="Y279" i="1"/>
  <c r="T279" i="1"/>
  <c r="S279" i="1"/>
  <c r="N279" i="1"/>
  <c r="O279" i="1"/>
  <c r="L279" i="1"/>
  <c r="P281" i="1"/>
  <c r="K281" i="1"/>
  <c r="AB279" i="1"/>
  <c r="R279" i="1"/>
  <c r="AA279" i="1"/>
  <c r="U281" i="1"/>
  <c r="Z281" i="1"/>
  <c r="F279" i="1"/>
  <c r="V279" i="1"/>
  <c r="G279" i="1"/>
  <c r="W279" i="1"/>
  <c r="AP279" i="1"/>
  <c r="AQ279" i="1"/>
  <c r="AK279" i="1"/>
  <c r="AL279" i="1"/>
  <c r="AG279" i="1"/>
  <c r="AF279" i="1"/>
  <c r="E280" i="1"/>
  <c r="M280" i="1" s="1"/>
  <c r="H280" i="1"/>
  <c r="D280" i="1"/>
  <c r="L280" i="1" s="1"/>
  <c r="A282" i="1"/>
  <c r="I282" i="1" s="1"/>
  <c r="J282" i="1" s="1"/>
  <c r="AO281" i="1"/>
  <c r="AJ281" i="1"/>
  <c r="B281" i="1"/>
  <c r="C281" i="1" s="1"/>
  <c r="AE281" i="1"/>
  <c r="AH280" i="1" l="1"/>
  <c r="AI280" i="1"/>
  <c r="AC280" i="1"/>
  <c r="AD280" i="1"/>
  <c r="X280" i="1"/>
  <c r="Y280" i="1"/>
  <c r="S280" i="1"/>
  <c r="T280" i="1"/>
  <c r="N280" i="1"/>
  <c r="O280" i="1"/>
  <c r="P282" i="1"/>
  <c r="K282" i="1"/>
  <c r="AA280" i="1"/>
  <c r="Q280" i="1"/>
  <c r="AB280" i="1"/>
  <c r="R280" i="1"/>
  <c r="U282" i="1"/>
  <c r="Z282" i="1"/>
  <c r="F280" i="1"/>
  <c r="V280" i="1"/>
  <c r="G280" i="1"/>
  <c r="W280" i="1"/>
  <c r="AP280" i="1"/>
  <c r="AQ280" i="1"/>
  <c r="AK280" i="1"/>
  <c r="AL280" i="1"/>
  <c r="AG280" i="1"/>
  <c r="AF280" i="1"/>
  <c r="AE282" i="1"/>
  <c r="A283" i="1"/>
  <c r="I283" i="1" s="1"/>
  <c r="J283" i="1" s="1"/>
  <c r="AO282" i="1"/>
  <c r="B282" i="1"/>
  <c r="C282" i="1" s="1"/>
  <c r="AJ282" i="1"/>
  <c r="E281" i="1"/>
  <c r="O281" i="1" s="1"/>
  <c r="D281" i="1"/>
  <c r="N281" i="1" s="1"/>
  <c r="H281" i="1"/>
  <c r="AH281" i="1" l="1"/>
  <c r="AI281" i="1"/>
  <c r="AC281" i="1"/>
  <c r="AD281" i="1"/>
  <c r="Y281" i="1"/>
  <c r="X281" i="1"/>
  <c r="T281" i="1"/>
  <c r="S281" i="1"/>
  <c r="L281" i="1"/>
  <c r="M281" i="1"/>
  <c r="P283" i="1"/>
  <c r="K283" i="1"/>
  <c r="AA281" i="1"/>
  <c r="Q281" i="1"/>
  <c r="AB281" i="1"/>
  <c r="R281" i="1"/>
  <c r="U283" i="1"/>
  <c r="Z283" i="1"/>
  <c r="F281" i="1"/>
  <c r="V281" i="1"/>
  <c r="G281" i="1"/>
  <c r="W281" i="1"/>
  <c r="AQ281" i="1"/>
  <c r="AK281" i="1"/>
  <c r="AP281" i="1"/>
  <c r="AL281" i="1"/>
  <c r="AG281" i="1"/>
  <c r="AF281" i="1"/>
  <c r="A284" i="1"/>
  <c r="I284" i="1" s="1"/>
  <c r="J284" i="1" s="1"/>
  <c r="AO283" i="1"/>
  <c r="AJ283" i="1"/>
  <c r="B283" i="1"/>
  <c r="C283" i="1" s="1"/>
  <c r="AE283" i="1"/>
  <c r="E282" i="1"/>
  <c r="M282" i="1" s="1"/>
  <c r="H282" i="1"/>
  <c r="D282" i="1"/>
  <c r="Q282" i="1" s="1"/>
  <c r="AH282" i="1" l="1"/>
  <c r="AI282" i="1"/>
  <c r="AC282" i="1"/>
  <c r="AD282" i="1"/>
  <c r="Y282" i="1"/>
  <c r="X282" i="1"/>
  <c r="S282" i="1"/>
  <c r="T282" i="1"/>
  <c r="N282" i="1"/>
  <c r="O282" i="1"/>
  <c r="L282" i="1"/>
  <c r="P284" i="1"/>
  <c r="K284" i="1"/>
  <c r="AA282" i="1"/>
  <c r="AB282" i="1"/>
  <c r="R282" i="1"/>
  <c r="U284" i="1"/>
  <c r="Z284" i="1"/>
  <c r="F282" i="1"/>
  <c r="V282" i="1"/>
  <c r="G282" i="1"/>
  <c r="W282" i="1"/>
  <c r="AP282" i="1"/>
  <c r="AK282" i="1"/>
  <c r="AQ282" i="1"/>
  <c r="AL282" i="1"/>
  <c r="AF282" i="1"/>
  <c r="AG282" i="1"/>
  <c r="E283" i="1"/>
  <c r="M283" i="1" s="1"/>
  <c r="H283" i="1"/>
  <c r="D283" i="1"/>
  <c r="L283" i="1" s="1"/>
  <c r="AE284" i="1"/>
  <c r="A285" i="1"/>
  <c r="I285" i="1" s="1"/>
  <c r="J285" i="1" s="1"/>
  <c r="AO284" i="1"/>
  <c r="AJ284" i="1"/>
  <c r="B284" i="1"/>
  <c r="C284" i="1" s="1"/>
  <c r="AH283" i="1" l="1"/>
  <c r="AI283" i="1"/>
  <c r="AC283" i="1"/>
  <c r="AD283" i="1"/>
  <c r="X283" i="1"/>
  <c r="Y283" i="1"/>
  <c r="S283" i="1"/>
  <c r="T283" i="1"/>
  <c r="N283" i="1"/>
  <c r="O283" i="1"/>
  <c r="P285" i="1"/>
  <c r="K285" i="1"/>
  <c r="AA283" i="1"/>
  <c r="Q283" i="1"/>
  <c r="AB283" i="1"/>
  <c r="R283" i="1"/>
  <c r="U285" i="1"/>
  <c r="Z285" i="1"/>
  <c r="F283" i="1"/>
  <c r="V283" i="1"/>
  <c r="G283" i="1"/>
  <c r="W283" i="1"/>
  <c r="AP283" i="1"/>
  <c r="AQ283" i="1"/>
  <c r="AK283" i="1"/>
  <c r="AL283" i="1"/>
  <c r="AG283" i="1"/>
  <c r="AF283" i="1"/>
  <c r="E284" i="1"/>
  <c r="R284" i="1" s="1"/>
  <c r="H284" i="1"/>
  <c r="D284" i="1"/>
  <c r="Q284" i="1" s="1"/>
  <c r="A286" i="1"/>
  <c r="I286" i="1" s="1"/>
  <c r="J286" i="1" s="1"/>
  <c r="AO285" i="1"/>
  <c r="AJ285" i="1"/>
  <c r="B285" i="1"/>
  <c r="C285" i="1" s="1"/>
  <c r="AE285" i="1"/>
  <c r="AH284" i="1" l="1"/>
  <c r="AI284" i="1"/>
  <c r="AC284" i="1"/>
  <c r="AD284" i="1"/>
  <c r="Y284" i="1"/>
  <c r="X284" i="1"/>
  <c r="S284" i="1"/>
  <c r="T284" i="1"/>
  <c r="N284" i="1"/>
  <c r="O284" i="1"/>
  <c r="M284" i="1"/>
  <c r="P286" i="1"/>
  <c r="K286" i="1"/>
  <c r="L284" i="1"/>
  <c r="AA284" i="1"/>
  <c r="AB284" i="1"/>
  <c r="U286" i="1"/>
  <c r="Z286" i="1"/>
  <c r="F284" i="1"/>
  <c r="V284" i="1"/>
  <c r="G284" i="1"/>
  <c r="W284" i="1"/>
  <c r="AQ284" i="1"/>
  <c r="AP284" i="1"/>
  <c r="AL284" i="1"/>
  <c r="AK284" i="1"/>
  <c r="AG284" i="1"/>
  <c r="AF284" i="1"/>
  <c r="E285" i="1"/>
  <c r="M285" i="1" s="1"/>
  <c r="H285" i="1"/>
  <c r="D285" i="1"/>
  <c r="N285" i="1" s="1"/>
  <c r="AE286" i="1"/>
  <c r="A287" i="1"/>
  <c r="I287" i="1" s="1"/>
  <c r="J287" i="1" s="1"/>
  <c r="AO286" i="1"/>
  <c r="AJ286" i="1"/>
  <c r="B286" i="1"/>
  <c r="C286" i="1" s="1"/>
  <c r="AH285" i="1" l="1"/>
  <c r="AI285" i="1"/>
  <c r="AC285" i="1"/>
  <c r="AD285" i="1"/>
  <c r="X285" i="1"/>
  <c r="Y285" i="1"/>
  <c r="S285" i="1"/>
  <c r="T285" i="1"/>
  <c r="L285" i="1"/>
  <c r="O285" i="1"/>
  <c r="P287" i="1"/>
  <c r="K287" i="1"/>
  <c r="AB285" i="1"/>
  <c r="R285" i="1"/>
  <c r="AA285" i="1"/>
  <c r="Q285" i="1"/>
  <c r="U287" i="1"/>
  <c r="Z287" i="1"/>
  <c r="F285" i="1"/>
  <c r="V285" i="1"/>
  <c r="G285" i="1"/>
  <c r="W285" i="1"/>
  <c r="AP285" i="1"/>
  <c r="AQ285" i="1"/>
  <c r="AK285" i="1"/>
  <c r="AL285" i="1"/>
  <c r="AG285" i="1"/>
  <c r="AF285" i="1"/>
  <c r="E286" i="1"/>
  <c r="M286" i="1" s="1"/>
  <c r="H286" i="1"/>
  <c r="D286" i="1"/>
  <c r="L286" i="1" s="1"/>
  <c r="A288" i="1"/>
  <c r="I288" i="1" s="1"/>
  <c r="J288" i="1" s="1"/>
  <c r="AO287" i="1"/>
  <c r="AJ287" i="1"/>
  <c r="B287" i="1"/>
  <c r="C287" i="1" s="1"/>
  <c r="AE287" i="1"/>
  <c r="AH286" i="1" l="1"/>
  <c r="AI286" i="1"/>
  <c r="AC286" i="1"/>
  <c r="AD286" i="1"/>
  <c r="X286" i="1"/>
  <c r="Y286" i="1"/>
  <c r="S286" i="1"/>
  <c r="T286" i="1"/>
  <c r="O286" i="1"/>
  <c r="N286" i="1"/>
  <c r="P288" i="1"/>
  <c r="K288" i="1"/>
  <c r="AA286" i="1"/>
  <c r="Q286" i="1"/>
  <c r="AB286" i="1"/>
  <c r="R286" i="1"/>
  <c r="U288" i="1"/>
  <c r="Z288" i="1"/>
  <c r="F286" i="1"/>
  <c r="V286" i="1"/>
  <c r="G286" i="1"/>
  <c r="W286" i="1"/>
  <c r="AP286" i="1"/>
  <c r="AQ286" i="1"/>
  <c r="AK286" i="1"/>
  <c r="AL286" i="1"/>
  <c r="AF286" i="1"/>
  <c r="AG286" i="1"/>
  <c r="E287" i="1"/>
  <c r="M287" i="1" s="1"/>
  <c r="H287" i="1"/>
  <c r="D287" i="1"/>
  <c r="N287" i="1" s="1"/>
  <c r="AE288" i="1"/>
  <c r="A289" i="1"/>
  <c r="I289" i="1" s="1"/>
  <c r="J289" i="1" s="1"/>
  <c r="AO288" i="1"/>
  <c r="B288" i="1"/>
  <c r="C288" i="1" s="1"/>
  <c r="AJ288" i="1"/>
  <c r="AH287" i="1" l="1"/>
  <c r="AI287" i="1"/>
  <c r="AC287" i="1"/>
  <c r="AD287" i="1"/>
  <c r="X287" i="1"/>
  <c r="Y287" i="1"/>
  <c r="T287" i="1"/>
  <c r="L287" i="1"/>
  <c r="S287" i="1"/>
  <c r="O287" i="1"/>
  <c r="P289" i="1"/>
  <c r="K289" i="1"/>
  <c r="AA287" i="1"/>
  <c r="Q287" i="1"/>
  <c r="AB287" i="1"/>
  <c r="R287" i="1"/>
  <c r="U289" i="1"/>
  <c r="Z289" i="1"/>
  <c r="G287" i="1"/>
  <c r="W287" i="1"/>
  <c r="F287" i="1"/>
  <c r="V287" i="1"/>
  <c r="AP287" i="1"/>
  <c r="AQ287" i="1"/>
  <c r="AK287" i="1"/>
  <c r="AL287" i="1"/>
  <c r="AF287" i="1"/>
  <c r="AG287" i="1"/>
  <c r="E288" i="1"/>
  <c r="R288" i="1" s="1"/>
  <c r="H288" i="1"/>
  <c r="D288" i="1"/>
  <c r="Q288" i="1" s="1"/>
  <c r="A290" i="1"/>
  <c r="I290" i="1" s="1"/>
  <c r="J290" i="1" s="1"/>
  <c r="AO289" i="1"/>
  <c r="AJ289" i="1"/>
  <c r="B289" i="1"/>
  <c r="C289" i="1" s="1"/>
  <c r="AE289" i="1"/>
  <c r="AI288" i="1" l="1"/>
  <c r="AH288" i="1"/>
  <c r="AC288" i="1"/>
  <c r="AD288" i="1"/>
  <c r="X288" i="1"/>
  <c r="Y288" i="1"/>
  <c r="S288" i="1"/>
  <c r="T288" i="1"/>
  <c r="N288" i="1"/>
  <c r="O288" i="1"/>
  <c r="L288" i="1"/>
  <c r="P290" i="1"/>
  <c r="K290" i="1"/>
  <c r="M288" i="1"/>
  <c r="AA288" i="1"/>
  <c r="AB288" i="1"/>
  <c r="U290" i="1"/>
  <c r="Z290" i="1"/>
  <c r="F288" i="1"/>
  <c r="V288" i="1"/>
  <c r="G288" i="1"/>
  <c r="W288" i="1"/>
  <c r="AP288" i="1"/>
  <c r="AQ288" i="1"/>
  <c r="AK288" i="1"/>
  <c r="AL288" i="1"/>
  <c r="AG288" i="1"/>
  <c r="AF288" i="1"/>
  <c r="E289" i="1"/>
  <c r="M289" i="1" s="1"/>
  <c r="D289" i="1"/>
  <c r="L289" i="1" s="1"/>
  <c r="H289" i="1"/>
  <c r="AE290" i="1"/>
  <c r="A291" i="1"/>
  <c r="I291" i="1" s="1"/>
  <c r="J291" i="1" s="1"/>
  <c r="AO290" i="1"/>
  <c r="B290" i="1"/>
  <c r="C290" i="1" s="1"/>
  <c r="AJ290" i="1"/>
  <c r="AH289" i="1" l="1"/>
  <c r="AI289" i="1"/>
  <c r="AC289" i="1"/>
  <c r="AD289" i="1"/>
  <c r="X289" i="1"/>
  <c r="Y289" i="1"/>
  <c r="S289" i="1"/>
  <c r="T289" i="1"/>
  <c r="O289" i="1"/>
  <c r="N289" i="1"/>
  <c r="P291" i="1"/>
  <c r="K291" i="1"/>
  <c r="AA289" i="1"/>
  <c r="Q289" i="1"/>
  <c r="AB289" i="1"/>
  <c r="R289" i="1"/>
  <c r="U291" i="1"/>
  <c r="Z291" i="1"/>
  <c r="F289" i="1"/>
  <c r="V289" i="1"/>
  <c r="G289" i="1"/>
  <c r="W289" i="1"/>
  <c r="AQ289" i="1"/>
  <c r="AP289" i="1"/>
  <c r="AK289" i="1"/>
  <c r="AL289" i="1"/>
  <c r="AF289" i="1"/>
  <c r="AG289" i="1"/>
  <c r="E290" i="1"/>
  <c r="O290" i="1" s="1"/>
  <c r="H290" i="1"/>
  <c r="D290" i="1"/>
  <c r="N290" i="1" s="1"/>
  <c r="A292" i="1"/>
  <c r="I292" i="1" s="1"/>
  <c r="J292" i="1" s="1"/>
  <c r="AO291" i="1"/>
  <c r="AJ291" i="1"/>
  <c r="B291" i="1"/>
  <c r="C291" i="1" s="1"/>
  <c r="AE291" i="1"/>
  <c r="AH290" i="1" l="1"/>
  <c r="AI290" i="1"/>
  <c r="AC290" i="1"/>
  <c r="AD290" i="1"/>
  <c r="X290" i="1"/>
  <c r="Y290" i="1"/>
  <c r="M290" i="1"/>
  <c r="T290" i="1"/>
  <c r="S290" i="1"/>
  <c r="L290" i="1"/>
  <c r="P292" i="1"/>
  <c r="K292" i="1"/>
  <c r="AB290" i="1"/>
  <c r="R290" i="1"/>
  <c r="AA290" i="1"/>
  <c r="Q290" i="1"/>
  <c r="U292" i="1"/>
  <c r="Z292" i="1"/>
  <c r="F290" i="1"/>
  <c r="V290" i="1"/>
  <c r="G290" i="1"/>
  <c r="W290" i="1"/>
  <c r="AQ290" i="1"/>
  <c r="AP290" i="1"/>
  <c r="AK290" i="1"/>
  <c r="AL290" i="1"/>
  <c r="AG290" i="1"/>
  <c r="AF290" i="1"/>
  <c r="E291" i="1"/>
  <c r="M291" i="1" s="1"/>
  <c r="H291" i="1"/>
  <c r="D291" i="1"/>
  <c r="L291" i="1" s="1"/>
  <c r="AE292" i="1"/>
  <c r="A293" i="1"/>
  <c r="I293" i="1" s="1"/>
  <c r="J293" i="1" s="1"/>
  <c r="AO292" i="1"/>
  <c r="AJ292" i="1"/>
  <c r="B292" i="1"/>
  <c r="C292" i="1" s="1"/>
  <c r="AI291" i="1" l="1"/>
  <c r="AH291" i="1"/>
  <c r="AC291" i="1"/>
  <c r="AD291" i="1"/>
  <c r="X291" i="1"/>
  <c r="Y291" i="1"/>
  <c r="T291" i="1"/>
  <c r="S291" i="1"/>
  <c r="O291" i="1"/>
  <c r="N291" i="1"/>
  <c r="P293" i="1"/>
  <c r="K293" i="1"/>
  <c r="AB291" i="1"/>
  <c r="R291" i="1"/>
  <c r="AA291" i="1"/>
  <c r="Q291" i="1"/>
  <c r="U293" i="1"/>
  <c r="Z293" i="1"/>
  <c r="F291" i="1"/>
  <c r="V291" i="1"/>
  <c r="G291" i="1"/>
  <c r="W291" i="1"/>
  <c r="AP291" i="1"/>
  <c r="AQ291" i="1"/>
  <c r="AK291" i="1"/>
  <c r="AL291" i="1"/>
  <c r="AG291" i="1"/>
  <c r="AF291" i="1"/>
  <c r="E292" i="1"/>
  <c r="M292" i="1" s="1"/>
  <c r="H292" i="1"/>
  <c r="D292" i="1"/>
  <c r="L292" i="1" s="1"/>
  <c r="A294" i="1"/>
  <c r="I294" i="1" s="1"/>
  <c r="J294" i="1" s="1"/>
  <c r="AO293" i="1"/>
  <c r="AJ293" i="1"/>
  <c r="B293" i="1"/>
  <c r="C293" i="1" s="1"/>
  <c r="AE293" i="1"/>
  <c r="AH292" i="1" l="1"/>
  <c r="AI292" i="1"/>
  <c r="AC292" i="1"/>
  <c r="AD292" i="1"/>
  <c r="X292" i="1"/>
  <c r="Y292" i="1"/>
  <c r="S292" i="1"/>
  <c r="T292" i="1"/>
  <c r="N292" i="1"/>
  <c r="O292" i="1"/>
  <c r="P294" i="1"/>
  <c r="K294" i="1"/>
  <c r="AB292" i="1"/>
  <c r="R292" i="1"/>
  <c r="AA292" i="1"/>
  <c r="Q292" i="1"/>
  <c r="U294" i="1"/>
  <c r="Z294" i="1"/>
  <c r="F292" i="1"/>
  <c r="V292" i="1"/>
  <c r="G292" i="1"/>
  <c r="W292" i="1"/>
  <c r="AQ292" i="1"/>
  <c r="AP292" i="1"/>
  <c r="AK292" i="1"/>
  <c r="AL292" i="1"/>
  <c r="AF292" i="1"/>
  <c r="AG292" i="1"/>
  <c r="E293" i="1"/>
  <c r="M293" i="1" s="1"/>
  <c r="H293" i="1"/>
  <c r="D293" i="1"/>
  <c r="L293" i="1" s="1"/>
  <c r="AE294" i="1"/>
  <c r="A295" i="1"/>
  <c r="I295" i="1" s="1"/>
  <c r="J295" i="1" s="1"/>
  <c r="AO294" i="1"/>
  <c r="AJ294" i="1"/>
  <c r="B294" i="1"/>
  <c r="C294" i="1" s="1"/>
  <c r="AH293" i="1" l="1"/>
  <c r="AI293" i="1"/>
  <c r="AI294" i="1"/>
  <c r="AC293" i="1"/>
  <c r="AD293" i="1"/>
  <c r="Y293" i="1"/>
  <c r="X293" i="1"/>
  <c r="S293" i="1"/>
  <c r="T293" i="1"/>
  <c r="N293" i="1"/>
  <c r="O293" i="1"/>
  <c r="P295" i="1"/>
  <c r="K295" i="1"/>
  <c r="AB293" i="1"/>
  <c r="R293" i="1"/>
  <c r="AA293" i="1"/>
  <c r="Q293" i="1"/>
  <c r="U295" i="1"/>
  <c r="Z295" i="1"/>
  <c r="F293" i="1"/>
  <c r="V293" i="1"/>
  <c r="G293" i="1"/>
  <c r="W293" i="1"/>
  <c r="AQ293" i="1"/>
  <c r="AP293" i="1"/>
  <c r="AK293" i="1"/>
  <c r="AL293" i="1"/>
  <c r="AG293" i="1"/>
  <c r="AF293" i="1"/>
  <c r="E294" i="1"/>
  <c r="M294" i="1" s="1"/>
  <c r="H294" i="1"/>
  <c r="D294" i="1"/>
  <c r="L294" i="1" s="1"/>
  <c r="A296" i="1"/>
  <c r="I296" i="1" s="1"/>
  <c r="J296" i="1" s="1"/>
  <c r="AO295" i="1"/>
  <c r="AJ295" i="1"/>
  <c r="B295" i="1"/>
  <c r="C295" i="1" s="1"/>
  <c r="AE295" i="1"/>
  <c r="AH294" i="1" l="1"/>
  <c r="AC294" i="1"/>
  <c r="AD294" i="1"/>
  <c r="X294" i="1"/>
  <c r="Y294" i="1"/>
  <c r="S294" i="1"/>
  <c r="T294" i="1"/>
  <c r="N294" i="1"/>
  <c r="O294" i="1"/>
  <c r="P296" i="1"/>
  <c r="K296" i="1"/>
  <c r="AB294" i="1"/>
  <c r="R294" i="1"/>
  <c r="AA294" i="1"/>
  <c r="Q294" i="1"/>
  <c r="U296" i="1"/>
  <c r="Z296" i="1"/>
  <c r="F294" i="1"/>
  <c r="V294" i="1"/>
  <c r="G294" i="1"/>
  <c r="W294" i="1"/>
  <c r="AQ294" i="1"/>
  <c r="AP294" i="1"/>
  <c r="AK294" i="1"/>
  <c r="AL294" i="1"/>
  <c r="AG294" i="1"/>
  <c r="AF294" i="1"/>
  <c r="E295" i="1"/>
  <c r="O295" i="1" s="1"/>
  <c r="H295" i="1"/>
  <c r="D295" i="1"/>
  <c r="N295" i="1" s="1"/>
  <c r="AE296" i="1"/>
  <c r="A297" i="1"/>
  <c r="I297" i="1" s="1"/>
  <c r="J297" i="1" s="1"/>
  <c r="AO296" i="1"/>
  <c r="B296" i="1"/>
  <c r="C296" i="1" s="1"/>
  <c r="AJ296" i="1"/>
  <c r="AH295" i="1" l="1"/>
  <c r="AI295" i="1"/>
  <c r="AC295" i="1"/>
  <c r="AD295" i="1"/>
  <c r="X295" i="1"/>
  <c r="Y295" i="1"/>
  <c r="M295" i="1"/>
  <c r="T295" i="1"/>
  <c r="S295" i="1"/>
  <c r="L295" i="1"/>
  <c r="P297" i="1"/>
  <c r="K297" i="1"/>
  <c r="AA295" i="1"/>
  <c r="Q295" i="1"/>
  <c r="AB295" i="1"/>
  <c r="R295" i="1"/>
  <c r="U297" i="1"/>
  <c r="Z297" i="1"/>
  <c r="F295" i="1"/>
  <c r="V295" i="1"/>
  <c r="G295" i="1"/>
  <c r="W295" i="1"/>
  <c r="AQ295" i="1"/>
  <c r="AP295" i="1"/>
  <c r="AK295" i="1"/>
  <c r="AL295" i="1"/>
  <c r="AG295" i="1"/>
  <c r="AF295" i="1"/>
  <c r="E296" i="1"/>
  <c r="M296" i="1" s="1"/>
  <c r="H296" i="1"/>
  <c r="D296" i="1"/>
  <c r="L296" i="1" s="1"/>
  <c r="A298" i="1"/>
  <c r="I298" i="1" s="1"/>
  <c r="J298" i="1" s="1"/>
  <c r="AO297" i="1"/>
  <c r="AJ297" i="1"/>
  <c r="B297" i="1"/>
  <c r="C297" i="1" s="1"/>
  <c r="AE297" i="1"/>
  <c r="AH296" i="1" l="1"/>
  <c r="AI296" i="1"/>
  <c r="AC296" i="1"/>
  <c r="AD296" i="1"/>
  <c r="X296" i="1"/>
  <c r="Y296" i="1"/>
  <c r="T296" i="1"/>
  <c r="S296" i="1"/>
  <c r="N296" i="1"/>
  <c r="O296" i="1"/>
  <c r="P298" i="1"/>
  <c r="K298" i="1"/>
  <c r="AA296" i="1"/>
  <c r="Q296" i="1"/>
  <c r="AB296" i="1"/>
  <c r="R296" i="1"/>
  <c r="U298" i="1"/>
  <c r="Z298" i="1"/>
  <c r="F296" i="1"/>
  <c r="V296" i="1"/>
  <c r="G296" i="1"/>
  <c r="W296" i="1"/>
  <c r="AQ296" i="1"/>
  <c r="AP296" i="1"/>
  <c r="AK296" i="1"/>
  <c r="AL296" i="1"/>
  <c r="AG296" i="1"/>
  <c r="AF296" i="1"/>
  <c r="AE298" i="1"/>
  <c r="A299" i="1"/>
  <c r="I299" i="1" s="1"/>
  <c r="J299" i="1" s="1"/>
  <c r="AO298" i="1"/>
  <c r="B298" i="1"/>
  <c r="C298" i="1" s="1"/>
  <c r="AJ298" i="1"/>
  <c r="E297" i="1"/>
  <c r="M297" i="1" s="1"/>
  <c r="D297" i="1"/>
  <c r="L297" i="1" s="1"/>
  <c r="H297" i="1"/>
  <c r="AH297" i="1" l="1"/>
  <c r="AI297" i="1"/>
  <c r="AC297" i="1"/>
  <c r="AD297" i="1"/>
  <c r="S297" i="1"/>
  <c r="X297" i="1"/>
  <c r="Y297" i="1"/>
  <c r="T297" i="1"/>
  <c r="N297" i="1"/>
  <c r="O297" i="1"/>
  <c r="P299" i="1"/>
  <c r="K299" i="1"/>
  <c r="AA297" i="1"/>
  <c r="Q297" i="1"/>
  <c r="AB297" i="1"/>
  <c r="R297" i="1"/>
  <c r="U299" i="1"/>
  <c r="Z299" i="1"/>
  <c r="F297" i="1"/>
  <c r="V297" i="1"/>
  <c r="G297" i="1"/>
  <c r="W297" i="1"/>
  <c r="AP297" i="1"/>
  <c r="AQ297" i="1"/>
  <c r="AK297" i="1"/>
  <c r="AL297" i="1"/>
  <c r="AG297" i="1"/>
  <c r="AF297" i="1"/>
  <c r="A300" i="1"/>
  <c r="I300" i="1" s="1"/>
  <c r="J300" i="1" s="1"/>
  <c r="AO299" i="1"/>
  <c r="AJ299" i="1"/>
  <c r="B299" i="1"/>
  <c r="C299" i="1" s="1"/>
  <c r="AE299" i="1"/>
  <c r="E298" i="1"/>
  <c r="O298" i="1" s="1"/>
  <c r="H298" i="1"/>
  <c r="D298" i="1"/>
  <c r="L298" i="1" s="1"/>
  <c r="AH298" i="1" l="1"/>
  <c r="AI298" i="1"/>
  <c r="X298" i="1"/>
  <c r="AC298" i="1"/>
  <c r="AD298" i="1"/>
  <c r="Y298" i="1"/>
  <c r="M298" i="1"/>
  <c r="T298" i="1"/>
  <c r="S298" i="1"/>
  <c r="N298" i="1"/>
  <c r="P300" i="1"/>
  <c r="K300" i="1"/>
  <c r="AB298" i="1"/>
  <c r="R298" i="1"/>
  <c r="AA298" i="1"/>
  <c r="Q298" i="1"/>
  <c r="U300" i="1"/>
  <c r="Z300" i="1"/>
  <c r="F298" i="1"/>
  <c r="V298" i="1"/>
  <c r="G298" i="1"/>
  <c r="W298" i="1"/>
  <c r="AP298" i="1"/>
  <c r="AQ298" i="1"/>
  <c r="AK298" i="1"/>
  <c r="AL298" i="1"/>
  <c r="AF298" i="1"/>
  <c r="AG298" i="1"/>
  <c r="E299" i="1"/>
  <c r="M299" i="1" s="1"/>
  <c r="H299" i="1"/>
  <c r="D299" i="1"/>
  <c r="L299" i="1" s="1"/>
  <c r="AE300" i="1"/>
  <c r="A301" i="1"/>
  <c r="I301" i="1" s="1"/>
  <c r="J301" i="1" s="1"/>
  <c r="AO300" i="1"/>
  <c r="AJ300" i="1"/>
  <c r="B300" i="1"/>
  <c r="C300" i="1" s="1"/>
  <c r="AH299" i="1" l="1"/>
  <c r="AI299" i="1"/>
  <c r="AC299" i="1"/>
  <c r="AD299" i="1"/>
  <c r="X299" i="1"/>
  <c r="Y299" i="1"/>
  <c r="T299" i="1"/>
  <c r="S299" i="1"/>
  <c r="N299" i="1"/>
  <c r="O299" i="1"/>
  <c r="P301" i="1"/>
  <c r="K301" i="1"/>
  <c r="AA299" i="1"/>
  <c r="Q299" i="1"/>
  <c r="AB299" i="1"/>
  <c r="R299" i="1"/>
  <c r="U301" i="1"/>
  <c r="Z301" i="1"/>
  <c r="F299" i="1"/>
  <c r="V299" i="1"/>
  <c r="G299" i="1"/>
  <c r="W299" i="1"/>
  <c r="AQ299" i="1"/>
  <c r="AP299" i="1"/>
  <c r="AK299" i="1"/>
  <c r="AL299" i="1"/>
  <c r="AG299" i="1"/>
  <c r="AF299" i="1"/>
  <c r="E300" i="1"/>
  <c r="M300" i="1" s="1"/>
  <c r="H300" i="1"/>
  <c r="D300" i="1"/>
  <c r="L300" i="1" s="1"/>
  <c r="A302" i="1"/>
  <c r="I302" i="1" s="1"/>
  <c r="J302" i="1" s="1"/>
  <c r="AO301" i="1"/>
  <c r="AJ301" i="1"/>
  <c r="B301" i="1"/>
  <c r="C301" i="1" s="1"/>
  <c r="AE301" i="1"/>
  <c r="AH300" i="1" l="1"/>
  <c r="AI300" i="1"/>
  <c r="AC300" i="1"/>
  <c r="AD300" i="1"/>
  <c r="S300" i="1"/>
  <c r="X300" i="1"/>
  <c r="Y300" i="1"/>
  <c r="T300" i="1"/>
  <c r="N300" i="1"/>
  <c r="O300" i="1"/>
  <c r="P302" i="1"/>
  <c r="K302" i="1"/>
  <c r="AB300" i="1"/>
  <c r="R300" i="1"/>
  <c r="AA300" i="1"/>
  <c r="Q300" i="1"/>
  <c r="U302" i="1"/>
  <c r="Z302" i="1"/>
  <c r="G300" i="1"/>
  <c r="W300" i="1"/>
  <c r="F300" i="1"/>
  <c r="V300" i="1"/>
  <c r="AP300" i="1"/>
  <c r="AQ300" i="1"/>
  <c r="AK300" i="1"/>
  <c r="AL300" i="1"/>
  <c r="AF300" i="1"/>
  <c r="AG300" i="1"/>
  <c r="AE302" i="1"/>
  <c r="A303" i="1"/>
  <c r="I303" i="1" s="1"/>
  <c r="J303" i="1" s="1"/>
  <c r="AO302" i="1"/>
  <c r="AJ302" i="1"/>
  <c r="B302" i="1"/>
  <c r="C302" i="1" s="1"/>
  <c r="E301" i="1"/>
  <c r="M301" i="1" s="1"/>
  <c r="H301" i="1"/>
  <c r="D301" i="1"/>
  <c r="L301" i="1" s="1"/>
  <c r="AH301" i="1" l="1"/>
  <c r="AI301" i="1"/>
  <c r="AD301" i="1"/>
  <c r="AC301" i="1"/>
  <c r="X301" i="1"/>
  <c r="Y301" i="1"/>
  <c r="S301" i="1"/>
  <c r="T301" i="1"/>
  <c r="N301" i="1"/>
  <c r="O301" i="1"/>
  <c r="P303" i="1"/>
  <c r="K303" i="1"/>
  <c r="AB301" i="1"/>
  <c r="R301" i="1"/>
  <c r="AF301" i="1"/>
  <c r="Q301" i="1"/>
  <c r="U303" i="1"/>
  <c r="Z303" i="1"/>
  <c r="AA301" i="1"/>
  <c r="G301" i="1"/>
  <c r="W301" i="1"/>
  <c r="F301" i="1"/>
  <c r="V301" i="1"/>
  <c r="AK301" i="1"/>
  <c r="AP301" i="1"/>
  <c r="AQ301" i="1"/>
  <c r="AL301" i="1"/>
  <c r="AG301" i="1"/>
  <c r="A304" i="1"/>
  <c r="I304" i="1" s="1"/>
  <c r="J304" i="1" s="1"/>
  <c r="AO303" i="1"/>
  <c r="AJ303" i="1"/>
  <c r="B303" i="1"/>
  <c r="C303" i="1" s="1"/>
  <c r="AE303" i="1"/>
  <c r="E302" i="1"/>
  <c r="M302" i="1" s="1"/>
  <c r="H302" i="1"/>
  <c r="D302" i="1"/>
  <c r="L302" i="1" s="1"/>
  <c r="AH302" i="1" l="1"/>
  <c r="AI302" i="1"/>
  <c r="AD302" i="1"/>
  <c r="AC302" i="1"/>
  <c r="X302" i="1"/>
  <c r="Y302" i="1"/>
  <c r="T302" i="1"/>
  <c r="S302" i="1"/>
  <c r="N302" i="1"/>
  <c r="O302" i="1"/>
  <c r="P304" i="1"/>
  <c r="K304" i="1"/>
  <c r="AB302" i="1"/>
  <c r="R302" i="1"/>
  <c r="AA302" i="1"/>
  <c r="Q302" i="1"/>
  <c r="U304" i="1"/>
  <c r="Z304" i="1"/>
  <c r="G302" i="1"/>
  <c r="W302" i="1"/>
  <c r="F302" i="1"/>
  <c r="V302" i="1"/>
  <c r="AP302" i="1"/>
  <c r="AQ302" i="1"/>
  <c r="AL302" i="1"/>
  <c r="AK302" i="1"/>
  <c r="AG302" i="1"/>
  <c r="AF302" i="1"/>
  <c r="E303" i="1"/>
  <c r="R303" i="1" s="1"/>
  <c r="H303" i="1"/>
  <c r="D303" i="1"/>
  <c r="L303" i="1" s="1"/>
  <c r="AE304" i="1"/>
  <c r="A305" i="1"/>
  <c r="I305" i="1" s="1"/>
  <c r="J305" i="1" s="1"/>
  <c r="AO304" i="1"/>
  <c r="B304" i="1"/>
  <c r="C304" i="1" s="1"/>
  <c r="AJ304" i="1"/>
  <c r="AH303" i="1" l="1"/>
  <c r="AI303" i="1"/>
  <c r="AC303" i="1"/>
  <c r="AD303" i="1"/>
  <c r="X303" i="1"/>
  <c r="Y303" i="1"/>
  <c r="S303" i="1"/>
  <c r="T303" i="1"/>
  <c r="O303" i="1"/>
  <c r="N303" i="1"/>
  <c r="P305" i="1"/>
  <c r="K305" i="1"/>
  <c r="M303" i="1"/>
  <c r="AB303" i="1"/>
  <c r="AA303" i="1"/>
  <c r="Q303" i="1"/>
  <c r="U305" i="1"/>
  <c r="Z305" i="1"/>
  <c r="F303" i="1"/>
  <c r="V303" i="1"/>
  <c r="G303" i="1"/>
  <c r="W303" i="1"/>
  <c r="AP303" i="1"/>
  <c r="AQ303" i="1"/>
  <c r="AL303" i="1"/>
  <c r="AK303" i="1"/>
  <c r="AF303" i="1"/>
  <c r="AG303" i="1"/>
  <c r="E304" i="1"/>
  <c r="M304" i="1" s="1"/>
  <c r="H304" i="1"/>
  <c r="D304" i="1"/>
  <c r="L304" i="1" s="1"/>
  <c r="A306" i="1"/>
  <c r="I306" i="1" s="1"/>
  <c r="J306" i="1" s="1"/>
  <c r="AO305" i="1"/>
  <c r="AJ305" i="1"/>
  <c r="B305" i="1"/>
  <c r="C305" i="1" s="1"/>
  <c r="AE305" i="1"/>
  <c r="AH304" i="1" l="1"/>
  <c r="AI304" i="1"/>
  <c r="AC304" i="1"/>
  <c r="AD304" i="1"/>
  <c r="X304" i="1"/>
  <c r="Y304" i="1"/>
  <c r="S304" i="1"/>
  <c r="T304" i="1"/>
  <c r="N304" i="1"/>
  <c r="O304" i="1"/>
  <c r="P306" i="1"/>
  <c r="K306" i="1"/>
  <c r="AB304" i="1"/>
  <c r="R304" i="1"/>
  <c r="AA304" i="1"/>
  <c r="Q304" i="1"/>
  <c r="U306" i="1"/>
  <c r="Z306" i="1"/>
  <c r="F304" i="1"/>
  <c r="V304" i="1"/>
  <c r="G304" i="1"/>
  <c r="W304" i="1"/>
  <c r="AP304" i="1"/>
  <c r="AQ304" i="1"/>
  <c r="AK304" i="1"/>
  <c r="AL304" i="1"/>
  <c r="AG304" i="1"/>
  <c r="AF304" i="1"/>
  <c r="E305" i="1"/>
  <c r="O305" i="1" s="1"/>
  <c r="D305" i="1"/>
  <c r="N305" i="1" s="1"/>
  <c r="H305" i="1"/>
  <c r="AE306" i="1"/>
  <c r="A307" i="1"/>
  <c r="I307" i="1" s="1"/>
  <c r="J307" i="1" s="1"/>
  <c r="AO306" i="1"/>
  <c r="B306" i="1"/>
  <c r="C306" i="1" s="1"/>
  <c r="AJ306" i="1"/>
  <c r="AH305" i="1" l="1"/>
  <c r="AI305" i="1"/>
  <c r="AC305" i="1"/>
  <c r="AD305" i="1"/>
  <c r="X305" i="1"/>
  <c r="Y305" i="1"/>
  <c r="S305" i="1"/>
  <c r="T305" i="1"/>
  <c r="M305" i="1"/>
  <c r="L305" i="1"/>
  <c r="P307" i="1"/>
  <c r="K307" i="1"/>
  <c r="AA305" i="1"/>
  <c r="Q305" i="1"/>
  <c r="AB305" i="1"/>
  <c r="R305" i="1"/>
  <c r="U307" i="1"/>
  <c r="Z307" i="1"/>
  <c r="F305" i="1"/>
  <c r="V305" i="1"/>
  <c r="G305" i="1"/>
  <c r="W305" i="1"/>
  <c r="AP305" i="1"/>
  <c r="AQ305" i="1"/>
  <c r="AL305" i="1"/>
  <c r="AK305" i="1"/>
  <c r="AF305" i="1"/>
  <c r="AG305" i="1"/>
  <c r="E306" i="1"/>
  <c r="M306" i="1" s="1"/>
  <c r="H306" i="1"/>
  <c r="D306" i="1"/>
  <c r="L306" i="1" s="1"/>
  <c r="AO307" i="1"/>
  <c r="A308" i="1"/>
  <c r="I308" i="1" s="1"/>
  <c r="J308" i="1" s="1"/>
  <c r="AJ307" i="1"/>
  <c r="B307" i="1"/>
  <c r="C307" i="1" s="1"/>
  <c r="AE307" i="1"/>
  <c r="AC306" i="1" l="1"/>
  <c r="AH306" i="1"/>
  <c r="AI306" i="1"/>
  <c r="AD306" i="1"/>
  <c r="X306" i="1"/>
  <c r="Y306" i="1"/>
  <c r="S306" i="1"/>
  <c r="T306" i="1"/>
  <c r="N306" i="1"/>
  <c r="O306" i="1"/>
  <c r="P308" i="1"/>
  <c r="K308" i="1"/>
  <c r="AB306" i="1"/>
  <c r="R306" i="1"/>
  <c r="AP306" i="1"/>
  <c r="Q306" i="1"/>
  <c r="AA306" i="1"/>
  <c r="U308" i="1"/>
  <c r="Z308" i="1"/>
  <c r="F306" i="1"/>
  <c r="V306" i="1"/>
  <c r="G306" i="1"/>
  <c r="W306" i="1"/>
  <c r="AQ306" i="1"/>
  <c r="AK306" i="1"/>
  <c r="AL306" i="1"/>
  <c r="AG306" i="1"/>
  <c r="AF306" i="1"/>
  <c r="E307" i="1"/>
  <c r="R307" i="1" s="1"/>
  <c r="H307" i="1"/>
  <c r="D307" i="1"/>
  <c r="L307" i="1" s="1"/>
  <c r="AE308" i="1"/>
  <c r="AJ308" i="1"/>
  <c r="B308" i="1"/>
  <c r="C308" i="1" s="1"/>
  <c r="A309" i="1"/>
  <c r="I309" i="1" s="1"/>
  <c r="J309" i="1" s="1"/>
  <c r="AO308" i="1"/>
  <c r="AH307" i="1" l="1"/>
  <c r="AI307" i="1"/>
  <c r="AC307" i="1"/>
  <c r="AD307" i="1"/>
  <c r="X307" i="1"/>
  <c r="S307" i="1"/>
  <c r="Y307" i="1"/>
  <c r="T307" i="1"/>
  <c r="O307" i="1"/>
  <c r="N307" i="1"/>
  <c r="P309" i="1"/>
  <c r="K309" i="1"/>
  <c r="M307" i="1"/>
  <c r="AA307" i="1"/>
  <c r="Q307" i="1"/>
  <c r="AB307" i="1"/>
  <c r="U309" i="1"/>
  <c r="Z309" i="1"/>
  <c r="F307" i="1"/>
  <c r="V307" i="1"/>
  <c r="G307" i="1"/>
  <c r="W307" i="1"/>
  <c r="AQ307" i="1"/>
  <c r="AP307" i="1"/>
  <c r="AK307" i="1"/>
  <c r="AL307" i="1"/>
  <c r="AG307" i="1"/>
  <c r="AF307" i="1"/>
  <c r="A310" i="1"/>
  <c r="I310" i="1" s="1"/>
  <c r="J310" i="1" s="1"/>
  <c r="AO309" i="1"/>
  <c r="AJ309" i="1"/>
  <c r="B309" i="1"/>
  <c r="C309" i="1" s="1"/>
  <c r="AE309" i="1"/>
  <c r="E308" i="1"/>
  <c r="M308" i="1" s="1"/>
  <c r="H308" i="1"/>
  <c r="D308" i="1"/>
  <c r="Q308" i="1" s="1"/>
  <c r="AH308" i="1" l="1"/>
  <c r="AI308" i="1"/>
  <c r="AC308" i="1"/>
  <c r="AD308" i="1"/>
  <c r="X308" i="1"/>
  <c r="Y308" i="1"/>
  <c r="T308" i="1"/>
  <c r="S308" i="1"/>
  <c r="N308" i="1"/>
  <c r="O308" i="1"/>
  <c r="L308" i="1"/>
  <c r="P310" i="1"/>
  <c r="K310" i="1"/>
  <c r="AB308" i="1"/>
  <c r="R308" i="1"/>
  <c r="AA308" i="1"/>
  <c r="U310" i="1"/>
  <c r="Z310" i="1"/>
  <c r="F308" i="1"/>
  <c r="V308" i="1"/>
  <c r="G308" i="1"/>
  <c r="W308" i="1"/>
  <c r="AP308" i="1"/>
  <c r="AK308" i="1"/>
  <c r="AQ308" i="1"/>
  <c r="AL308" i="1"/>
  <c r="AF308" i="1"/>
  <c r="AG308" i="1"/>
  <c r="D309" i="1"/>
  <c r="Q309" i="1" s="1"/>
  <c r="H309" i="1"/>
  <c r="E309" i="1"/>
  <c r="R309" i="1" s="1"/>
  <c r="AE310" i="1"/>
  <c r="AO310" i="1"/>
  <c r="AJ310" i="1"/>
  <c r="B310" i="1"/>
  <c r="C310" i="1" s="1"/>
  <c r="A311" i="1"/>
  <c r="I311" i="1" s="1"/>
  <c r="J311" i="1" s="1"/>
  <c r="AH309" i="1" l="1"/>
  <c r="AI309" i="1"/>
  <c r="AC309" i="1"/>
  <c r="AD309" i="1"/>
  <c r="Y309" i="1"/>
  <c r="X309" i="1"/>
  <c r="T309" i="1"/>
  <c r="S309" i="1"/>
  <c r="N309" i="1"/>
  <c r="O309" i="1"/>
  <c r="P311" i="1"/>
  <c r="K311" i="1"/>
  <c r="L309" i="1"/>
  <c r="M309" i="1"/>
  <c r="AA309" i="1"/>
  <c r="AB309" i="1"/>
  <c r="U311" i="1"/>
  <c r="Z311" i="1"/>
  <c r="G309" i="1"/>
  <c r="W309" i="1"/>
  <c r="F309" i="1"/>
  <c r="V309" i="1"/>
  <c r="AP309" i="1"/>
  <c r="AQ309" i="1"/>
  <c r="AK309" i="1"/>
  <c r="AL309" i="1"/>
  <c r="AF309" i="1"/>
  <c r="AG309" i="1"/>
  <c r="E310" i="1"/>
  <c r="M310" i="1" s="1"/>
  <c r="H310" i="1"/>
  <c r="D310" i="1"/>
  <c r="L310" i="1" s="1"/>
  <c r="A312" i="1"/>
  <c r="I312" i="1" s="1"/>
  <c r="J312" i="1" s="1"/>
  <c r="AO311" i="1"/>
  <c r="AJ311" i="1"/>
  <c r="B311" i="1"/>
  <c r="C311" i="1" s="1"/>
  <c r="AE311" i="1"/>
  <c r="AH310" i="1" l="1"/>
  <c r="AI310" i="1"/>
  <c r="AC310" i="1"/>
  <c r="AD310" i="1"/>
  <c r="X310" i="1"/>
  <c r="Y310" i="1"/>
  <c r="S310" i="1"/>
  <c r="T310" i="1"/>
  <c r="N310" i="1"/>
  <c r="O310" i="1"/>
  <c r="P312" i="1"/>
  <c r="K312" i="1"/>
  <c r="AB310" i="1"/>
  <c r="R310" i="1"/>
  <c r="AA310" i="1"/>
  <c r="Q310" i="1"/>
  <c r="U312" i="1"/>
  <c r="Z312" i="1"/>
  <c r="F310" i="1"/>
  <c r="V310" i="1"/>
  <c r="G310" i="1"/>
  <c r="W310" i="1"/>
  <c r="AP310" i="1"/>
  <c r="AQ310" i="1"/>
  <c r="AK310" i="1"/>
  <c r="AL310" i="1"/>
  <c r="AG310" i="1"/>
  <c r="AF310" i="1"/>
  <c r="H311" i="1"/>
  <c r="E311" i="1"/>
  <c r="O311" i="1" s="1"/>
  <c r="D311" i="1"/>
  <c r="N311" i="1" s="1"/>
  <c r="AE312" i="1"/>
  <c r="AJ312" i="1"/>
  <c r="B312" i="1"/>
  <c r="C312" i="1" s="1"/>
  <c r="A313" i="1"/>
  <c r="I313" i="1" s="1"/>
  <c r="J313" i="1" s="1"/>
  <c r="AO312" i="1"/>
  <c r="AH311" i="1" l="1"/>
  <c r="AI311" i="1"/>
  <c r="AC311" i="1"/>
  <c r="AD311" i="1"/>
  <c r="X311" i="1"/>
  <c r="Y311" i="1"/>
  <c r="T311" i="1"/>
  <c r="S311" i="1"/>
  <c r="L311" i="1"/>
  <c r="M311" i="1"/>
  <c r="P313" i="1"/>
  <c r="K313" i="1"/>
  <c r="AA311" i="1"/>
  <c r="Q311" i="1"/>
  <c r="AB311" i="1"/>
  <c r="R311" i="1"/>
  <c r="U313" i="1"/>
  <c r="Z313" i="1"/>
  <c r="F311" i="1"/>
  <c r="V311" i="1"/>
  <c r="G311" i="1"/>
  <c r="W311" i="1"/>
  <c r="AP311" i="1"/>
  <c r="AQ311" i="1"/>
  <c r="AK311" i="1"/>
  <c r="AL311" i="1"/>
  <c r="AG311" i="1"/>
  <c r="AF311" i="1"/>
  <c r="A314" i="1"/>
  <c r="I314" i="1" s="1"/>
  <c r="J314" i="1" s="1"/>
  <c r="AO313" i="1"/>
  <c r="AJ313" i="1"/>
  <c r="B313" i="1"/>
  <c r="C313" i="1" s="1"/>
  <c r="AE313" i="1"/>
  <c r="E312" i="1"/>
  <c r="M312" i="1" s="1"/>
  <c r="H312" i="1"/>
  <c r="D312" i="1"/>
  <c r="L312" i="1" s="1"/>
  <c r="AH312" i="1" l="1"/>
  <c r="AI312" i="1"/>
  <c r="AD312" i="1"/>
  <c r="AC312" i="1"/>
  <c r="X312" i="1"/>
  <c r="Y312" i="1"/>
  <c r="S312" i="1"/>
  <c r="T312" i="1"/>
  <c r="N312" i="1"/>
  <c r="O312" i="1"/>
  <c r="P314" i="1"/>
  <c r="K314" i="1"/>
  <c r="AB312" i="1"/>
  <c r="R312" i="1"/>
  <c r="AA312" i="1"/>
  <c r="Q312" i="1"/>
  <c r="U314" i="1"/>
  <c r="Z314" i="1"/>
  <c r="G312" i="1"/>
  <c r="W312" i="1"/>
  <c r="F312" i="1"/>
  <c r="V312" i="1"/>
  <c r="AQ312" i="1"/>
  <c r="AP312" i="1"/>
  <c r="AK312" i="1"/>
  <c r="AL312" i="1"/>
  <c r="AF312" i="1"/>
  <c r="AG312" i="1"/>
  <c r="D313" i="1"/>
  <c r="L313" i="1" s="1"/>
  <c r="H313" i="1"/>
  <c r="E313" i="1"/>
  <c r="M313" i="1" s="1"/>
  <c r="AE314" i="1"/>
  <c r="AO314" i="1"/>
  <c r="AJ314" i="1"/>
  <c r="B314" i="1"/>
  <c r="C314" i="1" s="1"/>
  <c r="A315" i="1"/>
  <c r="I315" i="1" s="1"/>
  <c r="J315" i="1" s="1"/>
  <c r="AH313" i="1" l="1"/>
  <c r="AI313" i="1"/>
  <c r="AC313" i="1"/>
  <c r="AD313" i="1"/>
  <c r="X313" i="1"/>
  <c r="Y313" i="1"/>
  <c r="T313" i="1"/>
  <c r="S313" i="1"/>
  <c r="N313" i="1"/>
  <c r="O313" i="1"/>
  <c r="P315" i="1"/>
  <c r="K315" i="1"/>
  <c r="AB313" i="1"/>
  <c r="R313" i="1"/>
  <c r="AA313" i="1"/>
  <c r="Q313" i="1"/>
  <c r="U315" i="1"/>
  <c r="Z315" i="1"/>
  <c r="G313" i="1"/>
  <c r="W313" i="1"/>
  <c r="F313" i="1"/>
  <c r="V313" i="1"/>
  <c r="AP313" i="1"/>
  <c r="AQ313" i="1"/>
  <c r="AK313" i="1"/>
  <c r="AL313" i="1"/>
  <c r="AG313" i="1"/>
  <c r="AF313" i="1"/>
  <c r="A316" i="1"/>
  <c r="I316" i="1" s="1"/>
  <c r="J316" i="1" s="1"/>
  <c r="AO315" i="1"/>
  <c r="AJ315" i="1"/>
  <c r="B315" i="1"/>
  <c r="C315" i="1" s="1"/>
  <c r="AE315" i="1"/>
  <c r="E314" i="1"/>
  <c r="M314" i="1" s="1"/>
  <c r="H314" i="1"/>
  <c r="D314" i="1"/>
  <c r="L314" i="1" s="1"/>
  <c r="AH314" i="1" l="1"/>
  <c r="AI314" i="1"/>
  <c r="AD314" i="1"/>
  <c r="AC314" i="1"/>
  <c r="X314" i="1"/>
  <c r="Y314" i="1"/>
  <c r="S314" i="1"/>
  <c r="T314" i="1"/>
  <c r="N314" i="1"/>
  <c r="O314" i="1"/>
  <c r="P316" i="1"/>
  <c r="K316" i="1"/>
  <c r="AB314" i="1"/>
  <c r="R314" i="1"/>
  <c r="AA314" i="1"/>
  <c r="Q314" i="1"/>
  <c r="U316" i="1"/>
  <c r="Z316" i="1"/>
  <c r="F314" i="1"/>
  <c r="V314" i="1"/>
  <c r="G314" i="1"/>
  <c r="W314" i="1"/>
  <c r="AQ314" i="1"/>
  <c r="AK314" i="1"/>
  <c r="AP314" i="1"/>
  <c r="AL314" i="1"/>
  <c r="AG314" i="1"/>
  <c r="AF314" i="1"/>
  <c r="H315" i="1"/>
  <c r="E315" i="1"/>
  <c r="M315" i="1" s="1"/>
  <c r="D315" i="1"/>
  <c r="L315" i="1" s="1"/>
  <c r="AE316" i="1"/>
  <c r="AJ316" i="1"/>
  <c r="B316" i="1"/>
  <c r="C316" i="1" s="1"/>
  <c r="A317" i="1"/>
  <c r="I317" i="1" s="1"/>
  <c r="J317" i="1" s="1"/>
  <c r="AO316" i="1"/>
  <c r="AH315" i="1" l="1"/>
  <c r="AI315" i="1"/>
  <c r="AC315" i="1"/>
  <c r="AD315" i="1"/>
  <c r="X315" i="1"/>
  <c r="Y315" i="1"/>
  <c r="T315" i="1"/>
  <c r="S315" i="1"/>
  <c r="N315" i="1"/>
  <c r="O315" i="1"/>
  <c r="P317" i="1"/>
  <c r="K317" i="1"/>
  <c r="AB315" i="1"/>
  <c r="R315" i="1"/>
  <c r="AA315" i="1"/>
  <c r="Q315" i="1"/>
  <c r="U317" i="1"/>
  <c r="Z317" i="1"/>
  <c r="G315" i="1"/>
  <c r="W315" i="1"/>
  <c r="F315" i="1"/>
  <c r="V315" i="1"/>
  <c r="AP315" i="1"/>
  <c r="AQ315" i="1"/>
  <c r="AL315" i="1"/>
  <c r="AK315" i="1"/>
  <c r="AF315" i="1"/>
  <c r="AG315" i="1"/>
  <c r="A318" i="1"/>
  <c r="I318" i="1" s="1"/>
  <c r="J318" i="1" s="1"/>
  <c r="AO317" i="1"/>
  <c r="AJ317" i="1"/>
  <c r="B317" i="1"/>
  <c r="C317" i="1" s="1"/>
  <c r="AE317" i="1"/>
  <c r="E316" i="1"/>
  <c r="M316" i="1" s="1"/>
  <c r="H316" i="1"/>
  <c r="D316" i="1"/>
  <c r="L316" i="1" s="1"/>
  <c r="AH316" i="1" l="1"/>
  <c r="AI316" i="1"/>
  <c r="X316" i="1"/>
  <c r="AC316" i="1"/>
  <c r="AD316" i="1"/>
  <c r="Y316" i="1"/>
  <c r="S316" i="1"/>
  <c r="T316" i="1"/>
  <c r="N316" i="1"/>
  <c r="O316" i="1"/>
  <c r="P318" i="1"/>
  <c r="K318" i="1"/>
  <c r="AB316" i="1"/>
  <c r="R316" i="1"/>
  <c r="AA316" i="1"/>
  <c r="Q316" i="1"/>
  <c r="U318" i="1"/>
  <c r="Z318" i="1"/>
  <c r="F316" i="1"/>
  <c r="V316" i="1"/>
  <c r="G316" i="1"/>
  <c r="W316" i="1"/>
  <c r="AQ316" i="1"/>
  <c r="AP316" i="1"/>
  <c r="AL316" i="1"/>
  <c r="AF316" i="1"/>
  <c r="AK316" i="1"/>
  <c r="AG316" i="1"/>
  <c r="D317" i="1"/>
  <c r="L317" i="1" s="1"/>
  <c r="H317" i="1"/>
  <c r="E317" i="1"/>
  <c r="M317" i="1" s="1"/>
  <c r="AE318" i="1"/>
  <c r="AO318" i="1"/>
  <c r="AJ318" i="1"/>
  <c r="B318" i="1"/>
  <c r="C318" i="1" s="1"/>
  <c r="A319" i="1"/>
  <c r="I319" i="1" s="1"/>
  <c r="J319" i="1" s="1"/>
  <c r="AD317" i="1" l="1"/>
  <c r="AH317" i="1"/>
  <c r="AI317" i="1"/>
  <c r="AC317" i="1"/>
  <c r="T317" i="1"/>
  <c r="X317" i="1"/>
  <c r="Y317" i="1"/>
  <c r="S317" i="1"/>
  <c r="N317" i="1"/>
  <c r="O317" i="1"/>
  <c r="P319" i="1"/>
  <c r="K319" i="1"/>
  <c r="AB317" i="1"/>
  <c r="R317" i="1"/>
  <c r="AA317" i="1"/>
  <c r="Q317" i="1"/>
  <c r="U319" i="1"/>
  <c r="Z319" i="1"/>
  <c r="G317" i="1"/>
  <c r="W317" i="1"/>
  <c r="F317" i="1"/>
  <c r="V317" i="1"/>
  <c r="AP317" i="1"/>
  <c r="AQ317" i="1"/>
  <c r="AK317" i="1"/>
  <c r="AL317" i="1"/>
  <c r="AF317" i="1"/>
  <c r="AG317" i="1"/>
  <c r="E318" i="1"/>
  <c r="M318" i="1" s="1"/>
  <c r="H318" i="1"/>
  <c r="D318" i="1"/>
  <c r="L318" i="1" s="1"/>
  <c r="A320" i="1"/>
  <c r="I320" i="1" s="1"/>
  <c r="J320" i="1" s="1"/>
  <c r="AO319" i="1"/>
  <c r="AJ319" i="1"/>
  <c r="B319" i="1"/>
  <c r="C319" i="1" s="1"/>
  <c r="AE319" i="1"/>
  <c r="AI318" i="1" l="1"/>
  <c r="AH319" i="1"/>
  <c r="AH318" i="1"/>
  <c r="AC318" i="1"/>
  <c r="AD318" i="1"/>
  <c r="AC319" i="1"/>
  <c r="X318" i="1"/>
  <c r="Y318" i="1"/>
  <c r="S318" i="1"/>
  <c r="T318" i="1"/>
  <c r="N318" i="1"/>
  <c r="O318" i="1"/>
  <c r="P320" i="1"/>
  <c r="K320" i="1"/>
  <c r="AB318" i="1"/>
  <c r="R318" i="1"/>
  <c r="AA318" i="1"/>
  <c r="Q318" i="1"/>
  <c r="U320" i="1"/>
  <c r="Z320" i="1"/>
  <c r="G318" i="1"/>
  <c r="W318" i="1"/>
  <c r="F318" i="1"/>
  <c r="V318" i="1"/>
  <c r="AQ318" i="1"/>
  <c r="AP318" i="1"/>
  <c r="AK318" i="1"/>
  <c r="AL318" i="1"/>
  <c r="AG318" i="1"/>
  <c r="AF318" i="1"/>
  <c r="H319" i="1"/>
  <c r="E319" i="1"/>
  <c r="O319" i="1" s="1"/>
  <c r="D319" i="1"/>
  <c r="L319" i="1" s="1"/>
  <c r="AE320" i="1"/>
  <c r="AJ320" i="1"/>
  <c r="B320" i="1"/>
  <c r="C320" i="1" s="1"/>
  <c r="A321" i="1"/>
  <c r="I321" i="1" s="1"/>
  <c r="J321" i="1" s="1"/>
  <c r="AO320" i="1"/>
  <c r="AI319" i="1" l="1"/>
  <c r="AD319" i="1"/>
  <c r="X319" i="1"/>
  <c r="S319" i="1"/>
  <c r="Y319" i="1"/>
  <c r="T319" i="1"/>
  <c r="M319" i="1"/>
  <c r="N319" i="1"/>
  <c r="P321" i="1"/>
  <c r="K321" i="1"/>
  <c r="AA319" i="1"/>
  <c r="Q319" i="1"/>
  <c r="AB319" i="1"/>
  <c r="R319" i="1"/>
  <c r="U321" i="1"/>
  <c r="Z321" i="1"/>
  <c r="F319" i="1"/>
  <c r="V319" i="1"/>
  <c r="G319" i="1"/>
  <c r="W319" i="1"/>
  <c r="AQ319" i="1"/>
  <c r="AP319" i="1"/>
  <c r="AK319" i="1"/>
  <c r="AL319" i="1"/>
  <c r="AG319" i="1"/>
  <c r="AF319" i="1"/>
  <c r="A322" i="1"/>
  <c r="I322" i="1" s="1"/>
  <c r="J322" i="1" s="1"/>
  <c r="AO321" i="1"/>
  <c r="AJ321" i="1"/>
  <c r="B321" i="1"/>
  <c r="C321" i="1" s="1"/>
  <c r="AE321" i="1"/>
  <c r="E320" i="1"/>
  <c r="M320" i="1" s="1"/>
  <c r="H320" i="1"/>
  <c r="D320" i="1"/>
  <c r="L320" i="1" s="1"/>
  <c r="AH320" i="1" l="1"/>
  <c r="AI320" i="1"/>
  <c r="AC320" i="1"/>
  <c r="AD320" i="1"/>
  <c r="X320" i="1"/>
  <c r="Y320" i="1"/>
  <c r="S320" i="1"/>
  <c r="T320" i="1"/>
  <c r="N320" i="1"/>
  <c r="O320" i="1"/>
  <c r="P322" i="1"/>
  <c r="K322" i="1"/>
  <c r="AA320" i="1"/>
  <c r="Q320" i="1"/>
  <c r="AB320" i="1"/>
  <c r="R320" i="1"/>
  <c r="U322" i="1"/>
  <c r="Z322" i="1"/>
  <c r="F320" i="1"/>
  <c r="V320" i="1"/>
  <c r="G320" i="1"/>
  <c r="W320" i="1"/>
  <c r="AP320" i="1"/>
  <c r="AQ320" i="1"/>
  <c r="AK320" i="1"/>
  <c r="AL320" i="1"/>
  <c r="AF320" i="1"/>
  <c r="AG320" i="1"/>
  <c r="D321" i="1"/>
  <c r="L321" i="1" s="1"/>
  <c r="H321" i="1"/>
  <c r="E321" i="1"/>
  <c r="M321" i="1" s="1"/>
  <c r="AE322" i="1"/>
  <c r="AO322" i="1"/>
  <c r="AJ322" i="1"/>
  <c r="B322" i="1"/>
  <c r="C322" i="1" s="1"/>
  <c r="A323" i="1"/>
  <c r="I323" i="1" s="1"/>
  <c r="J323" i="1" s="1"/>
  <c r="AH321" i="1" l="1"/>
  <c r="AI321" i="1"/>
  <c r="AC321" i="1"/>
  <c r="AD321" i="1"/>
  <c r="T321" i="1"/>
  <c r="X321" i="1"/>
  <c r="Y321" i="1"/>
  <c r="S321" i="1"/>
  <c r="N321" i="1"/>
  <c r="O321" i="1"/>
  <c r="P323" i="1"/>
  <c r="K323" i="1"/>
  <c r="AA321" i="1"/>
  <c r="Q321" i="1"/>
  <c r="AB321" i="1"/>
  <c r="R321" i="1"/>
  <c r="U323" i="1"/>
  <c r="Z323" i="1"/>
  <c r="F321" i="1"/>
  <c r="V321" i="1"/>
  <c r="G321" i="1"/>
  <c r="W321" i="1"/>
  <c r="AP321" i="1"/>
  <c r="AQ321" i="1"/>
  <c r="AK321" i="1"/>
  <c r="AL321" i="1"/>
  <c r="AG321" i="1"/>
  <c r="AF321" i="1"/>
  <c r="A324" i="1"/>
  <c r="I324" i="1" s="1"/>
  <c r="J324" i="1" s="1"/>
  <c r="AO323" i="1"/>
  <c r="AJ323" i="1"/>
  <c r="B323" i="1"/>
  <c r="C323" i="1" s="1"/>
  <c r="AE323" i="1"/>
  <c r="E322" i="1"/>
  <c r="M322" i="1" s="1"/>
  <c r="H322" i="1"/>
  <c r="D322" i="1"/>
  <c r="L322" i="1" s="1"/>
  <c r="AI322" i="1" l="1"/>
  <c r="AH322" i="1"/>
  <c r="AD322" i="1"/>
  <c r="AC322" i="1"/>
  <c r="X322" i="1"/>
  <c r="Y322" i="1"/>
  <c r="T322" i="1"/>
  <c r="S322" i="1"/>
  <c r="N322" i="1"/>
  <c r="O322" i="1"/>
  <c r="P324" i="1"/>
  <c r="K324" i="1"/>
  <c r="AB322" i="1"/>
  <c r="R322" i="1"/>
  <c r="AA322" i="1"/>
  <c r="Q322" i="1"/>
  <c r="U324" i="1"/>
  <c r="Z324" i="1"/>
  <c r="F322" i="1"/>
  <c r="V322" i="1"/>
  <c r="G322" i="1"/>
  <c r="W322" i="1"/>
  <c r="AQ322" i="1"/>
  <c r="AP322" i="1"/>
  <c r="AK322" i="1"/>
  <c r="AL322" i="1"/>
  <c r="AG322" i="1"/>
  <c r="AF322" i="1"/>
  <c r="H323" i="1"/>
  <c r="E323" i="1"/>
  <c r="M323" i="1" s="1"/>
  <c r="D323" i="1"/>
  <c r="L323" i="1" s="1"/>
  <c r="AE324" i="1"/>
  <c r="AJ324" i="1"/>
  <c r="B324" i="1"/>
  <c r="C324" i="1" s="1"/>
  <c r="A325" i="1"/>
  <c r="I325" i="1" s="1"/>
  <c r="J325" i="1" s="1"/>
  <c r="AO324" i="1"/>
  <c r="AH323" i="1" l="1"/>
  <c r="AI323" i="1"/>
  <c r="AC323" i="1"/>
  <c r="AD323" i="1"/>
  <c r="X323" i="1"/>
  <c r="Y323" i="1"/>
  <c r="S323" i="1"/>
  <c r="T323" i="1"/>
  <c r="O323" i="1"/>
  <c r="N323" i="1"/>
  <c r="P325" i="1"/>
  <c r="K325" i="1"/>
  <c r="AB323" i="1"/>
  <c r="R323" i="1"/>
  <c r="AA323" i="1"/>
  <c r="Q323" i="1"/>
  <c r="AQ323" i="1"/>
  <c r="U325" i="1"/>
  <c r="Z325" i="1"/>
  <c r="F323" i="1"/>
  <c r="V323" i="1"/>
  <c r="G323" i="1"/>
  <c r="W323" i="1"/>
  <c r="AP323" i="1"/>
  <c r="AL323" i="1"/>
  <c r="AK323" i="1"/>
  <c r="AF323" i="1"/>
  <c r="AG323" i="1"/>
  <c r="A326" i="1"/>
  <c r="I326" i="1" s="1"/>
  <c r="J326" i="1" s="1"/>
  <c r="AO325" i="1"/>
  <c r="AJ325" i="1"/>
  <c r="B325" i="1"/>
  <c r="C325" i="1" s="1"/>
  <c r="AE325" i="1"/>
  <c r="E324" i="1"/>
  <c r="M324" i="1" s="1"/>
  <c r="H324" i="1"/>
  <c r="D324" i="1"/>
  <c r="L324" i="1" s="1"/>
  <c r="AH324" i="1" l="1"/>
  <c r="AI324" i="1"/>
  <c r="AC324" i="1"/>
  <c r="AD324" i="1"/>
  <c r="X324" i="1"/>
  <c r="Y324" i="1"/>
  <c r="T324" i="1"/>
  <c r="S324" i="1"/>
  <c r="N324" i="1"/>
  <c r="O324" i="1"/>
  <c r="P326" i="1"/>
  <c r="K326" i="1"/>
  <c r="AB324" i="1"/>
  <c r="R324" i="1"/>
  <c r="AA324" i="1"/>
  <c r="Q324" i="1"/>
  <c r="U326" i="1"/>
  <c r="Z326" i="1"/>
  <c r="G324" i="1"/>
  <c r="W324" i="1"/>
  <c r="F324" i="1"/>
  <c r="V324" i="1"/>
  <c r="AP324" i="1"/>
  <c r="AQ324" i="1"/>
  <c r="AK324" i="1"/>
  <c r="AL324" i="1"/>
  <c r="AF324" i="1"/>
  <c r="AG324" i="1"/>
  <c r="D325" i="1"/>
  <c r="L325" i="1" s="1"/>
  <c r="H325" i="1"/>
  <c r="E325" i="1"/>
  <c r="M325" i="1" s="1"/>
  <c r="AE326" i="1"/>
  <c r="AO326" i="1"/>
  <c r="AJ326" i="1"/>
  <c r="B326" i="1"/>
  <c r="C326" i="1" s="1"/>
  <c r="A327" i="1"/>
  <c r="I327" i="1" s="1"/>
  <c r="J327" i="1" s="1"/>
  <c r="AH325" i="1" l="1"/>
  <c r="AI325" i="1"/>
  <c r="AC325" i="1"/>
  <c r="AD325" i="1"/>
  <c r="Y325" i="1"/>
  <c r="X325" i="1"/>
  <c r="T325" i="1"/>
  <c r="S325" i="1"/>
  <c r="N325" i="1"/>
  <c r="O325" i="1"/>
  <c r="P327" i="1"/>
  <c r="K327" i="1"/>
  <c r="AB325" i="1"/>
  <c r="R325" i="1"/>
  <c r="AA325" i="1"/>
  <c r="Q325" i="1"/>
  <c r="U327" i="1"/>
  <c r="Z327" i="1"/>
  <c r="G325" i="1"/>
  <c r="W325" i="1"/>
  <c r="F325" i="1"/>
  <c r="V325" i="1"/>
  <c r="AP325" i="1"/>
  <c r="AQ325" i="1"/>
  <c r="AL325" i="1"/>
  <c r="AK325" i="1"/>
  <c r="AF325" i="1"/>
  <c r="AG325" i="1"/>
  <c r="A328" i="1"/>
  <c r="I328" i="1" s="1"/>
  <c r="J328" i="1" s="1"/>
  <c r="AO327" i="1"/>
  <c r="AJ327" i="1"/>
  <c r="B327" i="1"/>
  <c r="C327" i="1" s="1"/>
  <c r="AE327" i="1"/>
  <c r="E326" i="1"/>
  <c r="M326" i="1" s="1"/>
  <c r="H326" i="1"/>
  <c r="D326" i="1"/>
  <c r="L326" i="1" s="1"/>
  <c r="AH326" i="1" l="1"/>
  <c r="AI326" i="1"/>
  <c r="AC326" i="1"/>
  <c r="AD326" i="1"/>
  <c r="X326" i="1"/>
  <c r="Y326" i="1"/>
  <c r="T326" i="1"/>
  <c r="S326" i="1"/>
  <c r="N326" i="1"/>
  <c r="O326" i="1"/>
  <c r="P328" i="1"/>
  <c r="K328" i="1"/>
  <c r="AB326" i="1"/>
  <c r="R326" i="1"/>
  <c r="AA326" i="1"/>
  <c r="Q326" i="1"/>
  <c r="U328" i="1"/>
  <c r="Z328" i="1"/>
  <c r="F326" i="1"/>
  <c r="V326" i="1"/>
  <c r="G326" i="1"/>
  <c r="W326" i="1"/>
  <c r="AP326" i="1"/>
  <c r="AQ326" i="1"/>
  <c r="AK326" i="1"/>
  <c r="AL326" i="1"/>
  <c r="AG326" i="1"/>
  <c r="AF326" i="1"/>
  <c r="H327" i="1"/>
  <c r="E327" i="1"/>
  <c r="M327" i="1" s="1"/>
  <c r="D327" i="1"/>
  <c r="L327" i="1" s="1"/>
  <c r="AE328" i="1"/>
  <c r="AJ328" i="1"/>
  <c r="B328" i="1"/>
  <c r="C328" i="1" s="1"/>
  <c r="A329" i="1"/>
  <c r="I329" i="1" s="1"/>
  <c r="J329" i="1" s="1"/>
  <c r="AO328" i="1"/>
  <c r="AH327" i="1" l="1"/>
  <c r="AI327" i="1"/>
  <c r="AC327" i="1"/>
  <c r="AD327" i="1"/>
  <c r="Y327" i="1"/>
  <c r="X327" i="1"/>
  <c r="S327" i="1"/>
  <c r="T327" i="1"/>
  <c r="N327" i="1"/>
  <c r="O327" i="1"/>
  <c r="P329" i="1"/>
  <c r="K329" i="1"/>
  <c r="AA327" i="1"/>
  <c r="Q327" i="1"/>
  <c r="AB327" i="1"/>
  <c r="R327" i="1"/>
  <c r="U329" i="1"/>
  <c r="Z329" i="1"/>
  <c r="F327" i="1"/>
  <c r="V327" i="1"/>
  <c r="G327" i="1"/>
  <c r="W327" i="1"/>
  <c r="AK327" i="1"/>
  <c r="AP327" i="1"/>
  <c r="AQ327" i="1"/>
  <c r="AL327" i="1"/>
  <c r="AF327" i="1"/>
  <c r="AG327" i="1"/>
  <c r="A330" i="1"/>
  <c r="I330" i="1" s="1"/>
  <c r="J330" i="1" s="1"/>
  <c r="AO329" i="1"/>
  <c r="AJ329" i="1"/>
  <c r="B329" i="1"/>
  <c r="C329" i="1" s="1"/>
  <c r="AE329" i="1"/>
  <c r="E328" i="1"/>
  <c r="M328" i="1" s="1"/>
  <c r="H328" i="1"/>
  <c r="D328" i="1"/>
  <c r="L328" i="1" s="1"/>
  <c r="AH328" i="1" l="1"/>
  <c r="AI328" i="1"/>
  <c r="AC328" i="1"/>
  <c r="AD328" i="1"/>
  <c r="X328" i="1"/>
  <c r="Y328" i="1"/>
  <c r="T328" i="1"/>
  <c r="N328" i="1"/>
  <c r="S328" i="1"/>
  <c r="O328" i="1"/>
  <c r="P330" i="1"/>
  <c r="K330" i="1"/>
  <c r="AA328" i="1"/>
  <c r="Q328" i="1"/>
  <c r="AB328" i="1"/>
  <c r="R328" i="1"/>
  <c r="U330" i="1"/>
  <c r="Z330" i="1"/>
  <c r="F328" i="1"/>
  <c r="V328" i="1"/>
  <c r="G328" i="1"/>
  <c r="W328" i="1"/>
  <c r="AQ328" i="1"/>
  <c r="AP328" i="1"/>
  <c r="AK328" i="1"/>
  <c r="AL328" i="1"/>
  <c r="AG328" i="1"/>
  <c r="AF328" i="1"/>
  <c r="D329" i="1"/>
  <c r="L329" i="1" s="1"/>
  <c r="H329" i="1"/>
  <c r="E329" i="1"/>
  <c r="M329" i="1" s="1"/>
  <c r="AE330" i="1"/>
  <c r="AO330" i="1"/>
  <c r="AJ330" i="1"/>
  <c r="B330" i="1"/>
  <c r="C330" i="1" s="1"/>
  <c r="A331" i="1"/>
  <c r="I331" i="1" s="1"/>
  <c r="J331" i="1" s="1"/>
  <c r="AH329" i="1" l="1"/>
  <c r="AI329" i="1"/>
  <c r="AC329" i="1"/>
  <c r="AD329" i="1"/>
  <c r="X329" i="1"/>
  <c r="Y329" i="1"/>
  <c r="T329" i="1"/>
  <c r="S329" i="1"/>
  <c r="N329" i="1"/>
  <c r="O329" i="1"/>
  <c r="P331" i="1"/>
  <c r="K331" i="1"/>
  <c r="AA329" i="1"/>
  <c r="Q329" i="1"/>
  <c r="AB329" i="1"/>
  <c r="R329" i="1"/>
  <c r="U331" i="1"/>
  <c r="Z331" i="1"/>
  <c r="F329" i="1"/>
  <c r="V329" i="1"/>
  <c r="G329" i="1"/>
  <c r="W329" i="1"/>
  <c r="AP329" i="1"/>
  <c r="AQ329" i="1"/>
  <c r="AL329" i="1"/>
  <c r="AK329" i="1"/>
  <c r="AG329" i="1"/>
  <c r="AF329" i="1"/>
  <c r="E330" i="1"/>
  <c r="M330" i="1" s="1"/>
  <c r="H330" i="1"/>
  <c r="D330" i="1"/>
  <c r="L330" i="1" s="1"/>
  <c r="A332" i="1"/>
  <c r="I332" i="1" s="1"/>
  <c r="J332" i="1" s="1"/>
  <c r="AO331" i="1"/>
  <c r="AJ331" i="1"/>
  <c r="B331" i="1"/>
  <c r="C331" i="1" s="1"/>
  <c r="AE331" i="1"/>
  <c r="AH330" i="1" l="1"/>
  <c r="AI330" i="1"/>
  <c r="AC330" i="1"/>
  <c r="AD330" i="1"/>
  <c r="X330" i="1"/>
  <c r="Y330" i="1"/>
  <c r="S330" i="1"/>
  <c r="T330" i="1"/>
  <c r="N330" i="1"/>
  <c r="O330" i="1"/>
  <c r="P332" i="1"/>
  <c r="K332" i="1"/>
  <c r="AA330" i="1"/>
  <c r="Q330" i="1"/>
  <c r="AB330" i="1"/>
  <c r="R330" i="1"/>
  <c r="U332" i="1"/>
  <c r="Z332" i="1"/>
  <c r="G330" i="1"/>
  <c r="W330" i="1"/>
  <c r="F330" i="1"/>
  <c r="V330" i="1"/>
  <c r="AK330" i="1"/>
  <c r="AP330" i="1"/>
  <c r="AQ330" i="1"/>
  <c r="AL330" i="1"/>
  <c r="AG330" i="1"/>
  <c r="AF330" i="1"/>
  <c r="H331" i="1"/>
  <c r="E331" i="1"/>
  <c r="O331" i="1" s="1"/>
  <c r="D331" i="1"/>
  <c r="N331" i="1" s="1"/>
  <c r="AE332" i="1"/>
  <c r="A333" i="1"/>
  <c r="I333" i="1" s="1"/>
  <c r="J333" i="1" s="1"/>
  <c r="AJ332" i="1"/>
  <c r="B332" i="1"/>
  <c r="C332" i="1" s="1"/>
  <c r="AO332" i="1"/>
  <c r="AH331" i="1" l="1"/>
  <c r="AI331" i="1"/>
  <c r="AC331" i="1"/>
  <c r="AD331" i="1"/>
  <c r="X331" i="1"/>
  <c r="Y331" i="1"/>
  <c r="T331" i="1"/>
  <c r="S331" i="1"/>
  <c r="L331" i="1"/>
  <c r="M331" i="1"/>
  <c r="P333" i="1"/>
  <c r="K333" i="1"/>
  <c r="AB331" i="1"/>
  <c r="R331" i="1"/>
  <c r="AA331" i="1"/>
  <c r="Q331" i="1"/>
  <c r="AQ331" i="1"/>
  <c r="U333" i="1"/>
  <c r="Z333" i="1"/>
  <c r="F331" i="1"/>
  <c r="V331" i="1"/>
  <c r="G331" i="1"/>
  <c r="W331" i="1"/>
  <c r="AP331" i="1"/>
  <c r="AL331" i="1"/>
  <c r="AK331" i="1"/>
  <c r="AG331" i="1"/>
  <c r="AF331" i="1"/>
  <c r="E332" i="1"/>
  <c r="M332" i="1" s="1"/>
  <c r="H332" i="1"/>
  <c r="D332" i="1"/>
  <c r="L332" i="1" s="1"/>
  <c r="A334" i="1"/>
  <c r="I334" i="1" s="1"/>
  <c r="J334" i="1" s="1"/>
  <c r="AO333" i="1"/>
  <c r="AJ333" i="1"/>
  <c r="B333" i="1"/>
  <c r="C333" i="1" s="1"/>
  <c r="AE333" i="1"/>
  <c r="AH332" i="1" l="1"/>
  <c r="AI332" i="1"/>
  <c r="AC332" i="1"/>
  <c r="AD332" i="1"/>
  <c r="X332" i="1"/>
  <c r="Y332" i="1"/>
  <c r="S332" i="1"/>
  <c r="T332" i="1"/>
  <c r="N332" i="1"/>
  <c r="O332" i="1"/>
  <c r="P334" i="1"/>
  <c r="K334" i="1"/>
  <c r="AA332" i="1"/>
  <c r="Q332" i="1"/>
  <c r="AB332" i="1"/>
  <c r="R332" i="1"/>
  <c r="U334" i="1"/>
  <c r="Z334" i="1"/>
  <c r="G332" i="1"/>
  <c r="W332" i="1"/>
  <c r="F332" i="1"/>
  <c r="V332" i="1"/>
  <c r="AK332" i="1"/>
  <c r="AP332" i="1"/>
  <c r="AQ332" i="1"/>
  <c r="AL332" i="1"/>
  <c r="AG332" i="1"/>
  <c r="AF332" i="1"/>
  <c r="AE334" i="1"/>
  <c r="A335" i="1"/>
  <c r="I335" i="1" s="1"/>
  <c r="J335" i="1" s="1"/>
  <c r="AO334" i="1"/>
  <c r="AJ334" i="1"/>
  <c r="B334" i="1"/>
  <c r="C334" i="1" s="1"/>
  <c r="E333" i="1"/>
  <c r="M333" i="1" s="1"/>
  <c r="H333" i="1"/>
  <c r="D333" i="1"/>
  <c r="L333" i="1" s="1"/>
  <c r="AH333" i="1" l="1"/>
  <c r="AI333" i="1"/>
  <c r="AD333" i="1"/>
  <c r="AC333" i="1"/>
  <c r="X333" i="1"/>
  <c r="Y333" i="1"/>
  <c r="T333" i="1"/>
  <c r="S333" i="1"/>
  <c r="N333" i="1"/>
  <c r="O333" i="1"/>
  <c r="P335" i="1"/>
  <c r="K335" i="1"/>
  <c r="AB333" i="1"/>
  <c r="R333" i="1"/>
  <c r="AA333" i="1"/>
  <c r="Q333" i="1"/>
  <c r="U335" i="1"/>
  <c r="Z335" i="1"/>
  <c r="F333" i="1"/>
  <c r="V333" i="1"/>
  <c r="G333" i="1"/>
  <c r="W333" i="1"/>
  <c r="AP333" i="1"/>
  <c r="AK333" i="1"/>
  <c r="AQ333" i="1"/>
  <c r="AL333" i="1"/>
  <c r="AF333" i="1"/>
  <c r="AG333" i="1"/>
  <c r="A336" i="1"/>
  <c r="I336" i="1" s="1"/>
  <c r="J336" i="1" s="1"/>
  <c r="AO335" i="1"/>
  <c r="AJ335" i="1"/>
  <c r="B335" i="1"/>
  <c r="C335" i="1" s="1"/>
  <c r="AE335" i="1"/>
  <c r="E334" i="1"/>
  <c r="M334" i="1" s="1"/>
  <c r="H334" i="1"/>
  <c r="D334" i="1"/>
  <c r="Q334" i="1" s="1"/>
  <c r="AH334" i="1" l="1"/>
  <c r="AC334" i="1"/>
  <c r="AI334" i="1"/>
  <c r="AD334" i="1"/>
  <c r="X334" i="1"/>
  <c r="Y334" i="1"/>
  <c r="S334" i="1"/>
  <c r="T334" i="1"/>
  <c r="N334" i="1"/>
  <c r="O334" i="1"/>
  <c r="L334" i="1"/>
  <c r="P336" i="1"/>
  <c r="K336" i="1"/>
  <c r="AA334" i="1"/>
  <c r="AB334" i="1"/>
  <c r="R334" i="1"/>
  <c r="U336" i="1"/>
  <c r="Z336" i="1"/>
  <c r="F334" i="1"/>
  <c r="V334" i="1"/>
  <c r="G334" i="1"/>
  <c r="W334" i="1"/>
  <c r="AQ334" i="1"/>
  <c r="AK334" i="1"/>
  <c r="AP334" i="1"/>
  <c r="AL334" i="1"/>
  <c r="AG334" i="1"/>
  <c r="AF334" i="1"/>
  <c r="E335" i="1"/>
  <c r="M335" i="1" s="1"/>
  <c r="H335" i="1"/>
  <c r="D335" i="1"/>
  <c r="L335" i="1" s="1"/>
  <c r="AE336" i="1"/>
  <c r="A337" i="1"/>
  <c r="I337" i="1" s="1"/>
  <c r="J337" i="1" s="1"/>
  <c r="AO336" i="1"/>
  <c r="AJ336" i="1"/>
  <c r="B336" i="1"/>
  <c r="C336" i="1" s="1"/>
  <c r="AH335" i="1" l="1"/>
  <c r="AI335" i="1"/>
  <c r="AD335" i="1"/>
  <c r="AC335" i="1"/>
  <c r="X335" i="1"/>
  <c r="Y335" i="1"/>
  <c r="S335" i="1"/>
  <c r="T335" i="1"/>
  <c r="O335" i="1"/>
  <c r="N335" i="1"/>
  <c r="P337" i="1"/>
  <c r="K337" i="1"/>
  <c r="AA335" i="1"/>
  <c r="Q335" i="1"/>
  <c r="AB335" i="1"/>
  <c r="R335" i="1"/>
  <c r="U337" i="1"/>
  <c r="Z337" i="1"/>
  <c r="G335" i="1"/>
  <c r="W335" i="1"/>
  <c r="F335" i="1"/>
  <c r="V335" i="1"/>
  <c r="AQ335" i="1"/>
  <c r="AP335" i="1"/>
  <c r="AK335" i="1"/>
  <c r="AL335" i="1"/>
  <c r="AF335" i="1"/>
  <c r="AG335" i="1"/>
  <c r="E336" i="1"/>
  <c r="M336" i="1" s="1"/>
  <c r="H336" i="1"/>
  <c r="D336" i="1"/>
  <c r="N336" i="1" s="1"/>
  <c r="A338" i="1"/>
  <c r="I338" i="1" s="1"/>
  <c r="J338" i="1" s="1"/>
  <c r="AO337" i="1"/>
  <c r="AJ337" i="1"/>
  <c r="B337" i="1"/>
  <c r="C337" i="1" s="1"/>
  <c r="AE337" i="1"/>
  <c r="AH336" i="1" l="1"/>
  <c r="AI336" i="1"/>
  <c r="AC336" i="1"/>
  <c r="AD336" i="1"/>
  <c r="X336" i="1"/>
  <c r="Y336" i="1"/>
  <c r="S336" i="1"/>
  <c r="T336" i="1"/>
  <c r="L336" i="1"/>
  <c r="O336" i="1"/>
  <c r="P338" i="1"/>
  <c r="K338" i="1"/>
  <c r="AB336" i="1"/>
  <c r="R336" i="1"/>
  <c r="AA336" i="1"/>
  <c r="Q336" i="1"/>
  <c r="U338" i="1"/>
  <c r="Z338" i="1"/>
  <c r="G336" i="1"/>
  <c r="W336" i="1"/>
  <c r="F336" i="1"/>
  <c r="V336" i="1"/>
  <c r="AK336" i="1"/>
  <c r="AP336" i="1"/>
  <c r="AQ336" i="1"/>
  <c r="AL336" i="1"/>
  <c r="AG336" i="1"/>
  <c r="AF336" i="1"/>
  <c r="E337" i="1"/>
  <c r="M337" i="1" s="1"/>
  <c r="H337" i="1"/>
  <c r="D337" i="1"/>
  <c r="L337" i="1" s="1"/>
  <c r="AE338" i="1"/>
  <c r="A339" i="1"/>
  <c r="I339" i="1" s="1"/>
  <c r="J339" i="1" s="1"/>
  <c r="AO338" i="1"/>
  <c r="B338" i="1"/>
  <c r="C338" i="1" s="1"/>
  <c r="AJ338" i="1"/>
  <c r="AC337" i="1" l="1"/>
  <c r="AH337" i="1"/>
  <c r="AI337" i="1"/>
  <c r="AD337" i="1"/>
  <c r="X337" i="1"/>
  <c r="Y337" i="1"/>
  <c r="S337" i="1"/>
  <c r="T337" i="1"/>
  <c r="N337" i="1"/>
  <c r="O337" i="1"/>
  <c r="P339" i="1"/>
  <c r="K339" i="1"/>
  <c r="AB337" i="1"/>
  <c r="R337" i="1"/>
  <c r="AP337" i="1"/>
  <c r="Q337" i="1"/>
  <c r="AA337" i="1"/>
  <c r="U339" i="1"/>
  <c r="Z339" i="1"/>
  <c r="F337" i="1"/>
  <c r="V337" i="1"/>
  <c r="G337" i="1"/>
  <c r="W337" i="1"/>
  <c r="AQ337" i="1"/>
  <c r="AK337" i="1"/>
  <c r="AL337" i="1"/>
  <c r="AF337" i="1"/>
  <c r="AG337" i="1"/>
  <c r="E338" i="1"/>
  <c r="R338" i="1" s="1"/>
  <c r="H338" i="1"/>
  <c r="D338" i="1"/>
  <c r="L338" i="1" s="1"/>
  <c r="A340" i="1"/>
  <c r="I340" i="1" s="1"/>
  <c r="J340" i="1" s="1"/>
  <c r="AO339" i="1"/>
  <c r="AJ339" i="1"/>
  <c r="B339" i="1"/>
  <c r="C339" i="1" s="1"/>
  <c r="AE339" i="1"/>
  <c r="AH338" i="1" l="1"/>
  <c r="AC338" i="1"/>
  <c r="AI338" i="1"/>
  <c r="AD338" i="1"/>
  <c r="X338" i="1"/>
  <c r="Y338" i="1"/>
  <c r="S338" i="1"/>
  <c r="T338" i="1"/>
  <c r="N338" i="1"/>
  <c r="O338" i="1"/>
  <c r="P340" i="1"/>
  <c r="K340" i="1"/>
  <c r="M338" i="1"/>
  <c r="AA338" i="1"/>
  <c r="Q338" i="1"/>
  <c r="AB338" i="1"/>
  <c r="U340" i="1"/>
  <c r="Z340" i="1"/>
  <c r="G338" i="1"/>
  <c r="W338" i="1"/>
  <c r="F338" i="1"/>
  <c r="V338" i="1"/>
  <c r="AK338" i="1"/>
  <c r="AP338" i="1"/>
  <c r="AQ338" i="1"/>
  <c r="AL338" i="1"/>
  <c r="AG338" i="1"/>
  <c r="AF338" i="1"/>
  <c r="E339" i="1"/>
  <c r="M339" i="1" s="1"/>
  <c r="D339" i="1"/>
  <c r="N339" i="1" s="1"/>
  <c r="H339" i="1"/>
  <c r="AE340" i="1"/>
  <c r="A341" i="1"/>
  <c r="I341" i="1" s="1"/>
  <c r="J341" i="1" s="1"/>
  <c r="AO340" i="1"/>
  <c r="B340" i="1"/>
  <c r="C340" i="1" s="1"/>
  <c r="AJ340" i="1"/>
  <c r="AH339" i="1" l="1"/>
  <c r="AI339" i="1"/>
  <c r="AC339" i="1"/>
  <c r="AD339" i="1"/>
  <c r="Y339" i="1"/>
  <c r="X339" i="1"/>
  <c r="S339" i="1"/>
  <c r="T339" i="1"/>
  <c r="L339" i="1"/>
  <c r="O339" i="1"/>
  <c r="P341" i="1"/>
  <c r="K341" i="1"/>
  <c r="AA339" i="1"/>
  <c r="Q339" i="1"/>
  <c r="AB339" i="1"/>
  <c r="R339" i="1"/>
  <c r="AP339" i="1"/>
  <c r="U341" i="1"/>
  <c r="Z341" i="1"/>
  <c r="F339" i="1"/>
  <c r="V339" i="1"/>
  <c r="G339" i="1"/>
  <c r="W339" i="1"/>
  <c r="AQ339" i="1"/>
  <c r="AK339" i="1"/>
  <c r="AL339" i="1"/>
  <c r="AF339" i="1"/>
  <c r="AG339" i="1"/>
  <c r="E340" i="1"/>
  <c r="R340" i="1" s="1"/>
  <c r="H340" i="1"/>
  <c r="D340" i="1"/>
  <c r="L340" i="1" s="1"/>
  <c r="A342" i="1"/>
  <c r="I342" i="1" s="1"/>
  <c r="J342" i="1" s="1"/>
  <c r="AO341" i="1"/>
  <c r="AJ341" i="1"/>
  <c r="B341" i="1"/>
  <c r="C341" i="1" s="1"/>
  <c r="AE341" i="1"/>
  <c r="AH340" i="1" l="1"/>
  <c r="AI340" i="1"/>
  <c r="AC340" i="1"/>
  <c r="AD340" i="1"/>
  <c r="X340" i="1"/>
  <c r="Y340" i="1"/>
  <c r="S340" i="1"/>
  <c r="T340" i="1"/>
  <c r="N340" i="1"/>
  <c r="O340" i="1"/>
  <c r="P342" i="1"/>
  <c r="K342" i="1"/>
  <c r="M340" i="1"/>
  <c r="AA340" i="1"/>
  <c r="Q340" i="1"/>
  <c r="AB340" i="1"/>
  <c r="U342" i="1"/>
  <c r="Z342" i="1"/>
  <c r="G340" i="1"/>
  <c r="W340" i="1"/>
  <c r="F340" i="1"/>
  <c r="V340" i="1"/>
  <c r="AP340" i="1"/>
  <c r="AQ340" i="1"/>
  <c r="AK340" i="1"/>
  <c r="AL340" i="1"/>
  <c r="AF340" i="1"/>
  <c r="AG340" i="1"/>
  <c r="AE342" i="1"/>
  <c r="A343" i="1"/>
  <c r="I343" i="1" s="1"/>
  <c r="J343" i="1" s="1"/>
  <c r="AO342" i="1"/>
  <c r="AJ342" i="1"/>
  <c r="B342" i="1"/>
  <c r="C342" i="1" s="1"/>
  <c r="E341" i="1"/>
  <c r="M341" i="1" s="1"/>
  <c r="H341" i="1"/>
  <c r="D341" i="1"/>
  <c r="L341" i="1" s="1"/>
  <c r="AH341" i="1" l="1"/>
  <c r="AI341" i="1"/>
  <c r="AD341" i="1"/>
  <c r="AC341" i="1"/>
  <c r="Y341" i="1"/>
  <c r="X341" i="1"/>
  <c r="T341" i="1"/>
  <c r="S341" i="1"/>
  <c r="N341" i="1"/>
  <c r="O341" i="1"/>
  <c r="P343" i="1"/>
  <c r="K343" i="1"/>
  <c r="AA341" i="1"/>
  <c r="Q341" i="1"/>
  <c r="AB341" i="1"/>
  <c r="R341" i="1"/>
  <c r="AQ341" i="1"/>
  <c r="U343" i="1"/>
  <c r="Z343" i="1"/>
  <c r="F341" i="1"/>
  <c r="V341" i="1"/>
  <c r="G341" i="1"/>
  <c r="W341" i="1"/>
  <c r="AP341" i="1"/>
  <c r="AK341" i="1"/>
  <c r="AL341" i="1"/>
  <c r="AF341" i="1"/>
  <c r="AG341" i="1"/>
  <c r="A344" i="1"/>
  <c r="I344" i="1" s="1"/>
  <c r="J344" i="1" s="1"/>
  <c r="AO343" i="1"/>
  <c r="AJ343" i="1"/>
  <c r="B343" i="1"/>
  <c r="C343" i="1" s="1"/>
  <c r="AE343" i="1"/>
  <c r="E342" i="1"/>
  <c r="M342" i="1" s="1"/>
  <c r="H342" i="1"/>
  <c r="D342" i="1"/>
  <c r="L342" i="1" s="1"/>
  <c r="AH342" i="1" l="1"/>
  <c r="AD342" i="1"/>
  <c r="AI342" i="1"/>
  <c r="AC342" i="1"/>
  <c r="X342" i="1"/>
  <c r="Y342" i="1"/>
  <c r="T342" i="1"/>
  <c r="S342" i="1"/>
  <c r="N342" i="1"/>
  <c r="O342" i="1"/>
  <c r="P344" i="1"/>
  <c r="K344" i="1"/>
  <c r="AB342" i="1"/>
  <c r="R342" i="1"/>
  <c r="AA342" i="1"/>
  <c r="Q342" i="1"/>
  <c r="U344" i="1"/>
  <c r="Z344" i="1"/>
  <c r="F342" i="1"/>
  <c r="V342" i="1"/>
  <c r="G342" i="1"/>
  <c r="W342" i="1"/>
  <c r="AP342" i="1"/>
  <c r="AQ342" i="1"/>
  <c r="AK342" i="1"/>
  <c r="AL342" i="1"/>
  <c r="AG342" i="1"/>
  <c r="AF342" i="1"/>
  <c r="E343" i="1"/>
  <c r="M343" i="1" s="1"/>
  <c r="H343" i="1"/>
  <c r="D343" i="1"/>
  <c r="L343" i="1" s="1"/>
  <c r="AE344" i="1"/>
  <c r="A345" i="1"/>
  <c r="I345" i="1" s="1"/>
  <c r="J345" i="1" s="1"/>
  <c r="AO344" i="1"/>
  <c r="AJ344" i="1"/>
  <c r="B344" i="1"/>
  <c r="C344" i="1" s="1"/>
  <c r="AH343" i="1" l="1"/>
  <c r="AI343" i="1"/>
  <c r="Y343" i="1"/>
  <c r="AC343" i="1"/>
  <c r="AD343" i="1"/>
  <c r="X343" i="1"/>
  <c r="T343" i="1"/>
  <c r="S343" i="1"/>
  <c r="N343" i="1"/>
  <c r="O343" i="1"/>
  <c r="P345" i="1"/>
  <c r="K345" i="1"/>
  <c r="AA343" i="1"/>
  <c r="Q343" i="1"/>
  <c r="AB343" i="1"/>
  <c r="R343" i="1"/>
  <c r="U345" i="1"/>
  <c r="Z345" i="1"/>
  <c r="G343" i="1"/>
  <c r="W343" i="1"/>
  <c r="F343" i="1"/>
  <c r="V343" i="1"/>
  <c r="AQ343" i="1"/>
  <c r="AP343" i="1"/>
  <c r="AK343" i="1"/>
  <c r="AL343" i="1"/>
  <c r="AF343" i="1"/>
  <c r="AG343" i="1"/>
  <c r="E344" i="1"/>
  <c r="M344" i="1" s="1"/>
  <c r="H344" i="1"/>
  <c r="D344" i="1"/>
  <c r="L344" i="1" s="1"/>
  <c r="A346" i="1"/>
  <c r="I346" i="1" s="1"/>
  <c r="J346" i="1" s="1"/>
  <c r="AO345" i="1"/>
  <c r="AJ345" i="1"/>
  <c r="B345" i="1"/>
  <c r="C345" i="1" s="1"/>
  <c r="AE345" i="1"/>
  <c r="AH344" i="1" l="1"/>
  <c r="AI344" i="1"/>
  <c r="AC344" i="1"/>
  <c r="AD344" i="1"/>
  <c r="X344" i="1"/>
  <c r="Y344" i="1"/>
  <c r="S344" i="1"/>
  <c r="T344" i="1"/>
  <c r="N344" i="1"/>
  <c r="O344" i="1"/>
  <c r="P346" i="1"/>
  <c r="K346" i="1"/>
  <c r="AA344" i="1"/>
  <c r="Q344" i="1"/>
  <c r="AB344" i="1"/>
  <c r="R344" i="1"/>
  <c r="U346" i="1"/>
  <c r="Z346" i="1"/>
  <c r="F344" i="1"/>
  <c r="V344" i="1"/>
  <c r="G344" i="1"/>
  <c r="W344" i="1"/>
  <c r="AQ344" i="1"/>
  <c r="AP344" i="1"/>
  <c r="AK344" i="1"/>
  <c r="AL344" i="1"/>
  <c r="AG344" i="1"/>
  <c r="AF344" i="1"/>
  <c r="E345" i="1"/>
  <c r="M345" i="1" s="1"/>
  <c r="H345" i="1"/>
  <c r="D345" i="1"/>
  <c r="L345" i="1" s="1"/>
  <c r="AE346" i="1"/>
  <c r="A347" i="1"/>
  <c r="I347" i="1" s="1"/>
  <c r="J347" i="1" s="1"/>
  <c r="AO346" i="1"/>
  <c r="B346" i="1"/>
  <c r="C346" i="1" s="1"/>
  <c r="AJ346" i="1"/>
  <c r="AH345" i="1" l="1"/>
  <c r="AI345" i="1"/>
  <c r="AC345" i="1"/>
  <c r="AD345" i="1"/>
  <c r="X345" i="1"/>
  <c r="Y345" i="1"/>
  <c r="S345" i="1"/>
  <c r="T345" i="1"/>
  <c r="N345" i="1"/>
  <c r="O345" i="1"/>
  <c r="P347" i="1"/>
  <c r="K347" i="1"/>
  <c r="AA345" i="1"/>
  <c r="Q345" i="1"/>
  <c r="AB345" i="1"/>
  <c r="R345" i="1"/>
  <c r="AP345" i="1"/>
  <c r="U347" i="1"/>
  <c r="Z347" i="1"/>
  <c r="F345" i="1"/>
  <c r="V345" i="1"/>
  <c r="G345" i="1"/>
  <c r="W345" i="1"/>
  <c r="AQ345" i="1"/>
  <c r="AK345" i="1"/>
  <c r="AL345" i="1"/>
  <c r="AF345" i="1"/>
  <c r="AG345" i="1"/>
  <c r="E346" i="1"/>
  <c r="R346" i="1" s="1"/>
  <c r="H346" i="1"/>
  <c r="D346" i="1"/>
  <c r="L346" i="1" s="1"/>
  <c r="A348" i="1"/>
  <c r="I348" i="1" s="1"/>
  <c r="J348" i="1" s="1"/>
  <c r="AO347" i="1"/>
  <c r="AJ347" i="1"/>
  <c r="B347" i="1"/>
  <c r="C347" i="1" s="1"/>
  <c r="AE347" i="1"/>
  <c r="AH346" i="1" l="1"/>
  <c r="AI346" i="1"/>
  <c r="AC346" i="1"/>
  <c r="AD346" i="1"/>
  <c r="X346" i="1"/>
  <c r="Y346" i="1"/>
  <c r="S346" i="1"/>
  <c r="T346" i="1"/>
  <c r="N346" i="1"/>
  <c r="O346" i="1"/>
  <c r="P348" i="1"/>
  <c r="K348" i="1"/>
  <c r="M346" i="1"/>
  <c r="AA346" i="1"/>
  <c r="Q346" i="1"/>
  <c r="AB346" i="1"/>
  <c r="U348" i="1"/>
  <c r="Z348" i="1"/>
  <c r="G346" i="1"/>
  <c r="W346" i="1"/>
  <c r="F346" i="1"/>
  <c r="V346" i="1"/>
  <c r="AP346" i="1"/>
  <c r="AQ346" i="1"/>
  <c r="AL346" i="1"/>
  <c r="AK346" i="1"/>
  <c r="AG346" i="1"/>
  <c r="AF346" i="1"/>
  <c r="E347" i="1"/>
  <c r="O347" i="1" s="1"/>
  <c r="D347" i="1"/>
  <c r="N347" i="1" s="1"/>
  <c r="H347" i="1"/>
  <c r="AE348" i="1"/>
  <c r="A349" i="1"/>
  <c r="I349" i="1" s="1"/>
  <c r="J349" i="1" s="1"/>
  <c r="AO348" i="1"/>
  <c r="B348" i="1"/>
  <c r="C348" i="1" s="1"/>
  <c r="AJ348" i="1"/>
  <c r="AH347" i="1" l="1"/>
  <c r="AI347" i="1"/>
  <c r="AC347" i="1"/>
  <c r="AD347" i="1"/>
  <c r="Y347" i="1"/>
  <c r="X347" i="1"/>
  <c r="S347" i="1"/>
  <c r="T347" i="1"/>
  <c r="L347" i="1"/>
  <c r="M347" i="1"/>
  <c r="P349" i="1"/>
  <c r="K349" i="1"/>
  <c r="AA347" i="1"/>
  <c r="Q347" i="1"/>
  <c r="AB347" i="1"/>
  <c r="R347" i="1"/>
  <c r="U349" i="1"/>
  <c r="Z349" i="1"/>
  <c r="G347" i="1"/>
  <c r="W347" i="1"/>
  <c r="F347" i="1"/>
  <c r="V347" i="1"/>
  <c r="AP347" i="1"/>
  <c r="AQ347" i="1"/>
  <c r="AK347" i="1"/>
  <c r="AL347" i="1"/>
  <c r="AF347" i="1"/>
  <c r="AG347" i="1"/>
  <c r="E348" i="1"/>
  <c r="M348" i="1" s="1"/>
  <c r="H348" i="1"/>
  <c r="D348" i="1"/>
  <c r="L348" i="1" s="1"/>
  <c r="A350" i="1"/>
  <c r="I350" i="1" s="1"/>
  <c r="J350" i="1" s="1"/>
  <c r="AO349" i="1"/>
  <c r="AJ349" i="1"/>
  <c r="B349" i="1"/>
  <c r="C349" i="1" s="1"/>
  <c r="AE349" i="1"/>
  <c r="AH348" i="1" l="1"/>
  <c r="AI348" i="1"/>
  <c r="AC348" i="1"/>
  <c r="AD348" i="1"/>
  <c r="X348" i="1"/>
  <c r="Y348" i="1"/>
  <c r="S348" i="1"/>
  <c r="T348" i="1"/>
  <c r="O348" i="1"/>
  <c r="N348" i="1"/>
  <c r="P350" i="1"/>
  <c r="K350" i="1"/>
  <c r="AA348" i="1"/>
  <c r="Q348" i="1"/>
  <c r="AB348" i="1"/>
  <c r="R348" i="1"/>
  <c r="U350" i="1"/>
  <c r="Z350" i="1"/>
  <c r="G348" i="1"/>
  <c r="W348" i="1"/>
  <c r="F348" i="1"/>
  <c r="V348" i="1"/>
  <c r="AL348" i="1"/>
  <c r="AQ348" i="1"/>
  <c r="AP348" i="1"/>
  <c r="AK348" i="1"/>
  <c r="AF348" i="1"/>
  <c r="AG348" i="1"/>
  <c r="E349" i="1"/>
  <c r="M349" i="1" s="1"/>
  <c r="H349" i="1"/>
  <c r="D349" i="1"/>
  <c r="L349" i="1" s="1"/>
  <c r="AE350" i="1"/>
  <c r="A351" i="1"/>
  <c r="I351" i="1" s="1"/>
  <c r="J351" i="1" s="1"/>
  <c r="AO350" i="1"/>
  <c r="AJ350" i="1"/>
  <c r="B350" i="1"/>
  <c r="C350" i="1" s="1"/>
  <c r="AH349" i="1" l="1"/>
  <c r="AI349" i="1"/>
  <c r="AC349" i="1"/>
  <c r="AD349" i="1"/>
  <c r="X349" i="1"/>
  <c r="Y349" i="1"/>
  <c r="S349" i="1"/>
  <c r="T349" i="1"/>
  <c r="N349" i="1"/>
  <c r="O349" i="1"/>
  <c r="P351" i="1"/>
  <c r="K351" i="1"/>
  <c r="AA349" i="1"/>
  <c r="Q349" i="1"/>
  <c r="AB349" i="1"/>
  <c r="R349" i="1"/>
  <c r="U351" i="1"/>
  <c r="Z351" i="1"/>
  <c r="F349" i="1"/>
  <c r="V349" i="1"/>
  <c r="G349" i="1"/>
  <c r="W349" i="1"/>
  <c r="AP349" i="1"/>
  <c r="AQ349" i="1"/>
  <c r="AK349" i="1"/>
  <c r="AL349" i="1"/>
  <c r="AF349" i="1"/>
  <c r="AG349" i="1"/>
  <c r="E350" i="1"/>
  <c r="M350" i="1" s="1"/>
  <c r="H350" i="1"/>
  <c r="D350" i="1"/>
  <c r="L350" i="1" s="1"/>
  <c r="A352" i="1"/>
  <c r="I352" i="1" s="1"/>
  <c r="J352" i="1" s="1"/>
  <c r="AO351" i="1"/>
  <c r="AJ351" i="1"/>
  <c r="B351" i="1"/>
  <c r="C351" i="1" s="1"/>
  <c r="AE351" i="1"/>
  <c r="AI350" i="1" l="1"/>
  <c r="AH350" i="1"/>
  <c r="AC350" i="1"/>
  <c r="AD350" i="1"/>
  <c r="X350" i="1"/>
  <c r="Y350" i="1"/>
  <c r="S350" i="1"/>
  <c r="T350" i="1"/>
  <c r="N350" i="1"/>
  <c r="O350" i="1"/>
  <c r="P352" i="1"/>
  <c r="K352" i="1"/>
  <c r="AB350" i="1"/>
  <c r="R350" i="1"/>
  <c r="AP350" i="1"/>
  <c r="Q350" i="1"/>
  <c r="AA350" i="1"/>
  <c r="U352" i="1"/>
  <c r="Z352" i="1"/>
  <c r="F350" i="1"/>
  <c r="V350" i="1"/>
  <c r="G350" i="1"/>
  <c r="W350" i="1"/>
  <c r="AQ350" i="1"/>
  <c r="AK350" i="1"/>
  <c r="AL350" i="1"/>
  <c r="AG350" i="1"/>
  <c r="AF350" i="1"/>
  <c r="AE352" i="1"/>
  <c r="AO352" i="1"/>
  <c r="A353" i="1"/>
  <c r="I353" i="1" s="1"/>
  <c r="J353" i="1" s="1"/>
  <c r="AJ352" i="1"/>
  <c r="B352" i="1"/>
  <c r="C352" i="1" s="1"/>
  <c r="E351" i="1"/>
  <c r="M351" i="1" s="1"/>
  <c r="H351" i="1"/>
  <c r="D351" i="1"/>
  <c r="L351" i="1" s="1"/>
  <c r="AH351" i="1" l="1"/>
  <c r="AI351" i="1"/>
  <c r="AC351" i="1"/>
  <c r="AD351" i="1"/>
  <c r="X351" i="1"/>
  <c r="Y351" i="1"/>
  <c r="T351" i="1"/>
  <c r="S351" i="1"/>
  <c r="O351" i="1"/>
  <c r="N351" i="1"/>
  <c r="P353" i="1"/>
  <c r="K353" i="1"/>
  <c r="AB351" i="1"/>
  <c r="R351" i="1"/>
  <c r="AA351" i="1"/>
  <c r="Q351" i="1"/>
  <c r="U353" i="1"/>
  <c r="Z353" i="1"/>
  <c r="G351" i="1"/>
  <c r="W351" i="1"/>
  <c r="F351" i="1"/>
  <c r="V351" i="1"/>
  <c r="AQ351" i="1"/>
  <c r="AP351" i="1"/>
  <c r="AK351" i="1"/>
  <c r="AL351" i="1"/>
  <c r="AG351" i="1"/>
  <c r="AF351" i="1"/>
  <c r="A354" i="1"/>
  <c r="I354" i="1" s="1"/>
  <c r="J354" i="1" s="1"/>
  <c r="AO353" i="1"/>
  <c r="AJ353" i="1"/>
  <c r="AE353" i="1"/>
  <c r="B353" i="1"/>
  <c r="C353" i="1" s="1"/>
  <c r="E352" i="1"/>
  <c r="M352" i="1" s="1"/>
  <c r="H352" i="1"/>
  <c r="D352" i="1"/>
  <c r="L352" i="1" s="1"/>
  <c r="AH352" i="1" l="1"/>
  <c r="AI352" i="1"/>
  <c r="AC352" i="1"/>
  <c r="AD352" i="1"/>
  <c r="X352" i="1"/>
  <c r="Y352" i="1"/>
  <c r="T352" i="1"/>
  <c r="S352" i="1"/>
  <c r="O352" i="1"/>
  <c r="N352" i="1"/>
  <c r="P354" i="1"/>
  <c r="K354" i="1"/>
  <c r="AB352" i="1"/>
  <c r="R352" i="1"/>
  <c r="AA352" i="1"/>
  <c r="Q352" i="1"/>
  <c r="U354" i="1"/>
  <c r="Z354" i="1"/>
  <c r="F352" i="1"/>
  <c r="V352" i="1"/>
  <c r="G352" i="1"/>
  <c r="W352" i="1"/>
  <c r="AP352" i="1"/>
  <c r="AQ352" i="1"/>
  <c r="AL352" i="1"/>
  <c r="AK352" i="1"/>
  <c r="AF352" i="1"/>
  <c r="AG352" i="1"/>
  <c r="E353" i="1"/>
  <c r="M353" i="1" s="1"/>
  <c r="D353" i="1"/>
  <c r="L353" i="1" s="1"/>
  <c r="H353" i="1"/>
  <c r="AE354" i="1"/>
  <c r="B354" i="1"/>
  <c r="C354" i="1" s="1"/>
  <c r="AO354" i="1"/>
  <c r="A355" i="1"/>
  <c r="I355" i="1" s="1"/>
  <c r="J355" i="1" s="1"/>
  <c r="AJ354" i="1"/>
  <c r="AH353" i="1" l="1"/>
  <c r="AI353" i="1"/>
  <c r="AC353" i="1"/>
  <c r="AD353" i="1"/>
  <c r="X353" i="1"/>
  <c r="Y353" i="1"/>
  <c r="S353" i="1"/>
  <c r="T353" i="1"/>
  <c r="N353" i="1"/>
  <c r="O353" i="1"/>
  <c r="P355" i="1"/>
  <c r="K355" i="1"/>
  <c r="AA353" i="1"/>
  <c r="Q353" i="1"/>
  <c r="AQ353" i="1"/>
  <c r="R353" i="1"/>
  <c r="AB353" i="1"/>
  <c r="U355" i="1"/>
  <c r="Z355" i="1"/>
  <c r="F353" i="1"/>
  <c r="V353" i="1"/>
  <c r="G353" i="1"/>
  <c r="W353" i="1"/>
  <c r="AP353" i="1"/>
  <c r="AK353" i="1"/>
  <c r="AL353" i="1"/>
  <c r="AG353" i="1"/>
  <c r="AF353" i="1"/>
  <c r="A356" i="1"/>
  <c r="I356" i="1" s="1"/>
  <c r="J356" i="1" s="1"/>
  <c r="AO355" i="1"/>
  <c r="AE355" i="1"/>
  <c r="B355" i="1"/>
  <c r="C355" i="1" s="1"/>
  <c r="AJ355" i="1"/>
  <c r="E354" i="1"/>
  <c r="M354" i="1" s="1"/>
  <c r="D354" i="1"/>
  <c r="L354" i="1" s="1"/>
  <c r="H354" i="1"/>
  <c r="AI354" i="1" l="1"/>
  <c r="AH354" i="1"/>
  <c r="AC354" i="1"/>
  <c r="AD354" i="1"/>
  <c r="X354" i="1"/>
  <c r="Y354" i="1"/>
  <c r="T354" i="1"/>
  <c r="S354" i="1"/>
  <c r="N354" i="1"/>
  <c r="O354" i="1"/>
  <c r="P356" i="1"/>
  <c r="K356" i="1"/>
  <c r="AA354" i="1"/>
  <c r="Q354" i="1"/>
  <c r="AB354" i="1"/>
  <c r="R354" i="1"/>
  <c r="U356" i="1"/>
  <c r="Z356" i="1"/>
  <c r="F354" i="1"/>
  <c r="V354" i="1"/>
  <c r="G354" i="1"/>
  <c r="W354" i="1"/>
  <c r="AP354" i="1"/>
  <c r="AQ354" i="1"/>
  <c r="AK354" i="1"/>
  <c r="AL354" i="1"/>
  <c r="AF354" i="1"/>
  <c r="AG354" i="1"/>
  <c r="D355" i="1"/>
  <c r="Q355" i="1" s="1"/>
  <c r="H355" i="1"/>
  <c r="E355" i="1"/>
  <c r="M355" i="1" s="1"/>
  <c r="AE356" i="1"/>
  <c r="AO356" i="1"/>
  <c r="A357" i="1"/>
  <c r="I357" i="1" s="1"/>
  <c r="J357" i="1" s="1"/>
  <c r="AJ356" i="1"/>
  <c r="B356" i="1"/>
  <c r="C356" i="1" s="1"/>
  <c r="AI355" i="1" l="1"/>
  <c r="AH355" i="1"/>
  <c r="AD355" i="1"/>
  <c r="AC355" i="1"/>
  <c r="X355" i="1"/>
  <c r="Y355" i="1"/>
  <c r="T355" i="1"/>
  <c r="S355" i="1"/>
  <c r="O355" i="1"/>
  <c r="N355" i="1"/>
  <c r="AA355" i="1"/>
  <c r="L355" i="1"/>
  <c r="P357" i="1"/>
  <c r="K357" i="1"/>
  <c r="AB355" i="1"/>
  <c r="R355" i="1"/>
  <c r="U357" i="1"/>
  <c r="Z357" i="1"/>
  <c r="F355" i="1"/>
  <c r="V355" i="1"/>
  <c r="G355" i="1"/>
  <c r="W355" i="1"/>
  <c r="AP355" i="1"/>
  <c r="AQ355" i="1"/>
  <c r="AK355" i="1"/>
  <c r="AL355" i="1"/>
  <c r="AG355" i="1"/>
  <c r="AF355" i="1"/>
  <c r="A358" i="1"/>
  <c r="I358" i="1" s="1"/>
  <c r="J358" i="1" s="1"/>
  <c r="AO357" i="1"/>
  <c r="B357" i="1"/>
  <c r="C357" i="1" s="1"/>
  <c r="AJ357" i="1"/>
  <c r="AE357" i="1"/>
  <c r="E356" i="1"/>
  <c r="M356" i="1" s="1"/>
  <c r="D356" i="1"/>
  <c r="N356" i="1" s="1"/>
  <c r="H356" i="1"/>
  <c r="AH356" i="1" l="1"/>
  <c r="AI356" i="1"/>
  <c r="AC356" i="1"/>
  <c r="AD356" i="1"/>
  <c r="X356" i="1"/>
  <c r="Y356" i="1"/>
  <c r="T356" i="1"/>
  <c r="S356" i="1"/>
  <c r="L356" i="1"/>
  <c r="O356" i="1"/>
  <c r="P358" i="1"/>
  <c r="K358" i="1"/>
  <c r="AA356" i="1"/>
  <c r="Q356" i="1"/>
  <c r="AB356" i="1"/>
  <c r="R356" i="1"/>
  <c r="U358" i="1"/>
  <c r="Z358" i="1"/>
  <c r="F356" i="1"/>
  <c r="V356" i="1"/>
  <c r="G356" i="1"/>
  <c r="W356" i="1"/>
  <c r="AQ356" i="1"/>
  <c r="AP356" i="1"/>
  <c r="AK356" i="1"/>
  <c r="AL356" i="1"/>
  <c r="AF356" i="1"/>
  <c r="AG356" i="1"/>
  <c r="H357" i="1"/>
  <c r="E357" i="1"/>
  <c r="O357" i="1" s="1"/>
  <c r="D357" i="1"/>
  <c r="N357" i="1" s="1"/>
  <c r="AE358" i="1"/>
  <c r="AJ358" i="1"/>
  <c r="A359" i="1"/>
  <c r="I359" i="1" s="1"/>
  <c r="J359" i="1" s="1"/>
  <c r="B358" i="1"/>
  <c r="C358" i="1" s="1"/>
  <c r="AO358" i="1"/>
  <c r="AH357" i="1" l="1"/>
  <c r="AI357" i="1"/>
  <c r="AC357" i="1"/>
  <c r="AD357" i="1"/>
  <c r="Y357" i="1"/>
  <c r="X357" i="1"/>
  <c r="S357" i="1"/>
  <c r="T357" i="1"/>
  <c r="L357" i="1"/>
  <c r="M357" i="1"/>
  <c r="P359" i="1"/>
  <c r="K359" i="1"/>
  <c r="AA357" i="1"/>
  <c r="Q357" i="1"/>
  <c r="AB357" i="1"/>
  <c r="R357" i="1"/>
  <c r="U359" i="1"/>
  <c r="Z359" i="1"/>
  <c r="F357" i="1"/>
  <c r="V357" i="1"/>
  <c r="G357" i="1"/>
  <c r="W357" i="1"/>
  <c r="AP357" i="1"/>
  <c r="AQ357" i="1"/>
  <c r="AK357" i="1"/>
  <c r="AL357" i="1"/>
  <c r="AF357" i="1"/>
  <c r="AG357" i="1"/>
  <c r="E358" i="1"/>
  <c r="M358" i="1" s="1"/>
  <c r="D358" i="1"/>
  <c r="N358" i="1" s="1"/>
  <c r="H358" i="1"/>
  <c r="A360" i="1"/>
  <c r="I360" i="1" s="1"/>
  <c r="J360" i="1" s="1"/>
  <c r="AO359" i="1"/>
  <c r="AJ359" i="1"/>
  <c r="B359" i="1"/>
  <c r="C359" i="1" s="1"/>
  <c r="AE359" i="1"/>
  <c r="AH358" i="1" l="1"/>
  <c r="AI358" i="1"/>
  <c r="AC358" i="1"/>
  <c r="AD358" i="1"/>
  <c r="X358" i="1"/>
  <c r="Y358" i="1"/>
  <c r="T358" i="1"/>
  <c r="S358" i="1"/>
  <c r="L358" i="1"/>
  <c r="O358" i="1"/>
  <c r="P360" i="1"/>
  <c r="K360" i="1"/>
  <c r="AA358" i="1"/>
  <c r="Q358" i="1"/>
  <c r="AB358" i="1"/>
  <c r="R358" i="1"/>
  <c r="U360" i="1"/>
  <c r="Z360" i="1"/>
  <c r="G358" i="1"/>
  <c r="W358" i="1"/>
  <c r="F358" i="1"/>
  <c r="V358" i="1"/>
  <c r="AP358" i="1"/>
  <c r="AQ358" i="1"/>
  <c r="AK358" i="1"/>
  <c r="AL358" i="1"/>
  <c r="AG358" i="1"/>
  <c r="AF358" i="1"/>
  <c r="AE360" i="1"/>
  <c r="AO360" i="1"/>
  <c r="AJ360" i="1"/>
  <c r="B360" i="1"/>
  <c r="C360" i="1" s="1"/>
  <c r="A361" i="1"/>
  <c r="I361" i="1" s="1"/>
  <c r="J361" i="1" s="1"/>
  <c r="D359" i="1"/>
  <c r="L359" i="1" s="1"/>
  <c r="H359" i="1"/>
  <c r="E359" i="1"/>
  <c r="M359" i="1" s="1"/>
  <c r="AH359" i="1" l="1"/>
  <c r="AI359" i="1"/>
  <c r="AD359" i="1"/>
  <c r="AC359" i="1"/>
  <c r="Y359" i="1"/>
  <c r="X359" i="1"/>
  <c r="O359" i="1"/>
  <c r="T359" i="1"/>
  <c r="S359" i="1"/>
  <c r="N359" i="1"/>
  <c r="P361" i="1"/>
  <c r="K361" i="1"/>
  <c r="AA359" i="1"/>
  <c r="Q359" i="1"/>
  <c r="AB359" i="1"/>
  <c r="R359" i="1"/>
  <c r="U361" i="1"/>
  <c r="Z361" i="1"/>
  <c r="G359" i="1"/>
  <c r="W359" i="1"/>
  <c r="F359" i="1"/>
  <c r="V359" i="1"/>
  <c r="AP359" i="1"/>
  <c r="AQ359" i="1"/>
  <c r="AK359" i="1"/>
  <c r="AL359" i="1"/>
  <c r="AG359" i="1"/>
  <c r="AF359" i="1"/>
  <c r="E360" i="1"/>
  <c r="M360" i="1" s="1"/>
  <c r="H360" i="1"/>
  <c r="D360" i="1"/>
  <c r="L360" i="1" s="1"/>
  <c r="A362" i="1"/>
  <c r="I362" i="1" s="1"/>
  <c r="J362" i="1" s="1"/>
  <c r="AO361" i="1"/>
  <c r="AJ361" i="1"/>
  <c r="B361" i="1"/>
  <c r="C361" i="1" s="1"/>
  <c r="AE361" i="1"/>
  <c r="AH360" i="1" l="1"/>
  <c r="AI360" i="1"/>
  <c r="AC360" i="1"/>
  <c r="AD360" i="1"/>
  <c r="X360" i="1"/>
  <c r="Y360" i="1"/>
  <c r="S360" i="1"/>
  <c r="T360" i="1"/>
  <c r="O360" i="1"/>
  <c r="N360" i="1"/>
  <c r="P362" i="1"/>
  <c r="K362" i="1"/>
  <c r="AB360" i="1"/>
  <c r="R360" i="1"/>
  <c r="AA360" i="1"/>
  <c r="Q360" i="1"/>
  <c r="U362" i="1"/>
  <c r="Z362" i="1"/>
  <c r="G360" i="1"/>
  <c r="W360" i="1"/>
  <c r="F360" i="1"/>
  <c r="V360" i="1"/>
  <c r="AQ360" i="1"/>
  <c r="AP360" i="1"/>
  <c r="AK360" i="1"/>
  <c r="AL360" i="1"/>
  <c r="AG360" i="1"/>
  <c r="AF360" i="1"/>
  <c r="H361" i="1"/>
  <c r="E361" i="1"/>
  <c r="M361" i="1" s="1"/>
  <c r="D361" i="1"/>
  <c r="L361" i="1" s="1"/>
  <c r="AE362" i="1"/>
  <c r="AJ362" i="1"/>
  <c r="B362" i="1"/>
  <c r="C362" i="1" s="1"/>
  <c r="A363" i="1"/>
  <c r="I363" i="1" s="1"/>
  <c r="J363" i="1" s="1"/>
  <c r="AO362" i="1"/>
  <c r="AH361" i="1" l="1"/>
  <c r="AH362" i="1"/>
  <c r="AI361" i="1"/>
  <c r="AC361" i="1"/>
  <c r="AD361" i="1"/>
  <c r="X361" i="1"/>
  <c r="Y361" i="1"/>
  <c r="S361" i="1"/>
  <c r="T361" i="1"/>
  <c r="N361" i="1"/>
  <c r="O361" i="1"/>
  <c r="P363" i="1"/>
  <c r="K363" i="1"/>
  <c r="AA361" i="1"/>
  <c r="Q361" i="1"/>
  <c r="AB361" i="1"/>
  <c r="R361" i="1"/>
  <c r="AP361" i="1"/>
  <c r="U363" i="1"/>
  <c r="Z363" i="1"/>
  <c r="F361" i="1"/>
  <c r="V361" i="1"/>
  <c r="G361" i="1"/>
  <c r="W361" i="1"/>
  <c r="AQ361" i="1"/>
  <c r="AK361" i="1"/>
  <c r="AL361" i="1"/>
  <c r="AG361" i="1"/>
  <c r="AF361" i="1"/>
  <c r="A364" i="1"/>
  <c r="I364" i="1" s="1"/>
  <c r="J364" i="1" s="1"/>
  <c r="AO363" i="1"/>
  <c r="AJ363" i="1"/>
  <c r="B363" i="1"/>
  <c r="C363" i="1" s="1"/>
  <c r="AE363" i="1"/>
  <c r="E362" i="1"/>
  <c r="M362" i="1" s="1"/>
  <c r="H362" i="1"/>
  <c r="D362" i="1"/>
  <c r="L362" i="1" s="1"/>
  <c r="AI362" i="1" l="1"/>
  <c r="AD362" i="1"/>
  <c r="AC362" i="1"/>
  <c r="X362" i="1"/>
  <c r="Y362" i="1"/>
  <c r="T362" i="1"/>
  <c r="S362" i="1"/>
  <c r="N362" i="1"/>
  <c r="O362" i="1"/>
  <c r="P364" i="1"/>
  <c r="K364" i="1"/>
  <c r="AB362" i="1"/>
  <c r="R362" i="1"/>
  <c r="AA362" i="1"/>
  <c r="Q362" i="1"/>
  <c r="U364" i="1"/>
  <c r="Z364" i="1"/>
  <c r="F362" i="1"/>
  <c r="V362" i="1"/>
  <c r="G362" i="1"/>
  <c r="W362" i="1"/>
  <c r="AQ362" i="1"/>
  <c r="AP362" i="1"/>
  <c r="AK362" i="1"/>
  <c r="AL362" i="1"/>
  <c r="AF362" i="1"/>
  <c r="AG362" i="1"/>
  <c r="D363" i="1"/>
  <c r="L363" i="1" s="1"/>
  <c r="H363" i="1"/>
  <c r="E363" i="1"/>
  <c r="M363" i="1" s="1"/>
  <c r="AE364" i="1"/>
  <c r="AO364" i="1"/>
  <c r="AJ364" i="1"/>
  <c r="B364" i="1"/>
  <c r="C364" i="1" s="1"/>
  <c r="A365" i="1"/>
  <c r="I365" i="1" s="1"/>
  <c r="J365" i="1" s="1"/>
  <c r="AH363" i="1" l="1"/>
  <c r="AI363" i="1"/>
  <c r="AC363" i="1"/>
  <c r="AD363" i="1"/>
  <c r="X363" i="1"/>
  <c r="Y363" i="1"/>
  <c r="T363" i="1"/>
  <c r="S363" i="1"/>
  <c r="N363" i="1"/>
  <c r="O363" i="1"/>
  <c r="P365" i="1"/>
  <c r="K365" i="1"/>
  <c r="AB363" i="1"/>
  <c r="R363" i="1"/>
  <c r="AA363" i="1"/>
  <c r="Q363" i="1"/>
  <c r="U365" i="1"/>
  <c r="Z365" i="1"/>
  <c r="G363" i="1"/>
  <c r="W363" i="1"/>
  <c r="F363" i="1"/>
  <c r="V363" i="1"/>
  <c r="AP363" i="1"/>
  <c r="AQ363" i="1"/>
  <c r="AL363" i="1"/>
  <c r="AK363" i="1"/>
  <c r="AG363" i="1"/>
  <c r="AF363" i="1"/>
  <c r="E364" i="1"/>
  <c r="M364" i="1" s="1"/>
  <c r="H364" i="1"/>
  <c r="D364" i="1"/>
  <c r="N364" i="1" s="1"/>
  <c r="A366" i="1"/>
  <c r="I366" i="1" s="1"/>
  <c r="J366" i="1" s="1"/>
  <c r="AO365" i="1"/>
  <c r="AJ365" i="1"/>
  <c r="B365" i="1"/>
  <c r="C365" i="1" s="1"/>
  <c r="AE365" i="1"/>
  <c r="AH364" i="1" l="1"/>
  <c r="AI364" i="1"/>
  <c r="AC364" i="1"/>
  <c r="AD364" i="1"/>
  <c r="X364" i="1"/>
  <c r="Y364" i="1"/>
  <c r="T364" i="1"/>
  <c r="S364" i="1"/>
  <c r="L364" i="1"/>
  <c r="O364" i="1"/>
  <c r="P366" i="1"/>
  <c r="K366" i="1"/>
  <c r="AA364" i="1"/>
  <c r="Q364" i="1"/>
  <c r="AB364" i="1"/>
  <c r="R364" i="1"/>
  <c r="U366" i="1"/>
  <c r="Z366" i="1"/>
  <c r="G364" i="1"/>
  <c r="W364" i="1"/>
  <c r="F364" i="1"/>
  <c r="V364" i="1"/>
  <c r="AQ364" i="1"/>
  <c r="AL364" i="1"/>
  <c r="AP364" i="1"/>
  <c r="AK364" i="1"/>
  <c r="AF364" i="1"/>
  <c r="AG364" i="1"/>
  <c r="H365" i="1"/>
  <c r="E365" i="1"/>
  <c r="M365" i="1" s="1"/>
  <c r="D365" i="1"/>
  <c r="L365" i="1" s="1"/>
  <c r="AE366" i="1"/>
  <c r="AJ366" i="1"/>
  <c r="B366" i="1"/>
  <c r="C366" i="1" s="1"/>
  <c r="A367" i="1"/>
  <c r="I367" i="1" s="1"/>
  <c r="J367" i="1" s="1"/>
  <c r="AO366" i="1"/>
  <c r="AH365" i="1" l="1"/>
  <c r="AI365" i="1"/>
  <c r="AD365" i="1"/>
  <c r="AC365" i="1"/>
  <c r="X365" i="1"/>
  <c r="Y365" i="1"/>
  <c r="S365" i="1"/>
  <c r="T365" i="1"/>
  <c r="N365" i="1"/>
  <c r="O365" i="1"/>
  <c r="P367" i="1"/>
  <c r="K367" i="1"/>
  <c r="AA365" i="1"/>
  <c r="Q365" i="1"/>
  <c r="AB365" i="1"/>
  <c r="R365" i="1"/>
  <c r="U367" i="1"/>
  <c r="Z367" i="1"/>
  <c r="F365" i="1"/>
  <c r="V365" i="1"/>
  <c r="G365" i="1"/>
  <c r="W365" i="1"/>
  <c r="AL365" i="1"/>
  <c r="AP365" i="1"/>
  <c r="AQ365" i="1"/>
  <c r="AK365" i="1"/>
  <c r="AF365" i="1"/>
  <c r="AG365" i="1"/>
  <c r="A368" i="1"/>
  <c r="I368" i="1" s="1"/>
  <c r="J368" i="1" s="1"/>
  <c r="AO367" i="1"/>
  <c r="AJ367" i="1"/>
  <c r="B367" i="1"/>
  <c r="C367" i="1" s="1"/>
  <c r="AE367" i="1"/>
  <c r="E366" i="1"/>
  <c r="M366" i="1" s="1"/>
  <c r="H366" i="1"/>
  <c r="D366" i="1"/>
  <c r="L366" i="1" s="1"/>
  <c r="AH366" i="1" l="1"/>
  <c r="AI366" i="1"/>
  <c r="AC366" i="1"/>
  <c r="AD366" i="1"/>
  <c r="X366" i="1"/>
  <c r="Y366" i="1"/>
  <c r="N366" i="1"/>
  <c r="S366" i="1"/>
  <c r="T366" i="1"/>
  <c r="O366" i="1"/>
  <c r="P368" i="1"/>
  <c r="K368" i="1"/>
  <c r="AB366" i="1"/>
  <c r="R366" i="1"/>
  <c r="AA366" i="1"/>
  <c r="Q366" i="1"/>
  <c r="U368" i="1"/>
  <c r="Z368" i="1"/>
  <c r="F366" i="1"/>
  <c r="V366" i="1"/>
  <c r="G366" i="1"/>
  <c r="W366" i="1"/>
  <c r="AP366" i="1"/>
  <c r="AK366" i="1"/>
  <c r="AQ366" i="1"/>
  <c r="AL366" i="1"/>
  <c r="AG366" i="1"/>
  <c r="AF366" i="1"/>
  <c r="D367" i="1"/>
  <c r="L367" i="1" s="1"/>
  <c r="H367" i="1"/>
  <c r="E367" i="1"/>
  <c r="M367" i="1" s="1"/>
  <c r="AE368" i="1"/>
  <c r="AO368" i="1"/>
  <c r="AJ368" i="1"/>
  <c r="B368" i="1"/>
  <c r="C368" i="1" s="1"/>
  <c r="A369" i="1"/>
  <c r="I369" i="1" s="1"/>
  <c r="J369" i="1" s="1"/>
  <c r="AH367" i="1" l="1"/>
  <c r="AI367" i="1"/>
  <c r="X367" i="1"/>
  <c r="AD367" i="1"/>
  <c r="AC367" i="1"/>
  <c r="Y367" i="1"/>
  <c r="T367" i="1"/>
  <c r="S367" i="1"/>
  <c r="O367" i="1"/>
  <c r="N367" i="1"/>
  <c r="P369" i="1"/>
  <c r="K369" i="1"/>
  <c r="AA367" i="1"/>
  <c r="Q367" i="1"/>
  <c r="AB367" i="1"/>
  <c r="R367" i="1"/>
  <c r="AQ367" i="1"/>
  <c r="U369" i="1"/>
  <c r="Z369" i="1"/>
  <c r="G367" i="1"/>
  <c r="W367" i="1"/>
  <c r="F367" i="1"/>
  <c r="V367" i="1"/>
  <c r="AP367" i="1"/>
  <c r="AK367" i="1"/>
  <c r="AL367" i="1"/>
  <c r="AF367" i="1"/>
  <c r="AG367" i="1"/>
  <c r="E368" i="1"/>
  <c r="M368" i="1" s="1"/>
  <c r="H368" i="1"/>
  <c r="D368" i="1"/>
  <c r="L368" i="1" s="1"/>
  <c r="A370" i="1"/>
  <c r="I370" i="1" s="1"/>
  <c r="J370" i="1" s="1"/>
  <c r="AO369" i="1"/>
  <c r="AJ369" i="1"/>
  <c r="B369" i="1"/>
  <c r="C369" i="1" s="1"/>
  <c r="AE369" i="1"/>
  <c r="AC368" i="1" l="1"/>
  <c r="AH368" i="1"/>
  <c r="AI368" i="1"/>
  <c r="AD368" i="1"/>
  <c r="Y368" i="1"/>
  <c r="X368" i="1"/>
  <c r="S368" i="1"/>
  <c r="T368" i="1"/>
  <c r="N368" i="1"/>
  <c r="O368" i="1"/>
  <c r="P370" i="1"/>
  <c r="K370" i="1"/>
  <c r="AB368" i="1"/>
  <c r="R368" i="1"/>
  <c r="AA368" i="1"/>
  <c r="Q368" i="1"/>
  <c r="U370" i="1"/>
  <c r="Z370" i="1"/>
  <c r="G368" i="1"/>
  <c r="W368" i="1"/>
  <c r="F368" i="1"/>
  <c r="V368" i="1"/>
  <c r="AP368" i="1"/>
  <c r="AQ368" i="1"/>
  <c r="AK368" i="1"/>
  <c r="AL368" i="1"/>
  <c r="AG368" i="1"/>
  <c r="AF368" i="1"/>
  <c r="AE370" i="1"/>
  <c r="AJ370" i="1"/>
  <c r="B370" i="1"/>
  <c r="C370" i="1" s="1"/>
  <c r="A371" i="1"/>
  <c r="I371" i="1" s="1"/>
  <c r="J371" i="1" s="1"/>
  <c r="AO370" i="1"/>
  <c r="H369" i="1"/>
  <c r="E369" i="1"/>
  <c r="M369" i="1" s="1"/>
  <c r="D369" i="1"/>
  <c r="L369" i="1" s="1"/>
  <c r="AH369" i="1" l="1"/>
  <c r="AI369" i="1"/>
  <c r="AD369" i="1"/>
  <c r="AC369" i="1"/>
  <c r="X369" i="1"/>
  <c r="Y369" i="1"/>
  <c r="T369" i="1"/>
  <c r="S369" i="1"/>
  <c r="N369" i="1"/>
  <c r="O369" i="1"/>
  <c r="P371" i="1"/>
  <c r="K371" i="1"/>
  <c r="AA369" i="1"/>
  <c r="Q369" i="1"/>
  <c r="AB369" i="1"/>
  <c r="R369" i="1"/>
  <c r="U371" i="1"/>
  <c r="Z371" i="1"/>
  <c r="F369" i="1"/>
  <c r="V369" i="1"/>
  <c r="G369" i="1"/>
  <c r="W369" i="1"/>
  <c r="AP369" i="1"/>
  <c r="AQ369" i="1"/>
  <c r="AK369" i="1"/>
  <c r="AL369" i="1"/>
  <c r="AF369" i="1"/>
  <c r="AG369" i="1"/>
  <c r="E370" i="1"/>
  <c r="M370" i="1" s="1"/>
  <c r="H370" i="1"/>
  <c r="D370" i="1"/>
  <c r="L370" i="1" s="1"/>
  <c r="A372" i="1"/>
  <c r="I372" i="1" s="1"/>
  <c r="J372" i="1" s="1"/>
  <c r="AO371" i="1"/>
  <c r="AJ371" i="1"/>
  <c r="B371" i="1"/>
  <c r="C371" i="1" s="1"/>
  <c r="AE371" i="1"/>
  <c r="AC370" i="1" l="1"/>
  <c r="AH370" i="1"/>
  <c r="AI370" i="1"/>
  <c r="AD370" i="1"/>
  <c r="X370" i="1"/>
  <c r="Y370" i="1"/>
  <c r="S370" i="1"/>
  <c r="T370" i="1"/>
  <c r="N370" i="1"/>
  <c r="O370" i="1"/>
  <c r="P372" i="1"/>
  <c r="K372" i="1"/>
  <c r="AB370" i="1"/>
  <c r="R370" i="1"/>
  <c r="AA370" i="1"/>
  <c r="Q370" i="1"/>
  <c r="U372" i="1"/>
  <c r="Z372" i="1"/>
  <c r="F370" i="1"/>
  <c r="V370" i="1"/>
  <c r="G370" i="1"/>
  <c r="W370" i="1"/>
  <c r="AP370" i="1"/>
  <c r="AQ370" i="1"/>
  <c r="AK370" i="1"/>
  <c r="AL370" i="1"/>
  <c r="AG370" i="1"/>
  <c r="AF370" i="1"/>
  <c r="AE372" i="1"/>
  <c r="AO372" i="1"/>
  <c r="AJ372" i="1"/>
  <c r="B372" i="1"/>
  <c r="C372" i="1" s="1"/>
  <c r="A373" i="1"/>
  <c r="I373" i="1" s="1"/>
  <c r="J373" i="1" s="1"/>
  <c r="D371" i="1"/>
  <c r="L371" i="1" s="1"/>
  <c r="H371" i="1"/>
  <c r="E371" i="1"/>
  <c r="M371" i="1" s="1"/>
  <c r="AH371" i="1" l="1"/>
  <c r="AI371" i="1"/>
  <c r="AC371" i="1"/>
  <c r="AD371" i="1"/>
  <c r="X371" i="1"/>
  <c r="Y371" i="1"/>
  <c r="T371" i="1"/>
  <c r="O371" i="1"/>
  <c r="S371" i="1"/>
  <c r="N371" i="1"/>
  <c r="P373" i="1"/>
  <c r="K373" i="1"/>
  <c r="AA371" i="1"/>
  <c r="Q371" i="1"/>
  <c r="AL371" i="1"/>
  <c r="R371" i="1"/>
  <c r="AB371" i="1"/>
  <c r="U373" i="1"/>
  <c r="Z373" i="1"/>
  <c r="AQ371" i="1"/>
  <c r="F371" i="1"/>
  <c r="V371" i="1"/>
  <c r="G371" i="1"/>
  <c r="W371" i="1"/>
  <c r="AP371" i="1"/>
  <c r="AK371" i="1"/>
  <c r="AF371" i="1"/>
  <c r="AG371" i="1"/>
  <c r="E372" i="1"/>
  <c r="M372" i="1" s="1"/>
  <c r="H372" i="1"/>
  <c r="D372" i="1"/>
  <c r="L372" i="1" s="1"/>
  <c r="A374" i="1"/>
  <c r="I374" i="1" s="1"/>
  <c r="J374" i="1" s="1"/>
  <c r="AO373" i="1"/>
  <c r="AJ373" i="1"/>
  <c r="B373" i="1"/>
  <c r="C373" i="1" s="1"/>
  <c r="AE373" i="1"/>
  <c r="AC372" i="1" l="1"/>
  <c r="AH372" i="1"/>
  <c r="AI372" i="1"/>
  <c r="AD372" i="1"/>
  <c r="X372" i="1"/>
  <c r="Y372" i="1"/>
  <c r="S372" i="1"/>
  <c r="T372" i="1"/>
  <c r="N372" i="1"/>
  <c r="O372" i="1"/>
  <c r="P374" i="1"/>
  <c r="K374" i="1"/>
  <c r="AB372" i="1"/>
  <c r="R372" i="1"/>
  <c r="AA372" i="1"/>
  <c r="Q372" i="1"/>
  <c r="U374" i="1"/>
  <c r="Z374" i="1"/>
  <c r="F372" i="1"/>
  <c r="V372" i="1"/>
  <c r="G372" i="1"/>
  <c r="W372" i="1"/>
  <c r="AP372" i="1"/>
  <c r="AQ372" i="1"/>
  <c r="AK372" i="1"/>
  <c r="AL372" i="1"/>
  <c r="AF372" i="1"/>
  <c r="AG372" i="1"/>
  <c r="AE374" i="1"/>
  <c r="AJ374" i="1"/>
  <c r="B374" i="1"/>
  <c r="C374" i="1" s="1"/>
  <c r="A375" i="1"/>
  <c r="I375" i="1" s="1"/>
  <c r="J375" i="1" s="1"/>
  <c r="AO374" i="1"/>
  <c r="H373" i="1"/>
  <c r="E373" i="1"/>
  <c r="M373" i="1" s="1"/>
  <c r="D373" i="1"/>
  <c r="L373" i="1" s="1"/>
  <c r="AH373" i="1" l="1"/>
  <c r="AI373" i="1"/>
  <c r="AD373" i="1"/>
  <c r="AC373" i="1"/>
  <c r="X373" i="1"/>
  <c r="Y373" i="1"/>
  <c r="N373" i="1"/>
  <c r="S373" i="1"/>
  <c r="T373" i="1"/>
  <c r="O373" i="1"/>
  <c r="P375" i="1"/>
  <c r="K375" i="1"/>
  <c r="AB373" i="1"/>
  <c r="R373" i="1"/>
  <c r="AA373" i="1"/>
  <c r="Q373" i="1"/>
  <c r="U375" i="1"/>
  <c r="Z375" i="1"/>
  <c r="F373" i="1"/>
  <c r="V373" i="1"/>
  <c r="G373" i="1"/>
  <c r="W373" i="1"/>
  <c r="AP373" i="1"/>
  <c r="AQ373" i="1"/>
  <c r="AK373" i="1"/>
  <c r="AL373" i="1"/>
  <c r="AF373" i="1"/>
  <c r="AG373" i="1"/>
  <c r="E374" i="1"/>
  <c r="O374" i="1" s="1"/>
  <c r="H374" i="1"/>
  <c r="D374" i="1"/>
  <c r="N374" i="1" s="1"/>
  <c r="A376" i="1"/>
  <c r="I376" i="1" s="1"/>
  <c r="J376" i="1" s="1"/>
  <c r="AO375" i="1"/>
  <c r="AJ375" i="1"/>
  <c r="B375" i="1"/>
  <c r="C375" i="1" s="1"/>
  <c r="AE375" i="1"/>
  <c r="AC374" i="1" l="1"/>
  <c r="AH374" i="1"/>
  <c r="AI374" i="1"/>
  <c r="AD374" i="1"/>
  <c r="Y374" i="1"/>
  <c r="X374" i="1"/>
  <c r="T374" i="1"/>
  <c r="S374" i="1"/>
  <c r="L374" i="1"/>
  <c r="M374" i="1"/>
  <c r="P376" i="1"/>
  <c r="K376" i="1"/>
  <c r="AA374" i="1"/>
  <c r="Q374" i="1"/>
  <c r="AB374" i="1"/>
  <c r="R374" i="1"/>
  <c r="U376" i="1"/>
  <c r="Z376" i="1"/>
  <c r="G374" i="1"/>
  <c r="W374" i="1"/>
  <c r="F374" i="1"/>
  <c r="V374" i="1"/>
  <c r="AQ374" i="1"/>
  <c r="AP374" i="1"/>
  <c r="AK374" i="1"/>
  <c r="AL374" i="1"/>
  <c r="AG374" i="1"/>
  <c r="AF374" i="1"/>
  <c r="AE376" i="1"/>
  <c r="AO376" i="1"/>
  <c r="AJ376" i="1"/>
  <c r="B376" i="1"/>
  <c r="C376" i="1" s="1"/>
  <c r="A377" i="1"/>
  <c r="I377" i="1" s="1"/>
  <c r="J377" i="1" s="1"/>
  <c r="D375" i="1"/>
  <c r="L375" i="1" s="1"/>
  <c r="H375" i="1"/>
  <c r="E375" i="1"/>
  <c r="M375" i="1" s="1"/>
  <c r="AH375" i="1" l="1"/>
  <c r="AI375" i="1"/>
  <c r="AC375" i="1"/>
  <c r="AD375" i="1"/>
  <c r="X375" i="1"/>
  <c r="Y375" i="1"/>
  <c r="S375" i="1"/>
  <c r="T375" i="1"/>
  <c r="O375" i="1"/>
  <c r="N375" i="1"/>
  <c r="P377" i="1"/>
  <c r="K377" i="1"/>
  <c r="AA375" i="1"/>
  <c r="Q375" i="1"/>
  <c r="AB375" i="1"/>
  <c r="R375" i="1"/>
  <c r="U377" i="1"/>
  <c r="Z377" i="1"/>
  <c r="G375" i="1"/>
  <c r="W375" i="1"/>
  <c r="F375" i="1"/>
  <c r="V375" i="1"/>
  <c r="AP375" i="1"/>
  <c r="AQ375" i="1"/>
  <c r="AK375" i="1"/>
  <c r="AL375" i="1"/>
  <c r="AG375" i="1"/>
  <c r="AF375" i="1"/>
  <c r="E376" i="1"/>
  <c r="M376" i="1" s="1"/>
  <c r="H376" i="1"/>
  <c r="D376" i="1"/>
  <c r="L376" i="1" s="1"/>
  <c r="A378" i="1"/>
  <c r="I378" i="1" s="1"/>
  <c r="J378" i="1" s="1"/>
  <c r="AO377" i="1"/>
  <c r="AJ377" i="1"/>
  <c r="B377" i="1"/>
  <c r="C377" i="1" s="1"/>
  <c r="AE377" i="1"/>
  <c r="Y376" i="1" l="1"/>
  <c r="AD376" i="1"/>
  <c r="AI376" i="1"/>
  <c r="AH376" i="1"/>
  <c r="AC376" i="1"/>
  <c r="X376" i="1"/>
  <c r="S376" i="1"/>
  <c r="T376" i="1"/>
  <c r="N376" i="1"/>
  <c r="O376" i="1"/>
  <c r="P378" i="1"/>
  <c r="K378" i="1"/>
  <c r="AB376" i="1"/>
  <c r="R376" i="1"/>
  <c r="AA376" i="1"/>
  <c r="Q376" i="1"/>
  <c r="U378" i="1"/>
  <c r="Z378" i="1"/>
  <c r="G376" i="1"/>
  <c r="W376" i="1"/>
  <c r="F376" i="1"/>
  <c r="V376" i="1"/>
  <c r="AP376" i="1"/>
  <c r="AQ376" i="1"/>
  <c r="AK376" i="1"/>
  <c r="AL376" i="1"/>
  <c r="AG376" i="1"/>
  <c r="AF376" i="1"/>
  <c r="AE378" i="1"/>
  <c r="AJ378" i="1"/>
  <c r="B378" i="1"/>
  <c r="C378" i="1" s="1"/>
  <c r="A379" i="1"/>
  <c r="I379" i="1" s="1"/>
  <c r="J379" i="1" s="1"/>
  <c r="AO378" i="1"/>
  <c r="H377" i="1"/>
  <c r="E377" i="1"/>
  <c r="M377" i="1" s="1"/>
  <c r="D377" i="1"/>
  <c r="L377" i="1" s="1"/>
  <c r="AH377" i="1" l="1"/>
  <c r="AI377" i="1"/>
  <c r="AC377" i="1"/>
  <c r="AD377" i="1"/>
  <c r="X377" i="1"/>
  <c r="Y377" i="1"/>
  <c r="T377" i="1"/>
  <c r="S377" i="1"/>
  <c r="N377" i="1"/>
  <c r="O377" i="1"/>
  <c r="P379" i="1"/>
  <c r="K379" i="1"/>
  <c r="AA377" i="1"/>
  <c r="Q377" i="1"/>
  <c r="AB377" i="1"/>
  <c r="R377" i="1"/>
  <c r="U379" i="1"/>
  <c r="Z379" i="1"/>
  <c r="F377" i="1"/>
  <c r="V377" i="1"/>
  <c r="G377" i="1"/>
  <c r="W377" i="1"/>
  <c r="AK377" i="1"/>
  <c r="AP377" i="1"/>
  <c r="AQ377" i="1"/>
  <c r="AL377" i="1"/>
  <c r="AG377" i="1"/>
  <c r="AF377" i="1"/>
  <c r="E378" i="1"/>
  <c r="M378" i="1" s="1"/>
  <c r="H378" i="1"/>
  <c r="D378" i="1"/>
  <c r="L378" i="1" s="1"/>
  <c r="A380" i="1"/>
  <c r="I380" i="1" s="1"/>
  <c r="J380" i="1" s="1"/>
  <c r="AO379" i="1"/>
  <c r="AJ379" i="1"/>
  <c r="B379" i="1"/>
  <c r="C379" i="1" s="1"/>
  <c r="AE379" i="1"/>
  <c r="AH378" i="1" l="1"/>
  <c r="AI378" i="1"/>
  <c r="AC378" i="1"/>
  <c r="AD378" i="1"/>
  <c r="X378" i="1"/>
  <c r="Y378" i="1"/>
  <c r="S378" i="1"/>
  <c r="T378" i="1"/>
  <c r="N378" i="1"/>
  <c r="O378" i="1"/>
  <c r="P380" i="1"/>
  <c r="K380" i="1"/>
  <c r="AB378" i="1"/>
  <c r="R378" i="1"/>
  <c r="AA378" i="1"/>
  <c r="Q378" i="1"/>
  <c r="AP378" i="1"/>
  <c r="U380" i="1"/>
  <c r="Z380" i="1"/>
  <c r="F378" i="1"/>
  <c r="V378" i="1"/>
  <c r="G378" i="1"/>
  <c r="W378" i="1"/>
  <c r="AQ378" i="1"/>
  <c r="AK378" i="1"/>
  <c r="AL378" i="1"/>
  <c r="AG378" i="1"/>
  <c r="AF378" i="1"/>
  <c r="AE380" i="1"/>
  <c r="AO380" i="1"/>
  <c r="AJ380" i="1"/>
  <c r="B380" i="1"/>
  <c r="C380" i="1" s="1"/>
  <c r="A381" i="1"/>
  <c r="I381" i="1" s="1"/>
  <c r="J381" i="1" s="1"/>
  <c r="D379" i="1"/>
  <c r="L379" i="1" s="1"/>
  <c r="H379" i="1"/>
  <c r="E379" i="1"/>
  <c r="M379" i="1" s="1"/>
  <c r="AH379" i="1" l="1"/>
  <c r="AI379" i="1"/>
  <c r="AC379" i="1"/>
  <c r="AD379" i="1"/>
  <c r="X379" i="1"/>
  <c r="Y379" i="1"/>
  <c r="S379" i="1"/>
  <c r="T379" i="1"/>
  <c r="N379" i="1"/>
  <c r="O379" i="1"/>
  <c r="P381" i="1"/>
  <c r="K381" i="1"/>
  <c r="AA379" i="1"/>
  <c r="Q379" i="1"/>
  <c r="AB379" i="1"/>
  <c r="R379" i="1"/>
  <c r="U381" i="1"/>
  <c r="Z381" i="1"/>
  <c r="G379" i="1"/>
  <c r="W379" i="1"/>
  <c r="F379" i="1"/>
  <c r="V379" i="1"/>
  <c r="AP379" i="1"/>
  <c r="AQ379" i="1"/>
  <c r="AK379" i="1"/>
  <c r="AL379" i="1"/>
  <c r="AG379" i="1"/>
  <c r="AF379" i="1"/>
  <c r="E380" i="1"/>
  <c r="M380" i="1" s="1"/>
  <c r="H380" i="1"/>
  <c r="D380" i="1"/>
  <c r="L380" i="1" s="1"/>
  <c r="A382" i="1"/>
  <c r="I382" i="1" s="1"/>
  <c r="J382" i="1" s="1"/>
  <c r="AO381" i="1"/>
  <c r="AJ381" i="1"/>
  <c r="B381" i="1"/>
  <c r="C381" i="1" s="1"/>
  <c r="AE381" i="1"/>
  <c r="AH380" i="1" l="1"/>
  <c r="AI380" i="1"/>
  <c r="AC380" i="1"/>
  <c r="AD380" i="1"/>
  <c r="X380" i="1"/>
  <c r="Y380" i="1"/>
  <c r="S380" i="1"/>
  <c r="T380" i="1"/>
  <c r="N380" i="1"/>
  <c r="O380" i="1"/>
  <c r="P382" i="1"/>
  <c r="K382" i="1"/>
  <c r="AA380" i="1"/>
  <c r="Q380" i="1"/>
  <c r="AB380" i="1"/>
  <c r="R380" i="1"/>
  <c r="U382" i="1"/>
  <c r="Z382" i="1"/>
  <c r="G380" i="1"/>
  <c r="W380" i="1"/>
  <c r="F380" i="1"/>
  <c r="V380" i="1"/>
  <c r="AL380" i="1"/>
  <c r="AP380" i="1"/>
  <c r="AQ380" i="1"/>
  <c r="AK380" i="1"/>
  <c r="AF380" i="1"/>
  <c r="AG380" i="1"/>
  <c r="H381" i="1"/>
  <c r="E381" i="1"/>
  <c r="M381" i="1" s="1"/>
  <c r="D381" i="1"/>
  <c r="L381" i="1" s="1"/>
  <c r="AE382" i="1"/>
  <c r="AJ382" i="1"/>
  <c r="B382" i="1"/>
  <c r="C382" i="1" s="1"/>
  <c r="A383" i="1"/>
  <c r="I383" i="1" s="1"/>
  <c r="J383" i="1" s="1"/>
  <c r="AO382" i="1"/>
  <c r="AH381" i="1" l="1"/>
  <c r="AI381" i="1"/>
  <c r="AC381" i="1"/>
  <c r="AD381" i="1"/>
  <c r="X381" i="1"/>
  <c r="Y381" i="1"/>
  <c r="T381" i="1"/>
  <c r="S381" i="1"/>
  <c r="N381" i="1"/>
  <c r="O381" i="1"/>
  <c r="P383" i="1"/>
  <c r="K383" i="1"/>
  <c r="AB381" i="1"/>
  <c r="R381" i="1"/>
  <c r="AA381" i="1"/>
  <c r="Q381" i="1"/>
  <c r="AQ381" i="1"/>
  <c r="U383" i="1"/>
  <c r="Z383" i="1"/>
  <c r="F381" i="1"/>
  <c r="V381" i="1"/>
  <c r="G381" i="1"/>
  <c r="W381" i="1"/>
  <c r="AP381" i="1"/>
  <c r="AK381" i="1"/>
  <c r="AL381" i="1"/>
  <c r="AF381" i="1"/>
  <c r="AG381" i="1"/>
  <c r="A384" i="1"/>
  <c r="I384" i="1" s="1"/>
  <c r="J384" i="1" s="1"/>
  <c r="AO383" i="1"/>
  <c r="AJ383" i="1"/>
  <c r="B383" i="1"/>
  <c r="C383" i="1" s="1"/>
  <c r="AE383" i="1"/>
  <c r="E382" i="1"/>
  <c r="M382" i="1" s="1"/>
  <c r="H382" i="1"/>
  <c r="D382" i="1"/>
  <c r="L382" i="1" s="1"/>
  <c r="AI382" i="1" l="1"/>
  <c r="AH382" i="1"/>
  <c r="AD382" i="1"/>
  <c r="AC382" i="1"/>
  <c r="X382" i="1"/>
  <c r="Y382" i="1"/>
  <c r="S382" i="1"/>
  <c r="T382" i="1"/>
  <c r="N382" i="1"/>
  <c r="O382" i="1"/>
  <c r="P384" i="1"/>
  <c r="K384" i="1"/>
  <c r="AB382" i="1"/>
  <c r="R382" i="1"/>
  <c r="AA382" i="1"/>
  <c r="Q382" i="1"/>
  <c r="U384" i="1"/>
  <c r="Z384" i="1"/>
  <c r="F382" i="1"/>
  <c r="V382" i="1"/>
  <c r="G382" i="1"/>
  <c r="W382" i="1"/>
  <c r="AQ382" i="1"/>
  <c r="AP382" i="1"/>
  <c r="AK382" i="1"/>
  <c r="AL382" i="1"/>
  <c r="AG382" i="1"/>
  <c r="AF382" i="1"/>
  <c r="D383" i="1"/>
  <c r="L383" i="1" s="1"/>
  <c r="H383" i="1"/>
  <c r="E383" i="1"/>
  <c r="M383" i="1" s="1"/>
  <c r="AE384" i="1"/>
  <c r="AO384" i="1"/>
  <c r="AJ384" i="1"/>
  <c r="B384" i="1"/>
  <c r="C384" i="1" s="1"/>
  <c r="A385" i="1"/>
  <c r="I385" i="1" s="1"/>
  <c r="J385" i="1" s="1"/>
  <c r="AH384" i="1" l="1"/>
  <c r="AH383" i="1"/>
  <c r="AI383" i="1"/>
  <c r="AD383" i="1"/>
  <c r="AC383" i="1"/>
  <c r="Y383" i="1"/>
  <c r="X383" i="1"/>
  <c r="T383" i="1"/>
  <c r="S383" i="1"/>
  <c r="O383" i="1"/>
  <c r="N383" i="1"/>
  <c r="P385" i="1"/>
  <c r="K385" i="1"/>
  <c r="AB383" i="1"/>
  <c r="R383" i="1"/>
  <c r="AA383" i="1"/>
  <c r="Q383" i="1"/>
  <c r="U385" i="1"/>
  <c r="Z385" i="1"/>
  <c r="F383" i="1"/>
  <c r="V383" i="1"/>
  <c r="G383" i="1"/>
  <c r="W383" i="1"/>
  <c r="AK383" i="1"/>
  <c r="AQ383" i="1"/>
  <c r="AP383" i="1"/>
  <c r="AL383" i="1"/>
  <c r="AF383" i="1"/>
  <c r="AG383" i="1"/>
  <c r="E384" i="1"/>
  <c r="M384" i="1" s="1"/>
  <c r="H384" i="1"/>
  <c r="D384" i="1"/>
  <c r="S384" i="1" s="1"/>
  <c r="A386" i="1"/>
  <c r="I386" i="1" s="1"/>
  <c r="J386" i="1" s="1"/>
  <c r="AO385" i="1"/>
  <c r="AJ385" i="1"/>
  <c r="B385" i="1"/>
  <c r="C385" i="1" s="1"/>
  <c r="AE385" i="1"/>
  <c r="AI385" i="1" l="1"/>
  <c r="AI384" i="1"/>
  <c r="AC384" i="1"/>
  <c r="AD384" i="1"/>
  <c r="X384" i="1"/>
  <c r="Y384" i="1"/>
  <c r="T384" i="1"/>
  <c r="L384" i="1"/>
  <c r="N384" i="1"/>
  <c r="O384" i="1"/>
  <c r="P386" i="1"/>
  <c r="K386" i="1"/>
  <c r="AA384" i="1"/>
  <c r="Q384" i="1"/>
  <c r="AB384" i="1"/>
  <c r="R384" i="1"/>
  <c r="U386" i="1"/>
  <c r="Z386" i="1"/>
  <c r="G384" i="1"/>
  <c r="W384" i="1"/>
  <c r="F384" i="1"/>
  <c r="V384" i="1"/>
  <c r="AQ384" i="1"/>
  <c r="AP384" i="1"/>
  <c r="AL384" i="1"/>
  <c r="AK384" i="1"/>
  <c r="AG384" i="1"/>
  <c r="AF384" i="1"/>
  <c r="H385" i="1"/>
  <c r="E385" i="1"/>
  <c r="M385" i="1" s="1"/>
  <c r="D385" i="1"/>
  <c r="L385" i="1" s="1"/>
  <c r="AE386" i="1"/>
  <c r="AJ386" i="1"/>
  <c r="B386" i="1"/>
  <c r="C386" i="1" s="1"/>
  <c r="A387" i="1"/>
  <c r="I387" i="1" s="1"/>
  <c r="J387" i="1" s="1"/>
  <c r="AO386" i="1"/>
  <c r="AH385" i="1" l="1"/>
  <c r="AC385" i="1"/>
  <c r="AD385" i="1"/>
  <c r="X385" i="1"/>
  <c r="Y385" i="1"/>
  <c r="S385" i="1"/>
  <c r="T385" i="1"/>
  <c r="N385" i="1"/>
  <c r="O385" i="1"/>
  <c r="P387" i="1"/>
  <c r="K387" i="1"/>
  <c r="AB385" i="1"/>
  <c r="R385" i="1"/>
  <c r="AA385" i="1"/>
  <c r="Q385" i="1"/>
  <c r="U387" i="1"/>
  <c r="Z387" i="1"/>
  <c r="F385" i="1"/>
  <c r="V385" i="1"/>
  <c r="G385" i="1"/>
  <c r="W385" i="1"/>
  <c r="AQ385" i="1"/>
  <c r="AP385" i="1"/>
  <c r="AK385" i="1"/>
  <c r="AL385" i="1"/>
  <c r="AF385" i="1"/>
  <c r="AG385" i="1"/>
  <c r="A388" i="1"/>
  <c r="I388" i="1" s="1"/>
  <c r="J388" i="1" s="1"/>
  <c r="AO387" i="1"/>
  <c r="AJ387" i="1"/>
  <c r="B387" i="1"/>
  <c r="C387" i="1" s="1"/>
  <c r="AE387" i="1"/>
  <c r="E386" i="1"/>
  <c r="M386" i="1" s="1"/>
  <c r="H386" i="1"/>
  <c r="D386" i="1"/>
  <c r="L386" i="1" s="1"/>
  <c r="AH386" i="1" l="1"/>
  <c r="AI386" i="1"/>
  <c r="AD386" i="1"/>
  <c r="AC386" i="1"/>
  <c r="X386" i="1"/>
  <c r="Y386" i="1"/>
  <c r="T386" i="1"/>
  <c r="N386" i="1"/>
  <c r="S386" i="1"/>
  <c r="O386" i="1"/>
  <c r="P388" i="1"/>
  <c r="K388" i="1"/>
  <c r="AB386" i="1"/>
  <c r="R386" i="1"/>
  <c r="AA386" i="1"/>
  <c r="Q386" i="1"/>
  <c r="U388" i="1"/>
  <c r="Z388" i="1"/>
  <c r="F386" i="1"/>
  <c r="V386" i="1"/>
  <c r="G386" i="1"/>
  <c r="W386" i="1"/>
  <c r="AP386" i="1"/>
  <c r="AQ386" i="1"/>
  <c r="AK386" i="1"/>
  <c r="AL386" i="1"/>
  <c r="AG386" i="1"/>
  <c r="AF386" i="1"/>
  <c r="D387" i="1"/>
  <c r="L387" i="1" s="1"/>
  <c r="H387" i="1"/>
  <c r="E387" i="1"/>
  <c r="M387" i="1" s="1"/>
  <c r="AE388" i="1"/>
  <c r="AO388" i="1"/>
  <c r="AJ388" i="1"/>
  <c r="B388" i="1"/>
  <c r="C388" i="1" s="1"/>
  <c r="A389" i="1"/>
  <c r="I389" i="1" s="1"/>
  <c r="J389" i="1" s="1"/>
  <c r="AH387" i="1" l="1"/>
  <c r="AI387" i="1"/>
  <c r="AD387" i="1"/>
  <c r="AC387" i="1"/>
  <c r="Y387" i="1"/>
  <c r="X387" i="1"/>
  <c r="S387" i="1"/>
  <c r="T387" i="1"/>
  <c r="O387" i="1"/>
  <c r="N387" i="1"/>
  <c r="P389" i="1"/>
  <c r="K389" i="1"/>
  <c r="AA387" i="1"/>
  <c r="Q387" i="1"/>
  <c r="AB387" i="1"/>
  <c r="R387" i="1"/>
  <c r="U389" i="1"/>
  <c r="Z389" i="1"/>
  <c r="F387" i="1"/>
  <c r="V387" i="1"/>
  <c r="G387" i="1"/>
  <c r="W387" i="1"/>
  <c r="AP387" i="1"/>
  <c r="AQ387" i="1"/>
  <c r="AL387" i="1"/>
  <c r="AK387" i="1"/>
  <c r="AG387" i="1"/>
  <c r="AF387" i="1"/>
  <c r="E388" i="1"/>
  <c r="M388" i="1" s="1"/>
  <c r="H388" i="1"/>
  <c r="D388" i="1"/>
  <c r="N388" i="1" s="1"/>
  <c r="A390" i="1"/>
  <c r="I390" i="1" s="1"/>
  <c r="J390" i="1" s="1"/>
  <c r="AO389" i="1"/>
  <c r="AJ389" i="1"/>
  <c r="B389" i="1"/>
  <c r="C389" i="1" s="1"/>
  <c r="AE389" i="1"/>
  <c r="AH388" i="1" l="1"/>
  <c r="AI388" i="1"/>
  <c r="AC388" i="1"/>
  <c r="AD388" i="1"/>
  <c r="X388" i="1"/>
  <c r="Y388" i="1"/>
  <c r="S388" i="1"/>
  <c r="T388" i="1"/>
  <c r="L388" i="1"/>
  <c r="O388" i="1"/>
  <c r="P390" i="1"/>
  <c r="K390" i="1"/>
  <c r="AA388" i="1"/>
  <c r="Q388" i="1"/>
  <c r="AB388" i="1"/>
  <c r="R388" i="1"/>
  <c r="U390" i="1"/>
  <c r="Z390" i="1"/>
  <c r="G388" i="1"/>
  <c r="W388" i="1"/>
  <c r="F388" i="1"/>
  <c r="V388" i="1"/>
  <c r="AQ388" i="1"/>
  <c r="AP388" i="1"/>
  <c r="AK388" i="1"/>
  <c r="AL388" i="1"/>
  <c r="AF388" i="1"/>
  <c r="AG388" i="1"/>
  <c r="H389" i="1"/>
  <c r="E389" i="1"/>
  <c r="M389" i="1" s="1"/>
  <c r="D389" i="1"/>
  <c r="L389" i="1" s="1"/>
  <c r="AE390" i="1"/>
  <c r="AJ390" i="1"/>
  <c r="B390" i="1"/>
  <c r="C390" i="1" s="1"/>
  <c r="A391" i="1"/>
  <c r="I391" i="1" s="1"/>
  <c r="J391" i="1" s="1"/>
  <c r="AO390" i="1"/>
  <c r="AC389" i="1" l="1"/>
  <c r="AH389" i="1"/>
  <c r="AI389" i="1"/>
  <c r="AD389" i="1"/>
  <c r="X389" i="1"/>
  <c r="Y389" i="1"/>
  <c r="T389" i="1"/>
  <c r="S389" i="1"/>
  <c r="N389" i="1"/>
  <c r="O389" i="1"/>
  <c r="P391" i="1"/>
  <c r="K391" i="1"/>
  <c r="AB389" i="1"/>
  <c r="R389" i="1"/>
  <c r="AA389" i="1"/>
  <c r="Q389" i="1"/>
  <c r="U391" i="1"/>
  <c r="Z391" i="1"/>
  <c r="F389" i="1"/>
  <c r="V389" i="1"/>
  <c r="G389" i="1"/>
  <c r="W389" i="1"/>
  <c r="AP389" i="1"/>
  <c r="AQ389" i="1"/>
  <c r="AK389" i="1"/>
  <c r="AL389" i="1"/>
  <c r="AF389" i="1"/>
  <c r="AG389" i="1"/>
  <c r="A392" i="1"/>
  <c r="I392" i="1" s="1"/>
  <c r="J392" i="1" s="1"/>
  <c r="AO391" i="1"/>
  <c r="AJ391" i="1"/>
  <c r="B391" i="1"/>
  <c r="C391" i="1" s="1"/>
  <c r="AE391" i="1"/>
  <c r="E390" i="1"/>
  <c r="M390" i="1" s="1"/>
  <c r="H390" i="1"/>
  <c r="D390" i="1"/>
  <c r="L390" i="1" s="1"/>
  <c r="AI390" i="1" l="1"/>
  <c r="AH390" i="1"/>
  <c r="AC390" i="1"/>
  <c r="AD390" i="1"/>
  <c r="X390" i="1"/>
  <c r="Y390" i="1"/>
  <c r="S390" i="1"/>
  <c r="T390" i="1"/>
  <c r="O390" i="1"/>
  <c r="N390" i="1"/>
  <c r="P392" i="1"/>
  <c r="K392" i="1"/>
  <c r="AB390" i="1"/>
  <c r="R390" i="1"/>
  <c r="AA390" i="1"/>
  <c r="Q390" i="1"/>
  <c r="U392" i="1"/>
  <c r="Z392" i="1"/>
  <c r="F390" i="1"/>
  <c r="V390" i="1"/>
  <c r="G390" i="1"/>
  <c r="W390" i="1"/>
  <c r="AQ390" i="1"/>
  <c r="AP390" i="1"/>
  <c r="AK390" i="1"/>
  <c r="AL390" i="1"/>
  <c r="AG390" i="1"/>
  <c r="AF390" i="1"/>
  <c r="D391" i="1"/>
  <c r="L391" i="1" s="1"/>
  <c r="H391" i="1"/>
  <c r="E391" i="1"/>
  <c r="M391" i="1" s="1"/>
  <c r="AE392" i="1"/>
  <c r="AO392" i="1"/>
  <c r="AJ392" i="1"/>
  <c r="B392" i="1"/>
  <c r="C392" i="1" s="1"/>
  <c r="A393" i="1"/>
  <c r="I393" i="1" s="1"/>
  <c r="J393" i="1" s="1"/>
  <c r="AI391" i="1" l="1"/>
  <c r="AH391" i="1"/>
  <c r="AC391" i="1"/>
  <c r="AD391" i="1"/>
  <c r="X391" i="1"/>
  <c r="Y391" i="1"/>
  <c r="S391" i="1"/>
  <c r="T391" i="1"/>
  <c r="N391" i="1"/>
  <c r="O391" i="1"/>
  <c r="P393" i="1"/>
  <c r="K393" i="1"/>
  <c r="AA391" i="1"/>
  <c r="Q391" i="1"/>
  <c r="AB391" i="1"/>
  <c r="R391" i="1"/>
  <c r="U393" i="1"/>
  <c r="Z393" i="1"/>
  <c r="G391" i="1"/>
  <c r="W391" i="1"/>
  <c r="F391" i="1"/>
  <c r="V391" i="1"/>
  <c r="AQ391" i="1"/>
  <c r="AK391" i="1"/>
  <c r="AP391" i="1"/>
  <c r="AL391" i="1"/>
  <c r="AF391" i="1"/>
  <c r="AG391" i="1"/>
  <c r="A394" i="1"/>
  <c r="I394" i="1" s="1"/>
  <c r="J394" i="1" s="1"/>
  <c r="AO393" i="1"/>
  <c r="AJ393" i="1"/>
  <c r="B393" i="1"/>
  <c r="C393" i="1" s="1"/>
  <c r="AE393" i="1"/>
  <c r="E392" i="1"/>
  <c r="M392" i="1" s="1"/>
  <c r="H392" i="1"/>
  <c r="D392" i="1"/>
  <c r="L392" i="1" s="1"/>
  <c r="AI392" i="1" l="1"/>
  <c r="AH392" i="1"/>
  <c r="AC392" i="1"/>
  <c r="AD392" i="1"/>
  <c r="X392" i="1"/>
  <c r="Y392" i="1"/>
  <c r="S392" i="1"/>
  <c r="T392" i="1"/>
  <c r="N392" i="1"/>
  <c r="O392" i="1"/>
  <c r="P394" i="1"/>
  <c r="K394" i="1"/>
  <c r="AB392" i="1"/>
  <c r="R392" i="1"/>
  <c r="AA392" i="1"/>
  <c r="Q392" i="1"/>
  <c r="U394" i="1"/>
  <c r="Z394" i="1"/>
  <c r="F392" i="1"/>
  <c r="V392" i="1"/>
  <c r="G392" i="1"/>
  <c r="W392" i="1"/>
  <c r="AQ392" i="1"/>
  <c r="AP392" i="1"/>
  <c r="AK392" i="1"/>
  <c r="AL392" i="1"/>
  <c r="AG392" i="1"/>
  <c r="AF392" i="1"/>
  <c r="H393" i="1"/>
  <c r="E393" i="1"/>
  <c r="M393" i="1" s="1"/>
  <c r="D393" i="1"/>
  <c r="L393" i="1" s="1"/>
  <c r="AE394" i="1"/>
  <c r="AJ394" i="1"/>
  <c r="B394" i="1"/>
  <c r="C394" i="1" s="1"/>
  <c r="A395" i="1"/>
  <c r="I395" i="1" s="1"/>
  <c r="J395" i="1" s="1"/>
  <c r="AO394" i="1"/>
  <c r="AI393" i="1" l="1"/>
  <c r="AH393" i="1"/>
  <c r="AC393" i="1"/>
  <c r="AD393" i="1"/>
  <c r="X393" i="1"/>
  <c r="Y393" i="1"/>
  <c r="S393" i="1"/>
  <c r="T393" i="1"/>
  <c r="N393" i="1"/>
  <c r="O393" i="1"/>
  <c r="P395" i="1"/>
  <c r="K395" i="1"/>
  <c r="AB393" i="1"/>
  <c r="R393" i="1"/>
  <c r="AA393" i="1"/>
  <c r="Q393" i="1"/>
  <c r="U395" i="1"/>
  <c r="Z395" i="1"/>
  <c r="F393" i="1"/>
  <c r="V393" i="1"/>
  <c r="G393" i="1"/>
  <c r="W393" i="1"/>
  <c r="AP393" i="1"/>
  <c r="AQ393" i="1"/>
  <c r="AK393" i="1"/>
  <c r="AL393" i="1"/>
  <c r="AG393" i="1"/>
  <c r="AF393" i="1"/>
  <c r="A396" i="1"/>
  <c r="I396" i="1" s="1"/>
  <c r="J396" i="1" s="1"/>
  <c r="AO395" i="1"/>
  <c r="AJ395" i="1"/>
  <c r="B395" i="1"/>
  <c r="C395" i="1" s="1"/>
  <c r="AE395" i="1"/>
  <c r="E394" i="1"/>
  <c r="M394" i="1" s="1"/>
  <c r="H394" i="1"/>
  <c r="D394" i="1"/>
  <c r="L394" i="1" s="1"/>
  <c r="AI394" i="1" l="1"/>
  <c r="AH394" i="1"/>
  <c r="AC394" i="1"/>
  <c r="AD394" i="1"/>
  <c r="X394" i="1"/>
  <c r="Y394" i="1"/>
  <c r="S394" i="1"/>
  <c r="T394" i="1"/>
  <c r="N394" i="1"/>
  <c r="O394" i="1"/>
  <c r="P396" i="1"/>
  <c r="K396" i="1"/>
  <c r="AB394" i="1"/>
  <c r="R394" i="1"/>
  <c r="AA394" i="1"/>
  <c r="Q394" i="1"/>
  <c r="U396" i="1"/>
  <c r="Z396" i="1"/>
  <c r="F394" i="1"/>
  <c r="V394" i="1"/>
  <c r="G394" i="1"/>
  <c r="W394" i="1"/>
  <c r="AP394" i="1"/>
  <c r="AQ394" i="1"/>
  <c r="AK394" i="1"/>
  <c r="AL394" i="1"/>
  <c r="AF394" i="1"/>
  <c r="AG394" i="1"/>
  <c r="D395" i="1"/>
  <c r="L395" i="1" s="1"/>
  <c r="H395" i="1"/>
  <c r="E395" i="1"/>
  <c r="M395" i="1" s="1"/>
  <c r="AE396" i="1"/>
  <c r="AO396" i="1"/>
  <c r="AJ396" i="1"/>
  <c r="B396" i="1"/>
  <c r="C396" i="1" s="1"/>
  <c r="A397" i="1"/>
  <c r="I397" i="1" s="1"/>
  <c r="J397" i="1" s="1"/>
  <c r="AI395" i="1" l="1"/>
  <c r="AH395" i="1"/>
  <c r="AC395" i="1"/>
  <c r="AD395" i="1"/>
  <c r="X395" i="1"/>
  <c r="Y395" i="1"/>
  <c r="S395" i="1"/>
  <c r="T395" i="1"/>
  <c r="N395" i="1"/>
  <c r="O395" i="1"/>
  <c r="P397" i="1"/>
  <c r="K397" i="1"/>
  <c r="AA395" i="1"/>
  <c r="Q395" i="1"/>
  <c r="AB395" i="1"/>
  <c r="R395" i="1"/>
  <c r="U397" i="1"/>
  <c r="Z397" i="1"/>
  <c r="G395" i="1"/>
  <c r="W395" i="1"/>
  <c r="F395" i="1"/>
  <c r="V395" i="1"/>
  <c r="AP395" i="1"/>
  <c r="AQ395" i="1"/>
  <c r="AK395" i="1"/>
  <c r="AL395" i="1"/>
  <c r="AG395" i="1"/>
  <c r="AF395" i="1"/>
  <c r="E396" i="1"/>
  <c r="M396" i="1" s="1"/>
  <c r="H396" i="1"/>
  <c r="D396" i="1"/>
  <c r="N396" i="1" s="1"/>
  <c r="A398" i="1"/>
  <c r="I398" i="1" s="1"/>
  <c r="J398" i="1" s="1"/>
  <c r="AO397" i="1"/>
  <c r="AJ397" i="1"/>
  <c r="B397" i="1"/>
  <c r="C397" i="1" s="1"/>
  <c r="AE397" i="1"/>
  <c r="AI396" i="1" l="1"/>
  <c r="AH396" i="1"/>
  <c r="AC396" i="1"/>
  <c r="AD396" i="1"/>
  <c r="X396" i="1"/>
  <c r="Y396" i="1"/>
  <c r="S396" i="1"/>
  <c r="T396" i="1"/>
  <c r="L396" i="1"/>
  <c r="O396" i="1"/>
  <c r="P398" i="1"/>
  <c r="K398" i="1"/>
  <c r="AA396" i="1"/>
  <c r="Q396" i="1"/>
  <c r="AB396" i="1"/>
  <c r="R396" i="1"/>
  <c r="U398" i="1"/>
  <c r="Z398" i="1"/>
  <c r="F396" i="1"/>
  <c r="V396" i="1"/>
  <c r="G396" i="1"/>
  <c r="W396" i="1"/>
  <c r="AP396" i="1"/>
  <c r="AQ396" i="1"/>
  <c r="AK396" i="1"/>
  <c r="AL396" i="1"/>
  <c r="AF396" i="1"/>
  <c r="AG396" i="1"/>
  <c r="AE398" i="1"/>
  <c r="AJ398" i="1"/>
  <c r="B398" i="1"/>
  <c r="C398" i="1" s="1"/>
  <c r="A399" i="1"/>
  <c r="I399" i="1" s="1"/>
  <c r="J399" i="1" s="1"/>
  <c r="AO398" i="1"/>
  <c r="H397" i="1"/>
  <c r="E397" i="1"/>
  <c r="O397" i="1" s="1"/>
  <c r="D397" i="1"/>
  <c r="L397" i="1" s="1"/>
  <c r="AI398" i="1" l="1"/>
  <c r="AH397" i="1"/>
  <c r="AI397" i="1"/>
  <c r="AC397" i="1"/>
  <c r="AD397" i="1"/>
  <c r="X397" i="1"/>
  <c r="Y397" i="1"/>
  <c r="T397" i="1"/>
  <c r="S397" i="1"/>
  <c r="M397" i="1"/>
  <c r="N397" i="1"/>
  <c r="P399" i="1"/>
  <c r="K399" i="1"/>
  <c r="AB397" i="1"/>
  <c r="R397" i="1"/>
  <c r="AA397" i="1"/>
  <c r="Q397" i="1"/>
  <c r="U399" i="1"/>
  <c r="Z399" i="1"/>
  <c r="F397" i="1"/>
  <c r="V397" i="1"/>
  <c r="G397" i="1"/>
  <c r="W397" i="1"/>
  <c r="AP397" i="1"/>
  <c r="AQ397" i="1"/>
  <c r="AK397" i="1"/>
  <c r="AL397" i="1"/>
  <c r="AF397" i="1"/>
  <c r="AG397" i="1"/>
  <c r="E398" i="1"/>
  <c r="M398" i="1" s="1"/>
  <c r="H398" i="1"/>
  <c r="D398" i="1"/>
  <c r="S398" i="1" s="1"/>
  <c r="A400" i="1"/>
  <c r="I400" i="1" s="1"/>
  <c r="J400" i="1" s="1"/>
  <c r="AO399" i="1"/>
  <c r="AJ399" i="1"/>
  <c r="B399" i="1"/>
  <c r="C399" i="1" s="1"/>
  <c r="AE399" i="1"/>
  <c r="AI399" i="1" l="1"/>
  <c r="Y398" i="1"/>
  <c r="AH398" i="1"/>
  <c r="AD398" i="1"/>
  <c r="AC398" i="1"/>
  <c r="X398" i="1"/>
  <c r="N398" i="1"/>
  <c r="L398" i="1"/>
  <c r="T398" i="1"/>
  <c r="O398" i="1"/>
  <c r="P400" i="1"/>
  <c r="K400" i="1"/>
  <c r="AB398" i="1"/>
  <c r="R398" i="1"/>
  <c r="AA398" i="1"/>
  <c r="Q398" i="1"/>
  <c r="U400" i="1"/>
  <c r="Z400" i="1"/>
  <c r="G398" i="1"/>
  <c r="W398" i="1"/>
  <c r="F398" i="1"/>
  <c r="V398" i="1"/>
  <c r="AQ398" i="1"/>
  <c r="AP398" i="1"/>
  <c r="AK398" i="1"/>
  <c r="AL398" i="1"/>
  <c r="AG398" i="1"/>
  <c r="AF398" i="1"/>
  <c r="D399" i="1"/>
  <c r="L399" i="1" s="1"/>
  <c r="H399" i="1"/>
  <c r="E399" i="1"/>
  <c r="M399" i="1" s="1"/>
  <c r="AE400" i="1"/>
  <c r="AO400" i="1"/>
  <c r="AJ400" i="1"/>
  <c r="B400" i="1"/>
  <c r="C400" i="1" s="1"/>
  <c r="A401" i="1"/>
  <c r="I401" i="1" s="1"/>
  <c r="J401" i="1" s="1"/>
  <c r="AH399" i="1" l="1"/>
  <c r="AC399" i="1"/>
  <c r="AD399" i="1"/>
  <c r="X399" i="1"/>
  <c r="T399" i="1"/>
  <c r="Y399" i="1"/>
  <c r="S399" i="1"/>
  <c r="O399" i="1"/>
  <c r="N399" i="1"/>
  <c r="P401" i="1"/>
  <c r="K401" i="1"/>
  <c r="AP399" i="1"/>
  <c r="Q399" i="1"/>
  <c r="AB399" i="1"/>
  <c r="R399" i="1"/>
  <c r="AA399" i="1"/>
  <c r="U401" i="1"/>
  <c r="Z401" i="1"/>
  <c r="G399" i="1"/>
  <c r="W399" i="1"/>
  <c r="F399" i="1"/>
  <c r="V399" i="1"/>
  <c r="AQ399" i="1"/>
  <c r="AL399" i="1"/>
  <c r="AK399" i="1"/>
  <c r="AG399" i="1"/>
  <c r="AF399" i="1"/>
  <c r="A402" i="1"/>
  <c r="I402" i="1" s="1"/>
  <c r="J402" i="1" s="1"/>
  <c r="AO401" i="1"/>
  <c r="AJ401" i="1"/>
  <c r="B401" i="1"/>
  <c r="C401" i="1" s="1"/>
  <c r="AE401" i="1"/>
  <c r="E400" i="1"/>
  <c r="M400" i="1" s="1"/>
  <c r="H400" i="1"/>
  <c r="D400" i="1"/>
  <c r="L400" i="1" s="1"/>
  <c r="AH400" i="1" l="1"/>
  <c r="AI400" i="1"/>
  <c r="AC400" i="1"/>
  <c r="AD400" i="1"/>
  <c r="Y400" i="1"/>
  <c r="X400" i="1"/>
  <c r="S400" i="1"/>
  <c r="T400" i="1"/>
  <c r="N400" i="1"/>
  <c r="O400" i="1"/>
  <c r="P402" i="1"/>
  <c r="K402" i="1"/>
  <c r="AB400" i="1"/>
  <c r="R400" i="1"/>
  <c r="AA400" i="1"/>
  <c r="Q400" i="1"/>
  <c r="U402" i="1"/>
  <c r="Z402" i="1"/>
  <c r="F400" i="1"/>
  <c r="V400" i="1"/>
  <c r="G400" i="1"/>
  <c r="W400" i="1"/>
  <c r="AP400" i="1"/>
  <c r="AQ400" i="1"/>
  <c r="AK400" i="1"/>
  <c r="AL400" i="1"/>
  <c r="AG400" i="1"/>
  <c r="AF400" i="1"/>
  <c r="H401" i="1"/>
  <c r="E401" i="1"/>
  <c r="M401" i="1" s="1"/>
  <c r="D401" i="1"/>
  <c r="L401" i="1" s="1"/>
  <c r="AE402" i="1"/>
  <c r="AJ402" i="1"/>
  <c r="B402" i="1"/>
  <c r="C402" i="1" s="1"/>
  <c r="A403" i="1"/>
  <c r="I403" i="1" s="1"/>
  <c r="J403" i="1" s="1"/>
  <c r="AO402" i="1"/>
  <c r="AH401" i="1" l="1"/>
  <c r="AI401" i="1"/>
  <c r="AD401" i="1"/>
  <c r="AC401" i="1"/>
  <c r="Y401" i="1"/>
  <c r="X401" i="1"/>
  <c r="T401" i="1"/>
  <c r="S401" i="1"/>
  <c r="N401" i="1"/>
  <c r="O401" i="1"/>
  <c r="P403" i="1"/>
  <c r="K403" i="1"/>
  <c r="AA401" i="1"/>
  <c r="Q401" i="1"/>
  <c r="AB401" i="1"/>
  <c r="R401" i="1"/>
  <c r="U403" i="1"/>
  <c r="Z403" i="1"/>
  <c r="F401" i="1"/>
  <c r="V401" i="1"/>
  <c r="G401" i="1"/>
  <c r="W401" i="1"/>
  <c r="AP401" i="1"/>
  <c r="AQ401" i="1"/>
  <c r="AK401" i="1"/>
  <c r="AL401" i="1"/>
  <c r="AF401" i="1"/>
  <c r="AG401" i="1"/>
  <c r="A404" i="1"/>
  <c r="I404" i="1" s="1"/>
  <c r="J404" i="1" s="1"/>
  <c r="AO403" i="1"/>
  <c r="AJ403" i="1"/>
  <c r="B403" i="1"/>
  <c r="C403" i="1" s="1"/>
  <c r="AE403" i="1"/>
  <c r="E402" i="1"/>
  <c r="M402" i="1" s="1"/>
  <c r="H402" i="1"/>
  <c r="D402" i="1"/>
  <c r="L402" i="1" s="1"/>
  <c r="AH402" i="1" l="1"/>
  <c r="AI402" i="1"/>
  <c r="AC402" i="1"/>
  <c r="AD402" i="1"/>
  <c r="X402" i="1"/>
  <c r="Y402" i="1"/>
  <c r="S402" i="1"/>
  <c r="T402" i="1"/>
  <c r="O402" i="1"/>
  <c r="N402" i="1"/>
  <c r="P404" i="1"/>
  <c r="K404" i="1"/>
  <c r="AB402" i="1"/>
  <c r="R402" i="1"/>
  <c r="AA402" i="1"/>
  <c r="Q402" i="1"/>
  <c r="U404" i="1"/>
  <c r="Z404" i="1"/>
  <c r="F402" i="1"/>
  <c r="V402" i="1"/>
  <c r="G402" i="1"/>
  <c r="W402" i="1"/>
  <c r="AQ402" i="1"/>
  <c r="AP402" i="1"/>
  <c r="AK402" i="1"/>
  <c r="AL402" i="1"/>
  <c r="AG402" i="1"/>
  <c r="AF402" i="1"/>
  <c r="D403" i="1"/>
  <c r="L403" i="1" s="1"/>
  <c r="H403" i="1"/>
  <c r="E403" i="1"/>
  <c r="M403" i="1" s="1"/>
  <c r="A405" i="1"/>
  <c r="I405" i="1" s="1"/>
  <c r="J405" i="1" s="1"/>
  <c r="AO404" i="1"/>
  <c r="AE404" i="1"/>
  <c r="AJ404" i="1"/>
  <c r="B404" i="1"/>
  <c r="C404" i="1" s="1"/>
  <c r="AH403" i="1" l="1"/>
  <c r="AI403" i="1"/>
  <c r="AC403" i="1"/>
  <c r="AD403" i="1"/>
  <c r="X403" i="1"/>
  <c r="Y403" i="1"/>
  <c r="T403" i="1"/>
  <c r="S403" i="1"/>
  <c r="O403" i="1"/>
  <c r="N403" i="1"/>
  <c r="P405" i="1"/>
  <c r="K405" i="1"/>
  <c r="AA403" i="1"/>
  <c r="Q403" i="1"/>
  <c r="AB403" i="1"/>
  <c r="R403" i="1"/>
  <c r="U405" i="1"/>
  <c r="Z405" i="1"/>
  <c r="F403" i="1"/>
  <c r="V403" i="1"/>
  <c r="G403" i="1"/>
  <c r="W403" i="1"/>
  <c r="AK403" i="1"/>
  <c r="AQ403" i="1"/>
  <c r="AP403" i="1"/>
  <c r="AL403" i="1"/>
  <c r="AG403" i="1"/>
  <c r="AF403" i="1"/>
  <c r="E404" i="1"/>
  <c r="M404" i="1" s="1"/>
  <c r="H404" i="1"/>
  <c r="D404" i="1"/>
  <c r="N404" i="1" s="1"/>
  <c r="AE405" i="1"/>
  <c r="AO405" i="1"/>
  <c r="A406" i="1"/>
  <c r="I406" i="1" s="1"/>
  <c r="J406" i="1" s="1"/>
  <c r="AJ405" i="1"/>
  <c r="B405" i="1"/>
  <c r="C405" i="1" s="1"/>
  <c r="AH404" i="1" l="1"/>
  <c r="AI404" i="1"/>
  <c r="AC404" i="1"/>
  <c r="AD404" i="1"/>
  <c r="X404" i="1"/>
  <c r="Y404" i="1"/>
  <c r="S404" i="1"/>
  <c r="T404" i="1"/>
  <c r="L404" i="1"/>
  <c r="O404" i="1"/>
  <c r="P406" i="1"/>
  <c r="K406" i="1"/>
  <c r="AB404" i="1"/>
  <c r="R404" i="1"/>
  <c r="AA404" i="1"/>
  <c r="Q404" i="1"/>
  <c r="AP404" i="1"/>
  <c r="U406" i="1"/>
  <c r="Z406" i="1"/>
  <c r="F404" i="1"/>
  <c r="V404" i="1"/>
  <c r="G404" i="1"/>
  <c r="W404" i="1"/>
  <c r="AQ404" i="1"/>
  <c r="AK404" i="1"/>
  <c r="AL404" i="1"/>
  <c r="AF404" i="1"/>
  <c r="AG404" i="1"/>
  <c r="E405" i="1"/>
  <c r="M405" i="1" s="1"/>
  <c r="D405" i="1"/>
  <c r="L405" i="1" s="1"/>
  <c r="H405" i="1"/>
  <c r="A407" i="1"/>
  <c r="I407" i="1" s="1"/>
  <c r="J407" i="1" s="1"/>
  <c r="AO406" i="1"/>
  <c r="B406" i="1"/>
  <c r="C406" i="1" s="1"/>
  <c r="AE406" i="1"/>
  <c r="AJ406" i="1"/>
  <c r="AH405" i="1" l="1"/>
  <c r="AI405" i="1"/>
  <c r="AC405" i="1"/>
  <c r="AD405" i="1"/>
  <c r="X405" i="1"/>
  <c r="Y405" i="1"/>
  <c r="S405" i="1"/>
  <c r="T405" i="1"/>
  <c r="N405" i="1"/>
  <c r="O405" i="1"/>
  <c r="P407" i="1"/>
  <c r="K407" i="1"/>
  <c r="AB405" i="1"/>
  <c r="R405" i="1"/>
  <c r="AA405" i="1"/>
  <c r="Q405" i="1"/>
  <c r="U407" i="1"/>
  <c r="Z407" i="1"/>
  <c r="F405" i="1"/>
  <c r="V405" i="1"/>
  <c r="G405" i="1"/>
  <c r="W405" i="1"/>
  <c r="AP405" i="1"/>
  <c r="AQ405" i="1"/>
  <c r="AK405" i="1"/>
  <c r="AL405" i="1"/>
  <c r="AF405" i="1"/>
  <c r="AG405" i="1"/>
  <c r="AE407" i="1"/>
  <c r="AJ407" i="1"/>
  <c r="B407" i="1"/>
  <c r="C407" i="1" s="1"/>
  <c r="AO407" i="1"/>
  <c r="H406" i="1"/>
  <c r="E406" i="1"/>
  <c r="M406" i="1" s="1"/>
  <c r="D406" i="1"/>
  <c r="L406" i="1" s="1"/>
  <c r="AH406" i="1" l="1"/>
  <c r="AI406" i="1"/>
  <c r="AC406" i="1"/>
  <c r="AD406" i="1"/>
  <c r="X406" i="1"/>
  <c r="Y406" i="1"/>
  <c r="S406" i="1"/>
  <c r="T406" i="1"/>
  <c r="N406" i="1"/>
  <c r="O406" i="1"/>
  <c r="AB406" i="1"/>
  <c r="R406" i="1"/>
  <c r="AA406" i="1"/>
  <c r="Q406" i="1"/>
  <c r="F406" i="1"/>
  <c r="V406" i="1"/>
  <c r="G406" i="1"/>
  <c r="W406" i="1"/>
  <c r="AQ406" i="1"/>
  <c r="AP406" i="1"/>
  <c r="AK406" i="1"/>
  <c r="AL406" i="1"/>
  <c r="AF406" i="1"/>
  <c r="AG406" i="1"/>
  <c r="E407" i="1"/>
  <c r="M407" i="1" s="1"/>
  <c r="M409" i="1" s="1"/>
  <c r="D407" i="1"/>
  <c r="L407" i="1" s="1"/>
  <c r="L409" i="1" s="1"/>
  <c r="H407" i="1"/>
  <c r="AH407" i="1" l="1"/>
  <c r="AH409" i="1" s="1"/>
  <c r="AI407" i="1"/>
  <c r="AI409" i="1" s="1"/>
  <c r="AC407" i="1"/>
  <c r="AC409" i="1" s="1"/>
  <c r="AD407" i="1"/>
  <c r="AD409" i="1" s="1"/>
  <c r="Y407" i="1"/>
  <c r="Y409" i="1" s="1"/>
  <c r="X407" i="1"/>
  <c r="X409" i="1" s="1"/>
  <c r="S407" i="1"/>
  <c r="S409" i="1" s="1"/>
  <c r="T407" i="1"/>
  <c r="T409" i="1" s="1"/>
  <c r="N407" i="1"/>
  <c r="N409" i="1" s="1"/>
  <c r="O407" i="1"/>
  <c r="O409" i="1" s="1"/>
  <c r="L410" i="1"/>
  <c r="L411" i="1" s="1"/>
  <c r="L412" i="1" s="1"/>
  <c r="L415" i="1"/>
  <c r="L416" i="1" s="1"/>
  <c r="AA407" i="1"/>
  <c r="AA409" i="1" s="1"/>
  <c r="Q407" i="1"/>
  <c r="Q409" i="1" s="1"/>
  <c r="AB407" i="1"/>
  <c r="AB409" i="1" s="1"/>
  <c r="R407" i="1"/>
  <c r="R409" i="1" s="1"/>
  <c r="F407" i="1"/>
  <c r="V407" i="1"/>
  <c r="V409" i="1" s="1"/>
  <c r="G407" i="1"/>
  <c r="W407" i="1"/>
  <c r="W409" i="1" s="1"/>
  <c r="AQ407" i="1"/>
  <c r="AQ409" i="1" s="1"/>
  <c r="AP407" i="1"/>
  <c r="AP409" i="1" s="1"/>
  <c r="AL407" i="1"/>
  <c r="AL409" i="1" s="1"/>
  <c r="AK407" i="1"/>
  <c r="AK409" i="1" s="1"/>
  <c r="AG407" i="1"/>
  <c r="AG409" i="1" s="1"/>
  <c r="AF407" i="1"/>
  <c r="AF409" i="1" s="1"/>
  <c r="AH415" i="1" l="1"/>
  <c r="AH416" i="1" s="1"/>
  <c r="AH410" i="1"/>
  <c r="AH411" i="1" s="1"/>
  <c r="AC415" i="1"/>
  <c r="AC416" i="1" s="1"/>
  <c r="AC410" i="1"/>
  <c r="AC411" i="1" s="1"/>
  <c r="X415" i="1"/>
  <c r="X416" i="1" s="1"/>
  <c r="X410" i="1"/>
  <c r="X411" i="1" s="1"/>
  <c r="S410" i="1"/>
  <c r="S411" i="1" s="1"/>
  <c r="S415" i="1"/>
  <c r="S416" i="1" s="1"/>
  <c r="N410" i="1"/>
  <c r="N411" i="1" s="1"/>
  <c r="N415" i="1"/>
  <c r="N416" i="1" s="1"/>
  <c r="AA415" i="1"/>
  <c r="AA416" i="1" s="1"/>
  <c r="AF415" i="1"/>
  <c r="AF416" i="1" s="1"/>
  <c r="V415" i="1"/>
  <c r="V416" i="1" s="1"/>
  <c r="AA410" i="1"/>
  <c r="AA411" i="1" s="1"/>
  <c r="AA412" i="1" s="1"/>
  <c r="Q410" i="1"/>
  <c r="Q411" i="1" s="1"/>
  <c r="Q412" i="1" s="1"/>
  <c r="Q415" i="1"/>
  <c r="Q416" i="1" s="1"/>
  <c r="AK415" i="1"/>
  <c r="AK416" i="1" s="1"/>
  <c r="AP410" i="1"/>
  <c r="AP411" i="1" s="1"/>
  <c r="AP412" i="1" s="1"/>
  <c r="AP415" i="1"/>
  <c r="AP416" i="1" s="1"/>
  <c r="V410" i="1"/>
  <c r="V411" i="1" s="1"/>
  <c r="V412" i="1" s="1"/>
  <c r="AF410" i="1"/>
  <c r="AF411" i="1" s="1"/>
  <c r="AF412" i="1" s="1"/>
  <c r="AK410" i="1"/>
  <c r="AK411" i="1" s="1"/>
  <c r="AK412" i="1" s="1"/>
  <c r="AF417" i="1" l="1"/>
  <c r="Q417" i="1"/>
  <c r="L417" i="1"/>
  <c r="AA417" i="1"/>
  <c r="AP417" i="1"/>
  <c r="V417" i="1"/>
</calcChain>
</file>

<file path=xl/sharedStrings.xml><?xml version="1.0" encoding="utf-8"?>
<sst xmlns="http://schemas.openxmlformats.org/spreadsheetml/2006/main" count="87" uniqueCount="21">
  <si>
    <t>i</t>
  </si>
  <si>
    <t>incr</t>
  </si>
  <si>
    <t>phase</t>
  </si>
  <si>
    <t>sin</t>
  </si>
  <si>
    <t>cos</t>
  </si>
  <si>
    <t>hex</t>
  </si>
  <si>
    <t>train</t>
  </si>
  <si>
    <t>sample</t>
  </si>
  <si>
    <t>sum</t>
  </si>
  <si>
    <t>avg</t>
  </si>
  <si>
    <t>rel</t>
  </si>
  <si>
    <t>sqsum</t>
  </si>
  <si>
    <t xml:space="preserve"> </t>
  </si>
  <si>
    <t>diff</t>
  </si>
  <si>
    <t>exp</t>
  </si>
  <si>
    <t>f</t>
  </si>
  <si>
    <t>rect</t>
  </si>
  <si>
    <t>Hann</t>
  </si>
  <si>
    <t>Hann2</t>
  </si>
  <si>
    <t>rec</t>
  </si>
  <si>
    <t>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</si>
</sst>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"/>
  </numFmts>
  <fonts count="14">
    <font>
      <sz val="10"/>
      <color theme="1"/>
      <name val="Liberation Sans"/>
    </font>
    <font>
      <sz val="10"/>
      <color theme="1"/>
      <name val="Liberation Sans"/>
    </font>
    <font>
      <b/>
      <sz val="10"/>
      <color theme="1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b/>
      <sz val="18"/>
      <color rgb="FF000000"/>
      <name val="Liberation Sans"/>
    </font>
    <font>
      <b/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theme="1"/>
      <name val="Liberation Sans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9">
    <xf numFmtId="0" fontId="0" fillId="0" borderId="0"/>
    <xf numFmtId="0" fontId="8" fillId="0" borderId="0"/>
    <xf numFmtId="0" fontId="9" fillId="0" borderId="0"/>
    <xf numFmtId="0" fontId="6" fillId="7" borderId="0"/>
    <xf numFmtId="0" fontId="4" fillId="5" borderId="0"/>
    <xf numFmtId="0" fontId="11" fillId="8" borderId="0"/>
    <xf numFmtId="0" fontId="12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3" fillId="6" borderId="0"/>
    <xf numFmtId="0" fontId="5" fillId="0" borderId="0"/>
    <xf numFmtId="0" fontId="7" fillId="0" borderId="0"/>
    <xf numFmtId="0" fontId="10" fillId="0" borderId="0"/>
    <xf numFmtId="0" fontId="13" fillId="0" borderId="0"/>
    <xf numFmtId="0" fontId="1" fillId="0" borderId="0"/>
    <xf numFmtId="0" fontId="1" fillId="0" borderId="0"/>
    <xf numFmtId="0" fontId="4" fillId="0" borderId="0"/>
  </cellStyleXfs>
  <cellXfs count="4">
    <xf numFmtId="0" fontId="0" fillId="0" borderId="0" xfId="0"/>
    <xf numFmtId="164" fontId="0" fillId="0" borderId="0" xfId="0" applyNumberFormat="1"/>
    <xf numFmtId="1" fontId="0" fillId="0" borderId="0" xfId="0" applyNumberFormat="1"/>
    <xf numFmtId="165" fontId="0" fillId="0" borderId="0" xfId="0" applyNumberFormat="1"/>
  </cellXfs>
  <cellStyles count="19">
    <cellStyle name="Accent" xfId="7" xr:uid="{00000000-0005-0000-0000-000000000000}"/>
    <cellStyle name="Accent 1" xfId="8" xr:uid="{00000000-0005-0000-0000-000001000000}"/>
    <cellStyle name="Accent 2" xfId="9" xr:uid="{00000000-0005-0000-0000-000002000000}"/>
    <cellStyle name="Accent 3" xfId="10" xr:uid="{00000000-0005-0000-0000-000003000000}"/>
    <cellStyle name="Bad" xfId="4" builtinId="27" customBuiltin="1"/>
    <cellStyle name="Error" xfId="11" xr:uid="{00000000-0005-0000-0000-000005000000}"/>
    <cellStyle name="Footnote" xfId="12" xr:uid="{00000000-0005-0000-0000-000006000000}"/>
    <cellStyle name="Good" xfId="3" builtinId="26" customBuiltin="1"/>
    <cellStyle name="Heading" xfId="13" xr:uid="{00000000-0005-0000-0000-000008000000}"/>
    <cellStyle name="Heading 1" xfId="1" builtinId="16" customBuiltin="1"/>
    <cellStyle name="Heading 2" xfId="2" builtinId="17" customBuiltin="1"/>
    <cellStyle name="Hyperlink" xfId="14" xr:uid="{00000000-0005-0000-0000-00000B000000}"/>
    <cellStyle name="Neutral" xfId="5" builtinId="28" customBuiltin="1"/>
    <cellStyle name="Normal" xfId="0" builtinId="0" customBuiltin="1"/>
    <cellStyle name="Note" xfId="6" builtinId="10" customBuiltin="1"/>
    <cellStyle name="Result" xfId="15" xr:uid="{00000000-0005-0000-0000-00000F000000}"/>
    <cellStyle name="Status" xfId="16" xr:uid="{00000000-0005-0000-0000-000010000000}"/>
    <cellStyle name="Text" xfId="17" xr:uid="{00000000-0005-0000-0000-000011000000}"/>
    <cellStyle name="Warning" xfId="18" xr:uid="{00000000-0005-0000-0000-00001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amp!$B$1</c:f>
              <c:strCache>
                <c:ptCount val="1"/>
                <c:pt idx="0">
                  <c:v>Rect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amp!$A$2:$A$8</c:f>
              <c:numCache>
                <c:formatCode>General</c:formatCode>
                <c:ptCount val="7"/>
                <c:pt idx="0">
                  <c:v>90</c:v>
                </c:pt>
                <c:pt idx="1">
                  <c:v>90.5</c:v>
                </c:pt>
                <c:pt idx="2">
                  <c:v>91</c:v>
                </c:pt>
                <c:pt idx="3">
                  <c:v>91.5</c:v>
                </c:pt>
                <c:pt idx="4">
                  <c:v>92</c:v>
                </c:pt>
                <c:pt idx="5">
                  <c:v>92.5</c:v>
                </c:pt>
                <c:pt idx="6">
                  <c:v>93</c:v>
                </c:pt>
              </c:numCache>
            </c:numRef>
          </c:xVal>
          <c:yVal>
            <c:numRef>
              <c:f>amp!$B$2:$B$8</c:f>
              <c:numCache>
                <c:formatCode>0.0000</c:formatCode>
                <c:ptCount val="7"/>
                <c:pt idx="0" formatCode="General">
                  <c:v>0.20780000000000001</c:v>
                </c:pt>
                <c:pt idx="1">
                  <c:v>7.4800000000000005E-2</c:v>
                </c:pt>
                <c:pt idx="2" formatCode="General">
                  <c:v>0.2215</c:v>
                </c:pt>
                <c:pt idx="3" formatCode="General">
                  <c:v>0.58199999999999996</c:v>
                </c:pt>
                <c:pt idx="4" formatCode="General">
                  <c:v>0.88380000000000003</c:v>
                </c:pt>
                <c:pt idx="5" formatCode="General">
                  <c:v>1</c:v>
                </c:pt>
                <c:pt idx="6" formatCode="General">
                  <c:v>0.88429999999999997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A-4C82-A205-8DE3EF0A2158}"/>
            </c:ext>
          </c:extLst>
        </c:ser>
        <c:ser>
          <c:idx val="1"/>
          <c:order val="1"/>
          <c:tx>
            <c:strRef>
              <c:f>amp!$C$1</c:f>
              <c:strCache>
                <c:ptCount val="1"/>
                <c:pt idx="0">
                  <c:v>Hann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amp!$A$2:$A$8</c:f>
              <c:numCache>
                <c:formatCode>General</c:formatCode>
                <c:ptCount val="7"/>
                <c:pt idx="0">
                  <c:v>90</c:v>
                </c:pt>
                <c:pt idx="1">
                  <c:v>90.5</c:v>
                </c:pt>
                <c:pt idx="2">
                  <c:v>91</c:v>
                </c:pt>
                <c:pt idx="3">
                  <c:v>91.5</c:v>
                </c:pt>
                <c:pt idx="4">
                  <c:v>92</c:v>
                </c:pt>
                <c:pt idx="5">
                  <c:v>92.5</c:v>
                </c:pt>
                <c:pt idx="6">
                  <c:v>93</c:v>
                </c:pt>
              </c:numCache>
            </c:numRef>
          </c:xVal>
          <c:yVal>
            <c:numRef>
              <c:f>amp!$C$2:$C$8</c:f>
              <c:numCache>
                <c:formatCode>General</c:formatCode>
                <c:ptCount val="7"/>
                <c:pt idx="0">
                  <c:v>0.25690000000000002</c:v>
                </c:pt>
                <c:pt idx="1">
                  <c:v>0.4415</c:v>
                </c:pt>
                <c:pt idx="2">
                  <c:v>0.64229999999999998</c:v>
                </c:pt>
                <c:pt idx="3">
                  <c:v>0.82440000000000002</c:v>
                </c:pt>
                <c:pt idx="4">
                  <c:v>0.95179999999999998</c:v>
                </c:pt>
                <c:pt idx="5">
                  <c:v>1</c:v>
                </c:pt>
                <c:pt idx="6">
                  <c:v>0.95179999999999998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C2A-4C82-A205-8DE3EF0A21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8404287"/>
        <c:axId val="778391391"/>
      </c:scatterChart>
      <c:valAx>
        <c:axId val="778404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778391391"/>
        <c:crosses val="autoZero"/>
        <c:crossBetween val="midCat"/>
      </c:valAx>
      <c:valAx>
        <c:axId val="77839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778404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223837</xdr:colOff>
      <xdr:row>2</xdr:row>
      <xdr:rowOff>4762</xdr:rowOff>
    </xdr:from>
    <xdr:to>
      <xdr:col>12</xdr:col>
      <xdr:colOff>409575</xdr:colOff>
      <xdr:row>22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61FF15-1735-BF77-9D0A-32A36CC9DF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20"/>
  <sheetViews>
    <sheetView topLeftCell="R392" workbookViewId="0">
      <selection activeCell="N412" sqref="N412"/>
    </sheetView>
  </sheetViews>
  <sheetFormatPr defaultRowHeight="12.75"/>
  <cols>
    <col min="1" max="8" width="12.140625" customWidth="1"/>
    <col min="9" max="10" width="9" customWidth="1"/>
    <col min="11" max="11" width="9.42578125" customWidth="1"/>
    <col min="12" max="12" width="9" customWidth="1"/>
    <col min="13" max="15" width="9.140625" customWidth="1"/>
    <col min="16" max="16" width="9.85546875" customWidth="1"/>
    <col min="17" max="17" width="9.28515625" customWidth="1"/>
    <col min="18" max="20" width="9.5703125" customWidth="1"/>
    <col min="21" max="21" width="8.28515625" customWidth="1"/>
    <col min="22" max="30" width="9.42578125" customWidth="1"/>
    <col min="31" max="32" width="9.28515625" customWidth="1"/>
    <col min="33" max="35" width="8.7109375" customWidth="1"/>
    <col min="36" max="36" width="8.85546875" customWidth="1"/>
    <col min="37" max="37" width="8.7109375" customWidth="1"/>
    <col min="38" max="40" width="8.85546875" customWidth="1"/>
    <col min="41" max="44" width="8.42578125" customWidth="1"/>
    <col min="45" max="46" width="12.140625" customWidth="1"/>
  </cols>
  <sheetData>
    <row r="1" spans="1:46">
      <c r="K1">
        <v>90</v>
      </c>
      <c r="L1" t="s">
        <v>16</v>
      </c>
      <c r="N1" t="s">
        <v>17</v>
      </c>
      <c r="P1">
        <v>90.5</v>
      </c>
      <c r="Q1" t="s">
        <v>16</v>
      </c>
      <c r="S1" t="s">
        <v>17</v>
      </c>
      <c r="U1">
        <v>91</v>
      </c>
      <c r="V1" t="s">
        <v>19</v>
      </c>
      <c r="X1" t="s">
        <v>17</v>
      </c>
      <c r="Z1">
        <v>91.5</v>
      </c>
      <c r="AA1" t="s">
        <v>16</v>
      </c>
      <c r="AC1" t="s">
        <v>17</v>
      </c>
      <c r="AE1">
        <v>92</v>
      </c>
      <c r="AF1" t="s">
        <v>16</v>
      </c>
      <c r="AH1" t="s">
        <v>17</v>
      </c>
      <c r="AJ1">
        <v>92.5</v>
      </c>
      <c r="AK1" t="s">
        <v>16</v>
      </c>
      <c r="AM1" t="s">
        <v>17</v>
      </c>
      <c r="AO1">
        <v>93</v>
      </c>
    </row>
    <row r="2" spans="1:46">
      <c r="A2" t="s">
        <v>0</v>
      </c>
      <c r="B2" s="1" t="s">
        <v>1</v>
      </c>
      <c r="C2" t="s">
        <v>2</v>
      </c>
      <c r="D2" t="s">
        <v>3</v>
      </c>
      <c r="E2" t="s">
        <v>4</v>
      </c>
      <c r="F2" t="s">
        <v>3</v>
      </c>
      <c r="G2" t="s">
        <v>4</v>
      </c>
      <c r="I2" t="s">
        <v>18</v>
      </c>
      <c r="J2" t="s">
        <v>17</v>
      </c>
      <c r="K2" t="s">
        <v>7</v>
      </c>
      <c r="L2" t="s">
        <v>3</v>
      </c>
      <c r="M2" t="s">
        <v>4</v>
      </c>
      <c r="P2" t="s">
        <v>7</v>
      </c>
      <c r="Q2" t="s">
        <v>3</v>
      </c>
      <c r="R2" t="s">
        <v>4</v>
      </c>
      <c r="S2" t="s">
        <v>3</v>
      </c>
      <c r="T2" t="s">
        <v>4</v>
      </c>
      <c r="U2" t="s">
        <v>7</v>
      </c>
      <c r="V2" t="s">
        <v>3</v>
      </c>
      <c r="W2" t="s">
        <v>4</v>
      </c>
      <c r="X2" t="s">
        <v>3</v>
      </c>
      <c r="Y2" t="s">
        <v>4</v>
      </c>
      <c r="Z2" t="s">
        <v>7</v>
      </c>
      <c r="AA2" t="s">
        <v>3</v>
      </c>
      <c r="AB2" t="s">
        <v>4</v>
      </c>
      <c r="AC2" t="s">
        <v>3</v>
      </c>
      <c r="AD2" t="s">
        <v>4</v>
      </c>
      <c r="AE2" t="s">
        <v>7</v>
      </c>
      <c r="AF2" t="s">
        <v>3</v>
      </c>
      <c r="AG2" t="s">
        <v>4</v>
      </c>
      <c r="AH2" t="s">
        <v>3</v>
      </c>
      <c r="AI2" t="s">
        <v>4</v>
      </c>
      <c r="AJ2" t="s">
        <v>7</v>
      </c>
      <c r="AK2" t="s">
        <v>3</v>
      </c>
      <c r="AL2" t="s">
        <v>4</v>
      </c>
      <c r="AM2" t="s">
        <v>3</v>
      </c>
      <c r="AN2" t="s">
        <v>4</v>
      </c>
      <c r="AO2" t="s">
        <v>7</v>
      </c>
      <c r="AP2" t="s">
        <v>3</v>
      </c>
      <c r="AQ2" t="s">
        <v>4</v>
      </c>
    </row>
    <row r="3" spans="1:46">
      <c r="A3">
        <v>0</v>
      </c>
      <c r="B3" s="1">
        <f t="shared" ref="B3:B66" si="0">A3*0.123333</f>
        <v>0</v>
      </c>
      <c r="C3" s="1">
        <f t="shared" ref="C3:C66" si="1">2*PI() * B3</f>
        <v>0</v>
      </c>
      <c r="D3" s="1">
        <f t="shared" ref="D3:D66" si="2">SIN(C3)</f>
        <v>0</v>
      </c>
      <c r="E3" s="1">
        <f t="shared" ref="E3:E66" si="3">COS(C3)</f>
        <v>1</v>
      </c>
      <c r="F3" s="2">
        <f t="shared" ref="F3:F66" si="4">32767*D3</f>
        <v>0</v>
      </c>
      <c r="G3" s="2">
        <f t="shared" ref="G3:G66" si="5">32767*E3</f>
        <v>32767</v>
      </c>
      <c r="H3" s="2">
        <f t="shared" ref="H3:H66" si="6">8192*SIN(C3)</f>
        <v>0</v>
      </c>
      <c r="I3" s="3">
        <f>SIN(PI()*A3/404)</f>
        <v>0</v>
      </c>
      <c r="J3" s="3">
        <f>I3*I3</f>
        <v>0</v>
      </c>
      <c r="K3" s="3">
        <f>SIN(0.5+A3*90/750*2*PI())</f>
        <v>0.47942553860420301</v>
      </c>
      <c r="L3" s="3">
        <f>K3*D3</f>
        <v>0</v>
      </c>
      <c r="M3" s="3">
        <f>K3*E3</f>
        <v>0.47942553860420301</v>
      </c>
      <c r="N3" s="3">
        <f>K3*J3*D3</f>
        <v>0</v>
      </c>
      <c r="O3" s="3">
        <f>K3*J3*E3</f>
        <v>0</v>
      </c>
      <c r="P3" s="3">
        <f>SIN(0.5+A3*90.5/750*2*PI())</f>
        <v>0.47942553860420301</v>
      </c>
      <c r="Q3" s="3">
        <f>P3*D3</f>
        <v>0</v>
      </c>
      <c r="R3" s="3">
        <f>P3*E3</f>
        <v>0.47942553860420301</v>
      </c>
      <c r="S3" s="3">
        <f>P3*J3*D3</f>
        <v>0</v>
      </c>
      <c r="T3" s="3">
        <f>P3*J3*E3</f>
        <v>0</v>
      </c>
      <c r="U3" s="3">
        <f>SIN(0.5+A3*91/750*2*PI())</f>
        <v>0.47942553860420301</v>
      </c>
      <c r="V3" s="3">
        <f>U3*D3</f>
        <v>0</v>
      </c>
      <c r="W3" s="3">
        <f>U3*E3</f>
        <v>0.47942553860420301</v>
      </c>
      <c r="X3" s="3">
        <f>U3*J3*D3</f>
        <v>0</v>
      </c>
      <c r="Y3" s="3">
        <f>U3*J3*E3</f>
        <v>0</v>
      </c>
      <c r="Z3" s="3">
        <f>SIN(0.5+A3*91.5/750*2*PI())</f>
        <v>0.47942553860420301</v>
      </c>
      <c r="AA3" s="3">
        <f>Z3*D3</f>
        <v>0</v>
      </c>
      <c r="AB3" s="3">
        <f>Z3*E3</f>
        <v>0.47942553860420301</v>
      </c>
      <c r="AC3" s="3">
        <f>Z3*J3*D3</f>
        <v>0</v>
      </c>
      <c r="AD3" s="3">
        <f>Z3*J3*E3</f>
        <v>0</v>
      </c>
      <c r="AE3" s="3">
        <f t="shared" ref="AE3:AE66" si="7">SIN(0.5+A3*92/750*2*PI())</f>
        <v>0.47942553860420301</v>
      </c>
      <c r="AF3" s="3">
        <f>AE3*D3</f>
        <v>0</v>
      </c>
      <c r="AG3" s="3">
        <f>AE3*E3</f>
        <v>0.47942553860420301</v>
      </c>
      <c r="AH3" s="3">
        <f>AE3*J3*D3</f>
        <v>0</v>
      </c>
      <c r="AI3" s="3">
        <f>AE3*J3*E3</f>
        <v>0</v>
      </c>
      <c r="AJ3" s="3">
        <f t="shared" ref="AJ3:AJ66" si="8">SIN(0.5+A3*92.5/750*2*PI())</f>
        <v>0.47942553860420301</v>
      </c>
      <c r="AK3" s="3">
        <f>AJ3*D3</f>
        <v>0</v>
      </c>
      <c r="AL3" s="3">
        <f>AJ3*E3</f>
        <v>0.47942553860420301</v>
      </c>
      <c r="AM3" s="3">
        <f>AJ3*J3*D3</f>
        <v>0</v>
      </c>
      <c r="AN3" s="3">
        <f>AJ3*J3*E3</f>
        <v>0</v>
      </c>
      <c r="AO3" s="3">
        <f t="shared" ref="AO3:AO66" si="9">SIN(0.5+A3*93/750*2*PI())</f>
        <v>0.47942553860420301</v>
      </c>
      <c r="AP3" s="3">
        <f>AO3*D3</f>
        <v>0</v>
      </c>
      <c r="AQ3" s="3">
        <f>AO3*E3</f>
        <v>0.47942553860420301</v>
      </c>
      <c r="AR3" s="3"/>
      <c r="AS3" s="2"/>
      <c r="AT3" s="2"/>
    </row>
    <row r="4" spans="1:46">
      <c r="A4">
        <v>1</v>
      </c>
      <c r="B4" s="1">
        <f t="shared" si="0"/>
        <v>0.123333</v>
      </c>
      <c r="C4" s="1">
        <f t="shared" si="1"/>
        <v>0.77492409349037994</v>
      </c>
      <c r="D4" s="1">
        <f t="shared" si="2"/>
        <v>0.69966184412374988</v>
      </c>
      <c r="E4" s="1">
        <f t="shared" si="3"/>
        <v>0.71447414500271</v>
      </c>
      <c r="F4" s="2">
        <f t="shared" si="4"/>
        <v>22925.819646402913</v>
      </c>
      <c r="G4" s="2">
        <f t="shared" si="5"/>
        <v>23411.174309303799</v>
      </c>
      <c r="H4" s="2">
        <f t="shared" si="6"/>
        <v>5731.629827061759</v>
      </c>
      <c r="I4" s="3">
        <f t="shared" ref="I4:I67" si="10">SIN(PI()*A4/404)</f>
        <v>7.7761410690170285E-3</v>
      </c>
      <c r="J4" s="3">
        <f t="shared" ref="J4:J67" si="11">I4*I4</f>
        <v>6.0468369925253296E-5</v>
      </c>
      <c r="K4" s="3">
        <f t="shared" ref="K4:K67" si="12">SIN(0.5+A4*90/750*2*PI())</f>
        <v>0.95023277978261578</v>
      </c>
      <c r="L4" s="3">
        <f t="shared" ref="L4:L67" si="13">K4*D4</f>
        <v>0.66484161904954209</v>
      </c>
      <c r="M4" s="3">
        <f t="shared" ref="M4:M67" si="14">K4*E4</f>
        <v>0.67891675288873288</v>
      </c>
      <c r="N4" s="3">
        <f t="shared" ref="N4:N67" si="15">K4*J4*D4</f>
        <v>4.0201888962392037E-5</v>
      </c>
      <c r="O4" s="3">
        <f t="shared" ref="O4:O67" si="16">K4*J4*E4</f>
        <v>4.1052989362127677E-5</v>
      </c>
      <c r="P4" s="3">
        <f t="shared" ref="P4:P67" si="17">SIN(0.5+A4*90.5/750*2*PI())</f>
        <v>0.95152941861602836</v>
      </c>
      <c r="Q4" s="3">
        <f t="shared" ref="Q4:Q67" si="18">P4*D4</f>
        <v>0.66574882776688993</v>
      </c>
      <c r="R4" s="3">
        <f t="shared" ref="R4:R67" si="19">P4*E4</f>
        <v>0.6798431678106126</v>
      </c>
      <c r="S4" s="3">
        <f t="shared" ref="S4:S67" si="20">P4*J4*D4</f>
        <v>4.0256746394712044E-5</v>
      </c>
      <c r="T4" s="3">
        <f t="shared" ref="T4:T67" si="21">P4*J4*E4</f>
        <v>4.1109008162328177E-5</v>
      </c>
      <c r="U4" s="3">
        <f t="shared" ref="U4:U67" si="22">SIN(0.5+A4*91/750*2*PI())</f>
        <v>0.95280936197351884</v>
      </c>
      <c r="V4" s="3">
        <f t="shared" ref="V4:V67" si="23">U4*D4</f>
        <v>0.66664435529676569</v>
      </c>
      <c r="W4" s="3">
        <f t="shared" ref="W4:W67" si="24">U4*E4</f>
        <v>0.6807576542466075</v>
      </c>
      <c r="X4" s="3">
        <f t="shared" ref="X4:X67" si="25">U4*J4*D4</f>
        <v>4.0310897484666824E-5</v>
      </c>
      <c r="Y4" s="3">
        <f t="shared" ref="Y4:Y67" si="26">U4*J4*E4</f>
        <v>4.1164305666431545E-5</v>
      </c>
      <c r="Z4" s="3">
        <f t="shared" ref="Z4:Z67" si="27">SIN(0.5+A4*91.5/750*2*PI())</f>
        <v>0.95407258739728051</v>
      </c>
      <c r="AA4" s="3">
        <f t="shared" ref="AA4:AA67" si="28">Z4*D4</f>
        <v>0.66752818592629881</v>
      </c>
      <c r="AB4" s="3">
        <f t="shared" ref="AB4:AB67" si="29">Z4*E4</f>
        <v>0.68166019615119533</v>
      </c>
      <c r="AC4" s="3">
        <f t="shared" ref="AC4:AC67" si="30">Z4*J4*D4</f>
        <v>4.0364341282124694E-5</v>
      </c>
      <c r="AD4" s="3">
        <f t="shared" ref="AD4:AD67" si="31">Z4*J4*E4</f>
        <v>4.1218880904191203E-5</v>
      </c>
      <c r="AE4" s="3">
        <f t="shared" si="7"/>
        <v>0.955319072722839</v>
      </c>
      <c r="AF4" s="3">
        <f t="shared" ref="AF4:AF67" si="32">AE4*D4</f>
        <v>0.66840030414785223</v>
      </c>
      <c r="AG4" s="3">
        <f t="shared" ref="AG4:AG67" si="33">AE4*E4</f>
        <v>0.68255077768843209</v>
      </c>
      <c r="AH4" s="3">
        <f t="shared" ref="AH4:AH67" si="34">AE4*J4*D4</f>
        <v>4.0417076849364149E-5</v>
      </c>
      <c r="AI4" s="3">
        <f t="shared" ref="AI4:AI67" si="35">AE4*J4*E4</f>
        <v>4.1272732918033441E-5</v>
      </c>
      <c r="AJ4" s="3">
        <f t="shared" si="8"/>
        <v>0.95654879607944032</v>
      </c>
      <c r="AK4" s="3">
        <f t="shared" ref="AK4:AK67" si="36">AJ4*D4</f>
        <v>0.66926069465929394</v>
      </c>
      <c r="AL4" s="3">
        <f t="shared" ref="AL4:AL67" si="37">AJ4*E4</f>
        <v>0.68342938323222968</v>
      </c>
      <c r="AM4" s="3">
        <f t="shared" ref="AM4:AM67" si="38">AJ4*J4*D4</f>
        <v>4.0469103261090178E-5</v>
      </c>
      <c r="AN4" s="3">
        <f t="shared" ref="AN4:AN67" si="39">AJ4*J4*E4</f>
        <v>4.1325860763074168E-5</v>
      </c>
      <c r="AO4" s="3">
        <f t="shared" si="9"/>
        <v>0.95776173589043501</v>
      </c>
      <c r="AP4" s="3">
        <f t="shared" ref="AP4:AP67" si="40">AO4*D4</f>
        <v>0.67010934236426567</v>
      </c>
      <c r="AQ4" s="3">
        <f t="shared" ref="AQ4:AQ67" si="41">AO4*E4</f>
        <v>0.68429599736662994</v>
      </c>
      <c r="AR4" s="3"/>
      <c r="AS4" s="2"/>
      <c r="AT4" s="2"/>
    </row>
    <row r="5" spans="1:46">
      <c r="A5">
        <f t="shared" ref="A5:A68" si="42">A4+1</f>
        <v>2</v>
      </c>
      <c r="B5" s="1">
        <f t="shared" si="0"/>
        <v>0.246666</v>
      </c>
      <c r="C5" s="1">
        <f t="shared" si="1"/>
        <v>1.5498481869807599</v>
      </c>
      <c r="D5" s="1">
        <f t="shared" si="2"/>
        <v>0.9997805957426712</v>
      </c>
      <c r="E5" s="1">
        <f t="shared" si="3"/>
        <v>2.0946607754707094E-2</v>
      </c>
      <c r="F5" s="2">
        <f t="shared" si="4"/>
        <v>32759.810780700107</v>
      </c>
      <c r="G5" s="2">
        <f t="shared" si="5"/>
        <v>686.35749629848738</v>
      </c>
      <c r="H5" s="2">
        <f t="shared" si="6"/>
        <v>8190.2026403239624</v>
      </c>
      <c r="I5" s="3">
        <f t="shared" si="10"/>
        <v>1.5551811920350872E-2</v>
      </c>
      <c r="J5" s="3">
        <f t="shared" si="11"/>
        <v>2.4185885400596749E-4</v>
      </c>
      <c r="K5" s="3">
        <f t="shared" si="12"/>
        <v>0.90595423181372869</v>
      </c>
      <c r="L5" s="3">
        <f t="shared" si="13"/>
        <v>0.90575546159832376</v>
      </c>
      <c r="M5" s="3">
        <f t="shared" si="14"/>
        <v>1.8976667937519159E-2</v>
      </c>
      <c r="N5" s="3">
        <f t="shared" si="15"/>
        <v>2.1906497795181668E-4</v>
      </c>
      <c r="O5" s="3">
        <f t="shared" si="16"/>
        <v>4.5896751602201701E-6</v>
      </c>
      <c r="P5" s="3">
        <f t="shared" si="17"/>
        <v>0.90237561836775482</v>
      </c>
      <c r="Q5" s="3">
        <f t="shared" si="18"/>
        <v>0.90217763331537526</v>
      </c>
      <c r="R5" s="3">
        <f t="shared" si="19"/>
        <v>1.8901708125360624E-2</v>
      </c>
      <c r="S5" s="3">
        <f t="shared" si="20"/>
        <v>2.181996485034726E-4</v>
      </c>
      <c r="T5" s="3">
        <f t="shared" si="21"/>
        <v>4.5715454659550045E-6</v>
      </c>
      <c r="U5" s="3">
        <f t="shared" si="22"/>
        <v>0.89873367309396957</v>
      </c>
      <c r="V5" s="3">
        <f t="shared" si="23"/>
        <v>0.89853648709988798</v>
      </c>
      <c r="W5" s="3">
        <f t="shared" si="24"/>
        <v>1.8825421726246534E-2</v>
      </c>
      <c r="X5" s="3">
        <f t="shared" si="25"/>
        <v>2.1731900505252673E-4</v>
      </c>
      <c r="Y5" s="3">
        <f t="shared" si="26"/>
        <v>4.5530949248890291E-6</v>
      </c>
      <c r="Z5" s="3">
        <f t="shared" si="27"/>
        <v>0.89502865159663214</v>
      </c>
      <c r="AA5" s="3">
        <f t="shared" si="28"/>
        <v>0.89483227850004055</v>
      </c>
      <c r="AB5" s="3">
        <f t="shared" si="29"/>
        <v>1.8747814094219051E-2</v>
      </c>
      <c r="AC5" s="3">
        <f t="shared" si="30"/>
        <v>2.1642310940556855E-4</v>
      </c>
      <c r="AD5" s="3">
        <f t="shared" si="31"/>
        <v>4.534324831944744E-6</v>
      </c>
      <c r="AE5" s="3">
        <f t="shared" si="7"/>
        <v>0.89126081390690703</v>
      </c>
      <c r="AF5" s="3">
        <f t="shared" si="32"/>
        <v>0.89106526748994552</v>
      </c>
      <c r="AG5" s="3">
        <f t="shared" si="33"/>
        <v>1.8668890676048974E-2</v>
      </c>
      <c r="AH5" s="3">
        <f t="shared" si="34"/>
        <v>2.1551202443963909E-4</v>
      </c>
      <c r="AI5" s="3">
        <f t="shared" si="35"/>
        <v>4.5152365044718963E-6</v>
      </c>
      <c r="AJ5" s="3">
        <f t="shared" si="8"/>
        <v>0.88743042446461651</v>
      </c>
      <c r="AK5" s="3">
        <f t="shared" si="36"/>
        <v>0.88723571845140581</v>
      </c>
      <c r="AL5" s="3">
        <f t="shared" si="37"/>
        <v>1.8588657010853545E-2</v>
      </c>
      <c r="AM5" s="3">
        <f t="shared" si="38"/>
        <v>2.1458581409781823E-4</v>
      </c>
      <c r="AN5" s="3">
        <f t="shared" si="39"/>
        <v>4.4958312821550316E-6</v>
      </c>
      <c r="AO5" s="3">
        <f t="shared" si="9"/>
        <v>0.88353775209967989</v>
      </c>
      <c r="AP5" s="3">
        <f t="shared" si="40"/>
        <v>0.88334390015535846</v>
      </c>
      <c r="AQ5" s="3">
        <f t="shared" si="41"/>
        <v>1.8507118729707631E-2</v>
      </c>
      <c r="AR5" s="3"/>
      <c r="AS5" s="2"/>
      <c r="AT5" s="2"/>
    </row>
    <row r="6" spans="1:46">
      <c r="A6">
        <f t="shared" si="42"/>
        <v>3</v>
      </c>
      <c r="B6" s="1">
        <f t="shared" si="0"/>
        <v>0.36999899999999997</v>
      </c>
      <c r="C6" s="1">
        <f t="shared" si="1"/>
        <v>2.3247722804711395</v>
      </c>
      <c r="D6" s="1">
        <f t="shared" si="2"/>
        <v>0.7289729285433405</v>
      </c>
      <c r="E6" s="1">
        <f t="shared" si="3"/>
        <v>-0.68454252567020679</v>
      </c>
      <c r="F6" s="2">
        <f t="shared" si="4"/>
        <v>23886.255949579638</v>
      </c>
      <c r="G6" s="2">
        <f t="shared" si="5"/>
        <v>-22430.404938635667</v>
      </c>
      <c r="H6" s="2">
        <f t="shared" si="6"/>
        <v>5971.7462306270454</v>
      </c>
      <c r="I6" s="3">
        <f t="shared" si="10"/>
        <v>2.3326542364752078E-2</v>
      </c>
      <c r="J6" s="3">
        <f t="shared" si="11"/>
        <v>5.4412757869457342E-4</v>
      </c>
      <c r="K6" s="3">
        <f t="shared" si="12"/>
        <v>0.37059164596113031</v>
      </c>
      <c r="L6" s="3">
        <f t="shared" si="13"/>
        <v>0.27015127744998196</v>
      </c>
      <c r="M6" s="3">
        <f t="shared" si="14"/>
        <v>-0.25368574131851124</v>
      </c>
      <c r="N6" s="3">
        <f t="shared" si="15"/>
        <v>1.4699676048010463E-4</v>
      </c>
      <c r="O6" s="3">
        <f t="shared" si="16"/>
        <v>-1.3803740817297942E-4</v>
      </c>
      <c r="P6" s="3">
        <f t="shared" si="17"/>
        <v>0.35889109922506413</v>
      </c>
      <c r="Q6" s="3">
        <f t="shared" si="18"/>
        <v>0.26162189563023358</v>
      </c>
      <c r="R6" s="3">
        <f t="shared" si="19"/>
        <v>-0.24567621950408219</v>
      </c>
      <c r="S6" s="3">
        <f t="shared" si="20"/>
        <v>1.4235568860276342E-4</v>
      </c>
      <c r="T6" s="3">
        <f t="shared" si="21"/>
        <v>-1.3367920646159277E-4</v>
      </c>
      <c r="U6" s="3">
        <f t="shared" si="22"/>
        <v>0.34713387942403229</v>
      </c>
      <c r="V6" s="3">
        <f t="shared" si="23"/>
        <v>0.25305120068034764</v>
      </c>
      <c r="W6" s="3">
        <f t="shared" si="24"/>
        <v>-0.23762790256662408</v>
      </c>
      <c r="X6" s="3">
        <f t="shared" si="25"/>
        <v>1.3769213711195216E-4</v>
      </c>
      <c r="Y6" s="3">
        <f t="shared" si="26"/>
        <v>-1.2929989525384717E-4</v>
      </c>
      <c r="Z6" s="3">
        <f t="shared" si="27"/>
        <v>0.33532184315933583</v>
      </c>
      <c r="AA6" s="3">
        <f t="shared" si="28"/>
        <v>0.24444054601241175</v>
      </c>
      <c r="AB6" s="3">
        <f t="shared" si="29"/>
        <v>-0.22954206142868069</v>
      </c>
      <c r="AC6" s="3">
        <f t="shared" si="30"/>
        <v>1.3300684243651307E-4</v>
      </c>
      <c r="AD6" s="3">
        <f t="shared" si="31"/>
        <v>-1.2490016609374908E-4</v>
      </c>
      <c r="AE6" s="3">
        <f t="shared" si="7"/>
        <v>0.32345685568843036</v>
      </c>
      <c r="AF6" s="3">
        <f t="shared" si="32"/>
        <v>0.23579129134861573</v>
      </c>
      <c r="AG6" s="3">
        <f t="shared" si="33"/>
        <v>-0.22141997293830171</v>
      </c>
      <c r="AH6" s="3">
        <f t="shared" si="34"/>
        <v>1.28300544438789E-4</v>
      </c>
      <c r="AI6" s="3">
        <f t="shared" si="35"/>
        <v>-1.2048071374953608E-4</v>
      </c>
      <c r="AJ6" s="3">
        <f t="shared" si="8"/>
        <v>0.31154079063038087</v>
      </c>
      <c r="AK6" s="3">
        <f t="shared" si="36"/>
        <v>0.22710480250653645</v>
      </c>
      <c r="AL6" s="3">
        <f t="shared" si="37"/>
        <v>-0.21326291966741401</v>
      </c>
      <c r="AM6" s="3">
        <f t="shared" si="38"/>
        <v>1.2357398629779095E-4</v>
      </c>
      <c r="AN6" s="3">
        <f t="shared" si="39"/>
        <v>-1.160422361039653E-4</v>
      </c>
      <c r="AO6" s="3">
        <f t="shared" si="9"/>
        <v>0.29957552966999584</v>
      </c>
      <c r="AP6" s="3">
        <f t="shared" si="40"/>
        <v>0.21838245118345925</v>
      </c>
      <c r="AQ6" s="3">
        <f t="shared" si="41"/>
        <v>-0.20507218970928892</v>
      </c>
      <c r="AR6" s="3"/>
      <c r="AS6" s="2"/>
      <c r="AT6" s="2"/>
    </row>
    <row r="7" spans="1:46">
      <c r="A7">
        <f t="shared" si="42"/>
        <v>4</v>
      </c>
      <c r="B7" s="1">
        <f t="shared" si="0"/>
        <v>0.49333199999999999</v>
      </c>
      <c r="C7" s="1">
        <f t="shared" si="1"/>
        <v>3.0996963739615198</v>
      </c>
      <c r="D7" s="1">
        <f t="shared" si="2"/>
        <v>4.1884023959578229E-2</v>
      </c>
      <c r="E7" s="1">
        <f t="shared" si="3"/>
        <v>-0.99912247924714093</v>
      </c>
      <c r="F7" s="2">
        <f t="shared" si="4"/>
        <v>1372.4138130834999</v>
      </c>
      <c r="G7" s="2">
        <f t="shared" si="5"/>
        <v>-32738.246277491067</v>
      </c>
      <c r="H7" s="2">
        <f t="shared" si="6"/>
        <v>343.11392427686485</v>
      </c>
      <c r="I7" s="3">
        <f t="shared" si="10"/>
        <v>3.1099862269836916E-2</v>
      </c>
      <c r="J7" s="3">
        <f t="shared" si="11"/>
        <v>9.6720143320282571E-4</v>
      </c>
      <c r="K7" s="3">
        <f t="shared" si="12"/>
        <v>-0.3656548648334747</v>
      </c>
      <c r="L7" s="3">
        <f t="shared" si="13"/>
        <v>-1.5315097119621594E-2</v>
      </c>
      <c r="M7" s="3">
        <f t="shared" si="14"/>
        <v>0.36533399510119946</v>
      </c>
      <c r="N7" s="3">
        <f t="shared" si="15"/>
        <v>-1.4812783883738473E-5</v>
      </c>
      <c r="O7" s="3">
        <f t="shared" si="16"/>
        <v>3.5335156365959422E-4</v>
      </c>
      <c r="P7" s="3">
        <f t="shared" si="17"/>
        <v>-0.38119768478644067</v>
      </c>
      <c r="Q7" s="3">
        <f t="shared" si="18"/>
        <v>-1.5966092962931031E-2</v>
      </c>
      <c r="R7" s="3">
        <f t="shared" si="19"/>
        <v>0.38086317590709873</v>
      </c>
      <c r="S7" s="3">
        <f t="shared" si="20"/>
        <v>-1.544242799639644E-5</v>
      </c>
      <c r="T7" s="3">
        <f t="shared" si="21"/>
        <v>3.6837140959152578E-4</v>
      </c>
      <c r="U7" s="3">
        <f t="shared" si="22"/>
        <v>-0.39663349155309086</v>
      </c>
      <c r="V7" s="3">
        <f t="shared" si="23"/>
        <v>-1.6612606663380828E-2</v>
      </c>
      <c r="W7" s="3">
        <f t="shared" si="24"/>
        <v>0.39628543743297406</v>
      </c>
      <c r="X7" s="3">
        <f t="shared" si="25"/>
        <v>-1.606773697405675E-5</v>
      </c>
      <c r="Y7" s="3">
        <f t="shared" si="26"/>
        <v>3.8328784304258128E-4</v>
      </c>
      <c r="Z7" s="3">
        <f t="shared" si="27"/>
        <v>-0.41195795185719819</v>
      </c>
      <c r="AA7" s="3">
        <f t="shared" si="28"/>
        <v>-1.7254456725925665E-2</v>
      </c>
      <c r="AB7" s="3">
        <f t="shared" si="29"/>
        <v>0.41159645020513819</v>
      </c>
      <c r="AC7" s="3">
        <f t="shared" si="30"/>
        <v>-1.6688535274451438E-5</v>
      </c>
      <c r="AD7" s="3">
        <f t="shared" si="31"/>
        <v>3.9809667653960512E-4</v>
      </c>
      <c r="AE7" s="3">
        <f t="shared" si="7"/>
        <v>-0.42716676368069922</v>
      </c>
      <c r="AF7" s="3">
        <f t="shared" si="32"/>
        <v>-1.7891462964737898E-2</v>
      </c>
      <c r="AG7" s="3">
        <f t="shared" si="33"/>
        <v>0.42679191598063776</v>
      </c>
      <c r="AH7" s="3">
        <f t="shared" si="34"/>
        <v>-1.730464862158977E-5</v>
      </c>
      <c r="AI7" s="3">
        <f t="shared" si="35"/>
        <v>4.1279375281585284E-4</v>
      </c>
      <c r="AJ7" s="3">
        <f t="shared" si="8"/>
        <v>-0.44225565747139545</v>
      </c>
      <c r="AK7" s="3">
        <f t="shared" si="36"/>
        <v>-1.852344655379095E-2</v>
      </c>
      <c r="AL7" s="3">
        <f t="shared" si="37"/>
        <v>0.44186756895389495</v>
      </c>
      <c r="AM7" s="3">
        <f t="shared" si="38"/>
        <v>-1.7915904054682546E-5</v>
      </c>
      <c r="AN7" s="3">
        <f t="shared" si="39"/>
        <v>4.273749459780556E-4</v>
      </c>
      <c r="AO7" s="3">
        <f t="shared" si="9"/>
        <v>-0.45722039734153813</v>
      </c>
      <c r="AP7" s="3">
        <f t="shared" si="40"/>
        <v>-1.9150230077060862E-2</v>
      </c>
      <c r="AQ7" s="3">
        <f t="shared" si="41"/>
        <v>0.45681917695424046</v>
      </c>
      <c r="AR7" s="3"/>
      <c r="AS7" s="2"/>
      <c r="AT7" s="2"/>
    </row>
    <row r="8" spans="1:46">
      <c r="A8">
        <f t="shared" si="42"/>
        <v>5</v>
      </c>
      <c r="B8" s="1">
        <f t="shared" si="0"/>
        <v>0.61666500000000002</v>
      </c>
      <c r="C8" s="1">
        <f t="shared" si="1"/>
        <v>3.8746204674518996</v>
      </c>
      <c r="D8" s="1">
        <f t="shared" si="2"/>
        <v>-0.66912282412775481</v>
      </c>
      <c r="E8" s="1">
        <f t="shared" si="3"/>
        <v>-0.74315183255597084</v>
      </c>
      <c r="F8" s="2">
        <f t="shared" si="4"/>
        <v>-21925.147578194141</v>
      </c>
      <c r="G8" s="2">
        <f t="shared" si="5"/>
        <v>-24350.856097361495</v>
      </c>
      <c r="H8" s="2">
        <f t="shared" si="6"/>
        <v>-5481.4541752545674</v>
      </c>
      <c r="I8" s="3">
        <f t="shared" si="10"/>
        <v>3.8871301588515969E-2</v>
      </c>
      <c r="J8" s="3">
        <f t="shared" si="11"/>
        <v>1.510978087185364E-3</v>
      </c>
      <c r="K8" s="3">
        <f t="shared" si="12"/>
        <v>-0.90369349581637026</v>
      </c>
      <c r="L8" s="3">
        <f t="shared" si="13"/>
        <v>0.60468194406653308</v>
      </c>
      <c r="M8" s="3">
        <f t="shared" si="14"/>
        <v>0.67158147748484709</v>
      </c>
      <c r="N8" s="3">
        <f t="shared" si="15"/>
        <v>9.1366116720117735E-4</v>
      </c>
      <c r="O8" s="3">
        <f t="shared" si="16"/>
        <v>1.0147448962391748E-3</v>
      </c>
      <c r="P8" s="3">
        <f t="shared" si="17"/>
        <v>-0.91246242510068676</v>
      </c>
      <c r="Q8" s="3">
        <f t="shared" si="18"/>
        <v>0.6105494347938315</v>
      </c>
      <c r="R8" s="3">
        <f t="shared" si="19"/>
        <v>0.67809812335204067</v>
      </c>
      <c r="S8" s="3">
        <f t="shared" si="20"/>
        <v>9.2252681711688859E-4</v>
      </c>
      <c r="T8" s="3">
        <f t="shared" si="21"/>
        <v>1.0245914053464513E-3</v>
      </c>
      <c r="U8" s="3">
        <f t="shared" si="22"/>
        <v>-0.92083111820818864</v>
      </c>
      <c r="V8" s="3">
        <f t="shared" si="23"/>
        <v>0.6161491183601816</v>
      </c>
      <c r="W8" s="3">
        <f t="shared" si="24"/>
        <v>0.68431733297097919</v>
      </c>
      <c r="X8" s="3">
        <f t="shared" si="25"/>
        <v>9.3098781628081571E-4</v>
      </c>
      <c r="Y8" s="3">
        <f t="shared" si="26"/>
        <v>1.03398849480028E-3</v>
      </c>
      <c r="Z8" s="3">
        <f t="shared" si="27"/>
        <v>-0.92879590435349135</v>
      </c>
      <c r="AA8" s="3">
        <f t="shared" si="28"/>
        <v>0.62147853855930013</v>
      </c>
      <c r="AB8" s="3">
        <f t="shared" si="29"/>
        <v>0.69023637839077734</v>
      </c>
      <c r="AC8" s="3">
        <f t="shared" si="30"/>
        <v>9.3904045341908682E-4</v>
      </c>
      <c r="AD8" s="3">
        <f t="shared" si="31"/>
        <v>1.0429320427266498E-3</v>
      </c>
      <c r="AE8" s="3">
        <f t="shared" si="7"/>
        <v>-0.93635328991815336</v>
      </c>
      <c r="AF8" s="3">
        <f t="shared" si="32"/>
        <v>0.62653535773134916</v>
      </c>
      <c r="AG8" s="3">
        <f t="shared" si="33"/>
        <v>0.69585266332248796</v>
      </c>
      <c r="AH8" s="3">
        <f t="shared" si="34"/>
        <v>9.4668119637891172E-4</v>
      </c>
      <c r="AI8" s="3">
        <f t="shared" si="35"/>
        <v>1.0514181261898538E-3</v>
      </c>
      <c r="AJ8" s="3">
        <f t="shared" si="8"/>
        <v>-0.94349995998309166</v>
      </c>
      <c r="AK8" s="3">
        <f t="shared" si="36"/>
        <v>0.63131735778831</v>
      </c>
      <c r="AL8" s="3">
        <f t="shared" si="37"/>
        <v>0.70116372427791973</v>
      </c>
      <c r="AM8" s="3">
        <f t="shared" si="38"/>
        <v>9.5390669367789857E-4</v>
      </c>
      <c r="AN8" s="3">
        <f t="shared" si="39"/>
        <v>1.0594430229132171E-3</v>
      </c>
      <c r="AO8" s="3">
        <f t="shared" si="9"/>
        <v>-0.95023277978261578</v>
      </c>
      <c r="AP8" s="3">
        <f t="shared" si="40"/>
        <v>0.63582244118691078</v>
      </c>
      <c r="AQ8" s="3">
        <f t="shared" si="41"/>
        <v>0.70616723165020523</v>
      </c>
      <c r="AR8" s="3"/>
      <c r="AS8" s="2"/>
      <c r="AT8" s="2"/>
    </row>
    <row r="9" spans="1:46">
      <c r="A9">
        <f t="shared" si="42"/>
        <v>6</v>
      </c>
      <c r="B9" s="1">
        <f t="shared" si="0"/>
        <v>0.73999799999999993</v>
      </c>
      <c r="C9" s="1">
        <f t="shared" si="1"/>
        <v>4.649544560942279</v>
      </c>
      <c r="D9" s="1">
        <f t="shared" si="2"/>
        <v>-0.99802593930053107</v>
      </c>
      <c r="E9" s="1">
        <f t="shared" si="3"/>
        <v>-6.2803061098108431E-2</v>
      </c>
      <c r="F9" s="2">
        <f t="shared" si="4"/>
        <v>-32702.315953060501</v>
      </c>
      <c r="G9" s="2">
        <f t="shared" si="5"/>
        <v>-2057.8679030017188</v>
      </c>
      <c r="H9" s="2">
        <f t="shared" si="6"/>
        <v>-8175.8284947499506</v>
      </c>
      <c r="I9" s="3">
        <f t="shared" si="10"/>
        <v>4.6640390387417532E-2</v>
      </c>
      <c r="J9" s="3">
        <f t="shared" si="11"/>
        <v>2.1753260154907098E-3</v>
      </c>
      <c r="K9" s="3">
        <f t="shared" si="12"/>
        <v>-0.95187354967635818</v>
      </c>
      <c r="L9" s="3">
        <f t="shared" si="13"/>
        <v>0.94999449351107812</v>
      </c>
      <c r="M9" s="3">
        <f t="shared" si="14"/>
        <v>5.9780572697997671E-2</v>
      </c>
      <c r="N9" s="3">
        <f t="shared" si="15"/>
        <v>2.0665477363075685E-3</v>
      </c>
      <c r="O9" s="3">
        <f t="shared" si="16"/>
        <v>1.30042235010888E-4</v>
      </c>
      <c r="P9" s="3">
        <f t="shared" si="17"/>
        <v>-0.94387078921978029</v>
      </c>
      <c r="Q9" s="3">
        <f t="shared" si="18"/>
        <v>0.94200753098940482</v>
      </c>
      <c r="R9" s="3">
        <f t="shared" si="19"/>
        <v>5.9277974844089684E-2</v>
      </c>
      <c r="S9" s="3">
        <f t="shared" si="20"/>
        <v>2.0491734889494235E-3</v>
      </c>
      <c r="T9" s="3">
        <f t="shared" si="21"/>
        <v>1.2894892082395215E-4</v>
      </c>
      <c r="U9" s="3">
        <f t="shared" si="22"/>
        <v>-0.9352718597423707</v>
      </c>
      <c r="V9" s="3">
        <f t="shared" si="23"/>
        <v>0.93342557632073409</v>
      </c>
      <c r="W9" s="3">
        <f t="shared" si="24"/>
        <v>5.8737935750741606E-2</v>
      </c>
      <c r="X9" s="3">
        <f t="shared" si="25"/>
        <v>2.030504939694902E-3</v>
      </c>
      <c r="Y9" s="3">
        <f t="shared" si="26"/>
        <v>1.2777415973481006E-4</v>
      </c>
      <c r="Z9" s="3">
        <f t="shared" si="27"/>
        <v>-0.92608219251229196</v>
      </c>
      <c r="AA9" s="3">
        <f t="shared" si="28"/>
        <v>0.92425405005157546</v>
      </c>
      <c r="AB9" s="3">
        <f t="shared" si="29"/>
        <v>5.8160796518219683E-2</v>
      </c>
      <c r="AC9" s="3">
        <f t="shared" si="30"/>
        <v>2.0105538799998447E-3</v>
      </c>
      <c r="AD9" s="3">
        <f t="shared" si="31"/>
        <v>1.2651869374774477E-4</v>
      </c>
      <c r="AE9" s="3">
        <f t="shared" si="7"/>
        <v>-0.91630759192033229</v>
      </c>
      <c r="AF9" s="3">
        <f t="shared" si="32"/>
        <v>0.91449874511449736</v>
      </c>
      <c r="AG9" s="3">
        <f t="shared" si="33"/>
        <v>5.7546921680033239E-2</v>
      </c>
      <c r="AH9" s="3">
        <f t="shared" si="34"/>
        <v>1.989332911381174E-3</v>
      </c>
      <c r="AI9" s="3">
        <f t="shared" si="35"/>
        <v>1.2518331584198265E-4</v>
      </c>
      <c r="AJ9" s="3">
        <f t="shared" si="8"/>
        <v>-0.90595423181372858</v>
      </c>
      <c r="AK9" s="3">
        <f t="shared" si="36"/>
        <v>0.90416582316918759</v>
      </c>
      <c r="AL9" s="3">
        <f t="shared" si="37"/>
        <v>5.6896698972687489E-2</v>
      </c>
      <c r="AM9" s="3">
        <f t="shared" si="38"/>
        <v>1.9668554374575064E-3</v>
      </c>
      <c r="AN9" s="3">
        <f t="shared" si="39"/>
        <v>1.2376886947083063E-4</v>
      </c>
      <c r="AO9" s="3">
        <f t="shared" si="9"/>
        <v>-0.89502865159663225</v>
      </c>
      <c r="AP9" s="3">
        <f t="shared" si="40"/>
        <v>0.89326181071061672</v>
      </c>
      <c r="AQ9" s="3">
        <f t="shared" si="41"/>
        <v>5.62105390907809E-2</v>
      </c>
      <c r="AR9" s="3"/>
      <c r="AS9" s="2"/>
      <c r="AT9" s="2"/>
    </row>
    <row r="10" spans="1:46">
      <c r="A10">
        <f t="shared" si="42"/>
        <v>7</v>
      </c>
      <c r="B10" s="1">
        <f t="shared" si="0"/>
        <v>0.86333099999999996</v>
      </c>
      <c r="C10" s="1">
        <f t="shared" si="1"/>
        <v>5.4244686544326592</v>
      </c>
      <c r="D10" s="1">
        <f t="shared" si="2"/>
        <v>-0.7570046352167924</v>
      </c>
      <c r="E10" s="1">
        <f t="shared" si="3"/>
        <v>0.6534095057927235</v>
      </c>
      <c r="F10" s="2">
        <f t="shared" si="4"/>
        <v>-24804.770882148638</v>
      </c>
      <c r="G10" s="2">
        <f t="shared" si="5"/>
        <v>21410.26927631017</v>
      </c>
      <c r="H10" s="2">
        <f t="shared" si="6"/>
        <v>-6201.3819716959633</v>
      </c>
      <c r="I10" s="3">
        <f t="shared" si="10"/>
        <v>5.4406658875304138E-2</v>
      </c>
      <c r="J10" s="3">
        <f t="shared" si="11"/>
        <v>2.9600845299737107E-3</v>
      </c>
      <c r="K10" s="3">
        <f t="shared" si="12"/>
        <v>-0.48407841415627351</v>
      </c>
      <c r="L10" s="3">
        <f t="shared" si="13"/>
        <v>0.36644960332469317</v>
      </c>
      <c r="M10" s="3">
        <f t="shared" si="14"/>
        <v>-0.31630143735877597</v>
      </c>
      <c r="N10" s="3">
        <f t="shared" si="15"/>
        <v>1.0847218018164271E-3</v>
      </c>
      <c r="O10" s="3">
        <f t="shared" si="16"/>
        <v>-9.3627899153416155E-4</v>
      </c>
      <c r="P10" s="3">
        <f t="shared" si="17"/>
        <v>-0.45821694966095572</v>
      </c>
      <c r="Q10" s="3">
        <f t="shared" si="18"/>
        <v>0.34687235482824313</v>
      </c>
      <c r="R10" s="3">
        <f t="shared" si="19"/>
        <v>-0.29940331062381431</v>
      </c>
      <c r="S10" s="3">
        <f t="shared" si="20"/>
        <v>1.0267714914026342E-3</v>
      </c>
      <c r="T10" s="3">
        <f t="shared" si="21"/>
        <v>-8.8625910800046634E-4</v>
      </c>
      <c r="U10" s="3">
        <f t="shared" si="22"/>
        <v>-0.43196156035687855</v>
      </c>
      <c r="V10" s="3">
        <f t="shared" si="23"/>
        <v>0.32699690342563531</v>
      </c>
      <c r="W10" s="3">
        <f t="shared" si="24"/>
        <v>-0.28224778967424169</v>
      </c>
      <c r="X10" s="3">
        <f t="shared" si="25"/>
        <v>9.6793847517953049E-4</v>
      </c>
      <c r="Y10" s="3">
        <f t="shared" si="26"/>
        <v>-8.3547731583399649E-4</v>
      </c>
      <c r="Z10" s="3">
        <f t="shared" si="27"/>
        <v>-0.40533481775567598</v>
      </c>
      <c r="AA10" s="3">
        <f t="shared" si="28"/>
        <v>0.30684033585580051</v>
      </c>
      <c r="AB10" s="3">
        <f t="shared" si="29"/>
        <v>-0.26484962295031989</v>
      </c>
      <c r="AC10" s="3">
        <f t="shared" si="30"/>
        <v>9.0827333133869283E-4</v>
      </c>
      <c r="AD10" s="3">
        <f t="shared" si="31"/>
        <v>-7.8397727166461218E-4</v>
      </c>
      <c r="AE10" s="3">
        <f t="shared" si="7"/>
        <v>-0.37835961261792522</v>
      </c>
      <c r="AF10" s="3">
        <f t="shared" si="32"/>
        <v>0.28641998053059936</v>
      </c>
      <c r="AG10" s="3">
        <f t="shared" si="33"/>
        <v>-0.24722376749260483</v>
      </c>
      <c r="AH10" s="3">
        <f t="shared" si="34"/>
        <v>8.4782735344399868E-4</v>
      </c>
      <c r="AI10" s="3">
        <f t="shared" si="35"/>
        <v>-7.3180324959667715E-4</v>
      </c>
      <c r="AJ10" s="3">
        <f t="shared" si="8"/>
        <v>-0.35105913527417382</v>
      </c>
      <c r="AK10" s="3">
        <f t="shared" si="36"/>
        <v>0.26575339263774855</v>
      </c>
      <c r="AL10" s="3">
        <f t="shared" si="37"/>
        <v>-0.22938537608351878</v>
      </c>
      <c r="AM10" s="3">
        <f t="shared" si="38"/>
        <v>7.8665250633502891E-4</v>
      </c>
      <c r="AN10" s="3">
        <f t="shared" si="39"/>
        <v>-6.7900010314702556E-4</v>
      </c>
      <c r="AO10" s="3">
        <f t="shared" si="9"/>
        <v>-0.32345685568843047</v>
      </c>
      <c r="AP10" s="3">
        <f t="shared" si="40"/>
        <v>0.24485833904879098</v>
      </c>
      <c r="AQ10" s="3">
        <f t="shared" si="41"/>
        <v>-0.21134978422064563</v>
      </c>
      <c r="AR10" s="3"/>
      <c r="AS10" s="2"/>
      <c r="AT10" s="2"/>
    </row>
    <row r="11" spans="1:46">
      <c r="A11">
        <f t="shared" si="42"/>
        <v>8</v>
      </c>
      <c r="B11" s="1">
        <f t="shared" si="0"/>
        <v>0.98666399999999999</v>
      </c>
      <c r="C11" s="1">
        <f t="shared" si="1"/>
        <v>6.1993927479230395</v>
      </c>
      <c r="D11" s="1">
        <f t="shared" si="2"/>
        <v>-8.3694539718680891E-2</v>
      </c>
      <c r="E11" s="1">
        <f t="shared" si="3"/>
        <v>0.99649145707390696</v>
      </c>
      <c r="F11" s="2">
        <f t="shared" si="4"/>
        <v>-2742.4189829620168</v>
      </c>
      <c r="G11" s="2">
        <f t="shared" si="5"/>
        <v>32652.03557394071</v>
      </c>
      <c r="H11" s="2">
        <f t="shared" si="6"/>
        <v>-685.62566937543386</v>
      </c>
      <c r="I11" s="3">
        <f t="shared" si="10"/>
        <v>6.2169637431480525E-2</v>
      </c>
      <c r="J11" s="3">
        <f t="shared" si="11"/>
        <v>3.8650638183617444E-3</v>
      </c>
      <c r="K11" s="3">
        <f t="shared" si="12"/>
        <v>0.24611759541269396</v>
      </c>
      <c r="L11" s="3">
        <f t="shared" si="13"/>
        <v>-2.059869886473395E-2</v>
      </c>
      <c r="M11" s="3">
        <f t="shared" si="14"/>
        <v>0.24525408126432172</v>
      </c>
      <c r="N11" s="3">
        <f t="shared" si="15"/>
        <v>-7.9615285687412328E-5</v>
      </c>
      <c r="O11" s="3">
        <f t="shared" si="16"/>
        <v>9.4792267580028088E-4</v>
      </c>
      <c r="P11" s="3">
        <f t="shared" si="17"/>
        <v>0.27845288537126889</v>
      </c>
      <c r="Q11" s="3">
        <f t="shared" si="18"/>
        <v>-2.3304986074486961E-2</v>
      </c>
      <c r="R11" s="3">
        <f t="shared" si="19"/>
        <v>0.27747592147004935</v>
      </c>
      <c r="S11" s="3">
        <f t="shared" si="20"/>
        <v>-9.0075258463923855E-5</v>
      </c>
      <c r="T11" s="3">
        <f t="shared" si="21"/>
        <v>1.0724621445404724E-3</v>
      </c>
      <c r="U11" s="3">
        <f t="shared" si="22"/>
        <v>0.31047551824515707</v>
      </c>
      <c r="V11" s="3">
        <f t="shared" si="23"/>
        <v>-2.5985105593447331E-2</v>
      </c>
      <c r="W11" s="3">
        <f t="shared" si="24"/>
        <v>0.30938620156189295</v>
      </c>
      <c r="X11" s="3">
        <f t="shared" si="25"/>
        <v>-1.0043409144554267E-4</v>
      </c>
      <c r="Y11" s="3">
        <f t="shared" si="26"/>
        <v>1.1957974135572464E-3</v>
      </c>
      <c r="Z11" s="3">
        <f t="shared" si="27"/>
        <v>0.34214953785087437</v>
      </c>
      <c r="AA11" s="3">
        <f t="shared" si="28"/>
        <v>-2.8636048085388315E-2</v>
      </c>
      <c r="AB11" s="3">
        <f t="shared" si="29"/>
        <v>0.34094909151018171</v>
      </c>
      <c r="AC11" s="3">
        <f t="shared" si="30"/>
        <v>-1.1068015335570149E-4</v>
      </c>
      <c r="AD11" s="3">
        <f t="shared" si="31"/>
        <v>1.3177899974993106E-3</v>
      </c>
      <c r="AE11" s="3">
        <f t="shared" si="7"/>
        <v>0.37343937944066463</v>
      </c>
      <c r="AF11" s="3">
        <f t="shared" si="32"/>
        <v>-3.1254836975116253E-2</v>
      </c>
      <c r="AG11" s="3">
        <f t="shared" si="33"/>
        <v>0.37212915134760349</v>
      </c>
      <c r="AH11" s="3">
        <f t="shared" si="34"/>
        <v>-1.2080193954131665E-4</v>
      </c>
      <c r="AI11" s="3">
        <f t="shared" si="35"/>
        <v>1.4383029186312839E-3</v>
      </c>
      <c r="AJ11" s="3">
        <f t="shared" si="8"/>
        <v>0.40430990963590085</v>
      </c>
      <c r="AK11" s="3">
        <f t="shared" si="36"/>
        <v>-3.3838531790678188E-2</v>
      </c>
      <c r="AL11" s="3">
        <f t="shared" si="37"/>
        <v>0.4028913709624985</v>
      </c>
      <c r="AM11" s="3">
        <f t="shared" si="38"/>
        <v>-1.3078808489063392E-4</v>
      </c>
      <c r="AN11" s="3">
        <f t="shared" si="39"/>
        <v>1.5572008606373126E-3</v>
      </c>
      <c r="AO11" s="3">
        <f t="shared" si="9"/>
        <v>0.43472646587612468</v>
      </c>
      <c r="AP11" s="3">
        <f t="shared" si="40"/>
        <v>-3.6384231465031093E-2</v>
      </c>
      <c r="AQ11" s="3">
        <f t="shared" si="41"/>
        <v>0.43320120940948958</v>
      </c>
      <c r="AR11" s="3"/>
      <c r="AS11" s="2"/>
      <c r="AT11" s="2"/>
    </row>
    <row r="12" spans="1:46">
      <c r="A12">
        <f t="shared" si="42"/>
        <v>9</v>
      </c>
      <c r="B12" s="1">
        <f t="shared" si="0"/>
        <v>1.1099969999999999</v>
      </c>
      <c r="C12" s="1">
        <f t="shared" si="1"/>
        <v>6.9743168414134189</v>
      </c>
      <c r="D12" s="1">
        <f t="shared" si="2"/>
        <v>0.63740946580299196</v>
      </c>
      <c r="E12" s="1">
        <f t="shared" si="3"/>
        <v>0.77052525779804548</v>
      </c>
      <c r="F12" s="2">
        <f t="shared" si="4"/>
        <v>20885.995965966638</v>
      </c>
      <c r="G12" s="2">
        <f t="shared" si="5"/>
        <v>25247.801122268556</v>
      </c>
      <c r="H12" s="2">
        <f t="shared" si="6"/>
        <v>5221.6583438581101</v>
      </c>
      <c r="I12" s="3">
        <f t="shared" si="10"/>
        <v>6.9928856634191225E-2</v>
      </c>
      <c r="J12" s="3">
        <f t="shared" si="11"/>
        <v>4.8900449901652697E-3</v>
      </c>
      <c r="K12" s="3">
        <f t="shared" si="12"/>
        <v>0.84290242558077355</v>
      </c>
      <c r="L12" s="3">
        <f t="shared" si="13"/>
        <v>0.53727398481348709</v>
      </c>
      <c r="M12" s="3">
        <f t="shared" si="14"/>
        <v>0.64947760876922334</v>
      </c>
      <c r="N12" s="3">
        <f t="shared" si="15"/>
        <v>2.6272939577833233E-3</v>
      </c>
      <c r="O12" s="3">
        <f t="shared" si="16"/>
        <v>3.1759747269864596E-3</v>
      </c>
      <c r="P12" s="3">
        <f t="shared" si="17"/>
        <v>0.8625833430067662</v>
      </c>
      <c r="Q12" s="3">
        <f t="shared" si="18"/>
        <v>0.54981878787650185</v>
      </c>
      <c r="R12" s="3">
        <f t="shared" si="19"/>
        <v>0.66464225274258837</v>
      </c>
      <c r="S12" s="3">
        <f t="shared" si="20"/>
        <v>2.6886386091542289E-3</v>
      </c>
      <c r="T12" s="3">
        <f t="shared" si="21"/>
        <v>3.250130518276054E-3</v>
      </c>
      <c r="U12" s="3">
        <f t="shared" si="22"/>
        <v>0.88103848230280279</v>
      </c>
      <c r="V12" s="3">
        <f t="shared" si="23"/>
        <v>0.56158226835650826</v>
      </c>
      <c r="W12" s="3">
        <f t="shared" si="24"/>
        <v>0.67886240370636586</v>
      </c>
      <c r="X12" s="3">
        <f t="shared" si="25"/>
        <v>2.7461625579423918E-3</v>
      </c>
      <c r="Y12" s="3">
        <f t="shared" si="26"/>
        <v>3.3196676962558673E-3</v>
      </c>
      <c r="Z12" s="3">
        <f t="shared" si="27"/>
        <v>0.89824161770609967</v>
      </c>
      <c r="AA12" s="3">
        <f t="shared" si="28"/>
        <v>0.57254770970406033</v>
      </c>
      <c r="AB12" s="3">
        <f t="shared" si="29"/>
        <v>0.69211785404792592</v>
      </c>
      <c r="AC12" s="3">
        <f t="shared" si="30"/>
        <v>2.7997840594689394E-3</v>
      </c>
      <c r="AD12" s="3">
        <f t="shared" si="31"/>
        <v>3.3844874447909973E-3</v>
      </c>
      <c r="AE12" s="3">
        <f t="shared" si="7"/>
        <v>0.914168302619913</v>
      </c>
      <c r="AF12" s="3">
        <f t="shared" si="32"/>
        <v>0.58269952942698666</v>
      </c>
      <c r="AG12" s="3">
        <f t="shared" si="33"/>
        <v>0.70438976704701017</v>
      </c>
      <c r="AH12" s="3">
        <f t="shared" si="34"/>
        <v>2.8494269146460962E-3</v>
      </c>
      <c r="AI12" s="3">
        <f t="shared" si="35"/>
        <v>3.4444976514719132E-3</v>
      </c>
      <c r="AJ12" s="3">
        <f t="shared" si="8"/>
        <v>0.92879590435349169</v>
      </c>
      <c r="AK12" s="3">
        <f t="shared" si="36"/>
        <v>0.59202330123396596</v>
      </c>
      <c r="AL12" s="3">
        <f t="shared" si="37"/>
        <v>0.71566070364374301</v>
      </c>
      <c r="AM12" s="3">
        <f t="shared" si="38"/>
        <v>2.8950205782602599E-3</v>
      </c>
      <c r="AN12" s="3">
        <f t="shared" si="39"/>
        <v>3.4996130385112375E-3</v>
      </c>
      <c r="AO12" s="3">
        <f t="shared" si="9"/>
        <v>0.94210363628436666</v>
      </c>
      <c r="AP12" s="3">
        <f t="shared" si="40"/>
        <v>0.60050577553507434</v>
      </c>
      <c r="AQ12" s="3">
        <f t="shared" si="41"/>
        <v>0.72591464722048771</v>
      </c>
      <c r="AR12" s="3"/>
      <c r="AS12" s="2"/>
      <c r="AT12" s="2"/>
    </row>
    <row r="13" spans="1:46">
      <c r="A13">
        <f t="shared" si="42"/>
        <v>10</v>
      </c>
      <c r="B13" s="1">
        <f t="shared" si="0"/>
        <v>1.23333</v>
      </c>
      <c r="C13" s="1">
        <f t="shared" si="1"/>
        <v>7.7492409349037992</v>
      </c>
      <c r="D13" s="1">
        <f t="shared" si="2"/>
        <v>0.99451970591113514</v>
      </c>
      <c r="E13" s="1">
        <f t="shared" si="3"/>
        <v>0.10454929246259533</v>
      </c>
      <c r="F13" s="2">
        <f t="shared" si="4"/>
        <v>32587.427203590167</v>
      </c>
      <c r="G13" s="2">
        <f t="shared" si="5"/>
        <v>3425.7666661218609</v>
      </c>
      <c r="H13" s="2">
        <f t="shared" si="6"/>
        <v>8147.1054308240191</v>
      </c>
      <c r="I13" s="3">
        <f t="shared" si="10"/>
        <v>7.7683847289006208E-2</v>
      </c>
      <c r="J13" s="3">
        <f t="shared" si="11"/>
        <v>6.0347801296216372E-3</v>
      </c>
      <c r="K13" s="3">
        <f t="shared" si="12"/>
        <v>0.98278125303889508</v>
      </c>
      <c r="L13" s="3">
        <f t="shared" si="13"/>
        <v>0.97739532274721885</v>
      </c>
      <c r="M13" s="3">
        <f t="shared" si="14"/>
        <v>0.10274908465071934</v>
      </c>
      <c r="N13" s="3">
        <f t="shared" si="15"/>
        <v>5.8983658725000427E-3</v>
      </c>
      <c r="O13" s="3">
        <f t="shared" si="16"/>
        <v>6.2006813438697257E-4</v>
      </c>
      <c r="P13" s="3">
        <f t="shared" si="17"/>
        <v>0.97418170272701532</v>
      </c>
      <c r="Q13" s="3">
        <f t="shared" si="18"/>
        <v>0.96884290050008015</v>
      </c>
      <c r="R13" s="3">
        <f t="shared" si="19"/>
        <v>0.10185000775011582</v>
      </c>
      <c r="S13" s="3">
        <f t="shared" si="20"/>
        <v>5.8467538846628765E-3</v>
      </c>
      <c r="T13" s="3">
        <f t="shared" si="21"/>
        <v>6.1464240297220865E-4</v>
      </c>
      <c r="U13" s="3">
        <f t="shared" si="22"/>
        <v>0.96387310667938586</v>
      </c>
      <c r="V13" s="3">
        <f t="shared" si="23"/>
        <v>0.95859079859043506</v>
      </c>
      <c r="W13" s="3">
        <f t="shared" si="24"/>
        <v>0.10077225132705346</v>
      </c>
      <c r="X13" s="3">
        <f t="shared" si="25"/>
        <v>5.7848847037716943E-3</v>
      </c>
      <c r="Y13" s="3">
        <f t="shared" si="26"/>
        <v>6.0813837992573989E-4</v>
      </c>
      <c r="Z13" s="3">
        <f t="shared" si="27"/>
        <v>0.9518735496763584</v>
      </c>
      <c r="AA13" s="3">
        <f t="shared" si="28"/>
        <v>0.94665700268872022</v>
      </c>
      <c r="AB13" s="3">
        <f t="shared" si="29"/>
        <v>9.9517706132522352E-2</v>
      </c>
      <c r="AC13" s="3">
        <f t="shared" si="30"/>
        <v>5.7128668693930658E-3</v>
      </c>
      <c r="AD13" s="3">
        <f t="shared" si="31"/>
        <v>6.0056747551407125E-4</v>
      </c>
      <c r="AE13" s="3">
        <f t="shared" si="7"/>
        <v>0.93820408301839253</v>
      </c>
      <c r="AF13" s="3">
        <f t="shared" si="32"/>
        <v>0.93306244872807798</v>
      </c>
      <c r="AG13" s="3">
        <f t="shared" si="33"/>
        <v>9.8088573065090987E-2</v>
      </c>
      <c r="AH13" s="3">
        <f t="shared" si="34"/>
        <v>5.6308267252803126E-3</v>
      </c>
      <c r="AI13" s="3">
        <f t="shared" si="35"/>
        <v>5.9194297167615125E-4</v>
      </c>
      <c r="AJ13" s="3">
        <f t="shared" si="8"/>
        <v>0.9228886875949226</v>
      </c>
      <c r="AK13" s="3">
        <f t="shared" si="36"/>
        <v>0.91783098617561587</v>
      </c>
      <c r="AL13" s="3">
        <f t="shared" si="37"/>
        <v>9.6487359309782333E-2</v>
      </c>
      <c r="AM13" s="3">
        <f t="shared" si="38"/>
        <v>5.5389081977236382E-3</v>
      </c>
      <c r="AN13" s="3">
        <f t="shared" si="39"/>
        <v>5.8227999872233769E-4</v>
      </c>
      <c r="AO13" s="3">
        <f t="shared" si="9"/>
        <v>0.90595423181372858</v>
      </c>
      <c r="AP13" s="3">
        <f t="shared" si="40"/>
        <v>0.90098933619233768</v>
      </c>
      <c r="AQ13" s="3">
        <f t="shared" si="41"/>
        <v>9.4716873939619389E-2</v>
      </c>
      <c r="AR13" s="3"/>
      <c r="AS13" s="2"/>
      <c r="AT13" s="2"/>
    </row>
    <row r="14" spans="1:46">
      <c r="A14">
        <f t="shared" si="42"/>
        <v>11</v>
      </c>
      <c r="B14" s="1">
        <f t="shared" si="0"/>
        <v>1.356663</v>
      </c>
      <c r="C14" s="1">
        <f t="shared" si="1"/>
        <v>8.5241650283941794</v>
      </c>
      <c r="D14" s="1">
        <f t="shared" si="2"/>
        <v>0.78370776733541747</v>
      </c>
      <c r="E14" s="1">
        <f t="shared" si="3"/>
        <v>-0.62112972511234332</v>
      </c>
      <c r="F14" s="2">
        <f t="shared" si="4"/>
        <v>25679.752412279624</v>
      </c>
      <c r="G14" s="2">
        <f t="shared" si="5"/>
        <v>-20352.557702756152</v>
      </c>
      <c r="H14" s="2">
        <f t="shared" si="6"/>
        <v>6420.1340300117399</v>
      </c>
      <c r="I14" s="3">
        <f t="shared" si="10"/>
        <v>8.5434140457192692E-2</v>
      </c>
      <c r="J14" s="3">
        <f t="shared" si="11"/>
        <v>7.2989923556593291E-3</v>
      </c>
      <c r="K14" s="3">
        <f t="shared" si="12"/>
        <v>0.58993097658574256</v>
      </c>
      <c r="L14" s="3">
        <f t="shared" si="13"/>
        <v>0.46233348854201473</v>
      </c>
      <c r="M14" s="3">
        <f t="shared" si="14"/>
        <v>-0.36642366532195852</v>
      </c>
      <c r="N14" s="3">
        <f t="shared" si="15"/>
        <v>3.3745685986334758E-3</v>
      </c>
      <c r="O14" s="3">
        <f t="shared" si="16"/>
        <v>-2.674523532117648E-3</v>
      </c>
      <c r="P14" s="3">
        <f t="shared" si="17"/>
        <v>0.55211322610930158</v>
      </c>
      <c r="Q14" s="3">
        <f t="shared" si="18"/>
        <v>0.43269542375047526</v>
      </c>
      <c r="R14" s="3">
        <f t="shared" si="19"/>
        <v>-0.34293393636415953</v>
      </c>
      <c r="S14" s="3">
        <f t="shared" si="20"/>
        <v>3.1582405902834928E-3</v>
      </c>
      <c r="T14" s="3">
        <f t="shared" si="21"/>
        <v>-2.5030721800181634E-3</v>
      </c>
      <c r="U14" s="3">
        <f t="shared" si="22"/>
        <v>0.51312351262861344</v>
      </c>
      <c r="V14" s="3">
        <f t="shared" si="23"/>
        <v>0.40213888244947754</v>
      </c>
      <c r="W14" s="3">
        <f t="shared" si="24"/>
        <v>-0.31871626634769068</v>
      </c>
      <c r="X14" s="3">
        <f t="shared" si="25"/>
        <v>2.9352086289121219E-3</v>
      </c>
      <c r="Y14" s="3">
        <f t="shared" si="26"/>
        <v>-2.3263075916960772E-3</v>
      </c>
      <c r="Z14" s="3">
        <f t="shared" si="27"/>
        <v>0.47304459906183588</v>
      </c>
      <c r="AA14" s="3">
        <f t="shared" si="28"/>
        <v>0.37072872658082912</v>
      </c>
      <c r="AB14" s="3">
        <f t="shared" si="29"/>
        <v>-0.29382206178115677</v>
      </c>
      <c r="AC14" s="3">
        <f t="shared" si="30"/>
        <v>2.7059461413367894E-3</v>
      </c>
      <c r="AD14" s="3">
        <f t="shared" si="31"/>
        <v>-2.1446049828647263E-3</v>
      </c>
      <c r="AE14" s="3">
        <f t="shared" si="7"/>
        <v>0.43196156035687866</v>
      </c>
      <c r="AF14" s="3">
        <f t="shared" si="32"/>
        <v>0.33853163004201253</v>
      </c>
      <c r="AG14" s="3">
        <f t="shared" si="33"/>
        <v>-0.26830416524356693</v>
      </c>
      <c r="AH14" s="3">
        <f t="shared" si="34"/>
        <v>2.4709397798255419E-3</v>
      </c>
      <c r="AI14" s="3">
        <f t="shared" si="35"/>
        <v>-1.9583500511043527E-3</v>
      </c>
      <c r="AJ14" s="3">
        <f t="shared" si="8"/>
        <v>0.38996160290399934</v>
      </c>
      <c r="AK14" s="3">
        <f t="shared" si="36"/>
        <v>0.30561593715843399</v>
      </c>
      <c r="AL14" s="3">
        <f t="shared" si="37"/>
        <v>-0.2422167432161299</v>
      </c>
      <c r="AM14" s="3">
        <f t="shared" si="38"/>
        <v>2.2306883890870718E-3</v>
      </c>
      <c r="AN14" s="3">
        <f t="shared" si="39"/>
        <v>-1.7679381571472309E-3</v>
      </c>
      <c r="AO14" s="3">
        <f t="shared" si="9"/>
        <v>0.34713387942403251</v>
      </c>
      <c r="AP14" s="3">
        <f t="shared" si="40"/>
        <v>0.27205151760989055</v>
      </c>
      <c r="AQ14" s="3">
        <f t="shared" si="41"/>
        <v>-0.21561517110383063</v>
      </c>
      <c r="AR14" s="3"/>
      <c r="AS14" s="2"/>
      <c r="AT14" s="2"/>
    </row>
    <row r="15" spans="1:46">
      <c r="A15">
        <f t="shared" si="42"/>
        <v>12</v>
      </c>
      <c r="B15" s="1">
        <f t="shared" si="0"/>
        <v>1.4799959999999999</v>
      </c>
      <c r="C15" s="1">
        <f t="shared" si="1"/>
        <v>9.2990891218845579</v>
      </c>
      <c r="D15" s="1">
        <f t="shared" si="2"/>
        <v>0.12535816808677661</v>
      </c>
      <c r="E15" s="1">
        <f t="shared" si="3"/>
        <v>-0.99211155103341453</v>
      </c>
      <c r="F15" s="2">
        <f t="shared" si="4"/>
        <v>4107.6110936994091</v>
      </c>
      <c r="G15" s="2">
        <f t="shared" si="5"/>
        <v>-32508.519192711894</v>
      </c>
      <c r="H15" s="2">
        <f t="shared" si="6"/>
        <v>1026.934112966874</v>
      </c>
      <c r="I15" s="3">
        <f t="shared" si="10"/>
        <v>9.3179267484071557E-2</v>
      </c>
      <c r="J15" s="3">
        <f t="shared" si="11"/>
        <v>8.6823758888681553E-3</v>
      </c>
      <c r="K15" s="3">
        <f t="shared" si="12"/>
        <v>-0.12269890448873091</v>
      </c>
      <c r="L15" s="3">
        <f t="shared" si="13"/>
        <v>-1.5381309892961678E-2</v>
      </c>
      <c r="M15" s="3">
        <f t="shared" si="14"/>
        <v>0.12173100044241561</v>
      </c>
      <c r="N15" s="3">
        <f t="shared" si="15"/>
        <v>-1.335463141538597E-4</v>
      </c>
      <c r="O15" s="3">
        <f t="shared" si="16"/>
        <v>1.056914303169028E-3</v>
      </c>
      <c r="P15" s="3">
        <f t="shared" si="17"/>
        <v>-0.17240859966627661</v>
      </c>
      <c r="Q15" s="3">
        <f t="shared" si="18"/>
        <v>-2.1612826216570881E-2</v>
      </c>
      <c r="R15" s="3">
        <f t="shared" si="19"/>
        <v>0.17104856322640871</v>
      </c>
      <c r="S15" s="3">
        <f t="shared" si="20"/>
        <v>-1.8765068123305256E-4</v>
      </c>
      <c r="T15" s="3">
        <f t="shared" si="21"/>
        <v>1.4851079211825114E-3</v>
      </c>
      <c r="U15" s="3">
        <f t="shared" si="22"/>
        <v>-0.22168277575807555</v>
      </c>
      <c r="V15" s="3">
        <f t="shared" si="23"/>
        <v>-2.7789746665424039E-2</v>
      </c>
      <c r="W15" s="3">
        <f t="shared" si="24"/>
        <v>0.21993404249473694</v>
      </c>
      <c r="X15" s="3">
        <f t="shared" si="25"/>
        <v>-2.4128102640563192E-4</v>
      </c>
      <c r="Y15" s="3">
        <f t="shared" si="26"/>
        <v>1.9095500276976084E-3</v>
      </c>
      <c r="Z15" s="3">
        <f t="shared" si="27"/>
        <v>-0.2703969619189126</v>
      </c>
      <c r="AA15" s="3">
        <f t="shared" si="28"/>
        <v>-3.3896467802384776E-2</v>
      </c>
      <c r="AB15" s="3">
        <f t="shared" si="29"/>
        <v>0.26826394928409553</v>
      </c>
      <c r="AC15" s="3">
        <f t="shared" si="30"/>
        <v>-2.9430187476522132E-4</v>
      </c>
      <c r="AD15" s="3">
        <f t="shared" si="31"/>
        <v>2.3291684451167802E-3</v>
      </c>
      <c r="AE15" s="3">
        <f t="shared" si="7"/>
        <v>-0.31842810188674037</v>
      </c>
      <c r="AF15" s="3">
        <f t="shared" si="32"/>
        <v>-3.9917563519871226E-2</v>
      </c>
      <c r="AG15" s="3">
        <f t="shared" si="33"/>
        <v>0.31591619805548016</v>
      </c>
      <c r="AH15" s="3">
        <f t="shared" si="34"/>
        <v>-3.4657929104729295E-4</v>
      </c>
      <c r="AI15" s="3">
        <f t="shared" si="35"/>
        <v>2.7429031808997974E-3</v>
      </c>
      <c r="AJ15" s="3">
        <f t="shared" si="8"/>
        <v>-0.36565486483347526</v>
      </c>
      <c r="AK15" s="3">
        <f t="shared" si="36"/>
        <v>-4.5837824007542369E-2</v>
      </c>
      <c r="AL15" s="3">
        <f t="shared" si="37"/>
        <v>0.36277041509285268</v>
      </c>
      <c r="AM15" s="3">
        <f t="shared" si="38"/>
        <v>-3.9798121796126774E-4</v>
      </c>
      <c r="AN15" s="3">
        <f t="shared" si="39"/>
        <v>3.1497091051968765E-3</v>
      </c>
      <c r="AO15" s="3">
        <f t="shared" si="9"/>
        <v>-0.41195795185719758</v>
      </c>
      <c r="AP15" s="3">
        <f t="shared" si="40"/>
        <v>-5.16422941735988E-2</v>
      </c>
      <c r="AQ15" s="3">
        <f t="shared" si="41"/>
        <v>0.40870824257759303</v>
      </c>
      <c r="AR15" s="3"/>
      <c r="AS15" s="2"/>
      <c r="AT15" s="2"/>
    </row>
    <row r="16" spans="1:46">
      <c r="A16">
        <f t="shared" si="42"/>
        <v>13</v>
      </c>
      <c r="B16" s="1">
        <f t="shared" si="0"/>
        <v>1.603329</v>
      </c>
      <c r="C16" s="1">
        <f t="shared" si="1"/>
        <v>10.074013215374938</v>
      </c>
      <c r="D16" s="1">
        <f t="shared" si="2"/>
        <v>-0.60457742740960707</v>
      </c>
      <c r="E16" s="1">
        <f t="shared" si="3"/>
        <v>-0.79654637923148031</v>
      </c>
      <c r="F16" s="2">
        <f t="shared" si="4"/>
        <v>-19810.188563930595</v>
      </c>
      <c r="G16" s="2">
        <f t="shared" si="5"/>
        <v>-26100.435208277915</v>
      </c>
      <c r="H16" s="2">
        <f t="shared" si="6"/>
        <v>-4952.6982853395011</v>
      </c>
      <c r="I16" s="3">
        <f t="shared" si="10"/>
        <v>0.10091876002735654</v>
      </c>
      <c r="J16" s="3">
        <f t="shared" si="11"/>
        <v>1.0184596125459177E-2</v>
      </c>
      <c r="K16" s="3">
        <f t="shared" si="12"/>
        <v>-0.76881828056826473</v>
      </c>
      <c r="L16" s="3">
        <f t="shared" si="13"/>
        <v>0.464810178211439</v>
      </c>
      <c r="M16" s="3">
        <f t="shared" si="14"/>
        <v>0.6123994176736236</v>
      </c>
      <c r="N16" s="3">
        <f t="shared" si="15"/>
        <v>4.7339039400862114E-3</v>
      </c>
      <c r="O16" s="3">
        <f t="shared" si="16"/>
        <v>6.2370407364722436E-3</v>
      </c>
      <c r="P16" s="3">
        <f t="shared" si="17"/>
        <v>-0.80248320714181898</v>
      </c>
      <c r="Q16" s="3">
        <f t="shared" si="18"/>
        <v>0.48516323291321173</v>
      </c>
      <c r="R16" s="3">
        <f t="shared" si="19"/>
        <v>0.63921509304288193</v>
      </c>
      <c r="S16" s="3">
        <f t="shared" si="20"/>
        <v>4.9411915821431446E-3</v>
      </c>
      <c r="T16" s="3">
        <f t="shared" si="21"/>
        <v>6.5101475599395626E-3</v>
      </c>
      <c r="U16" s="3">
        <f t="shared" si="22"/>
        <v>-0.83376914404119029</v>
      </c>
      <c r="V16" s="3">
        <f t="shared" si="23"/>
        <v>0.50407800415793291</v>
      </c>
      <c r="W16" s="3">
        <f t="shared" si="24"/>
        <v>0.66413579280094071</v>
      </c>
      <c r="X16" s="3">
        <f t="shared" si="25"/>
        <v>5.1338308880760786E-3</v>
      </c>
      <c r="Y16" s="3">
        <f t="shared" si="26"/>
        <v>6.7639548221392187E-3</v>
      </c>
      <c r="Z16" s="3">
        <f t="shared" si="27"/>
        <v>-0.8625833430067662</v>
      </c>
      <c r="AA16" s="3">
        <f t="shared" si="28"/>
        <v>0.52149841844140943</v>
      </c>
      <c r="AB16" s="3">
        <f t="shared" si="29"/>
        <v>0.68708763865742561</v>
      </c>
      <c r="AC16" s="3">
        <f t="shared" si="30"/>
        <v>5.3112507718914657E-3</v>
      </c>
      <c r="AD16" s="3">
        <f t="shared" si="31"/>
        <v>6.9977101025213116E-3</v>
      </c>
      <c r="AE16" s="3">
        <f t="shared" si="7"/>
        <v>-0.88884038333291826</v>
      </c>
      <c r="AF16" s="3">
        <f t="shared" si="32"/>
        <v>0.53737283233318467</v>
      </c>
      <c r="AG16" s="3">
        <f t="shared" si="33"/>
        <v>0.70800258905855706</v>
      </c>
      <c r="AH16" s="3">
        <f t="shared" si="34"/>
        <v>5.4729252661075761E-3</v>
      </c>
      <c r="AI16" s="3">
        <f t="shared" si="35"/>
        <v>7.2107204253408453E-3</v>
      </c>
      <c r="AJ16" s="3">
        <f t="shared" si="8"/>
        <v>-0.91246242510068665</v>
      </c>
      <c r="AK16" s="3">
        <f t="shared" si="36"/>
        <v>0.55165418557530443</v>
      </c>
      <c r="AL16" s="3">
        <f t="shared" si="37"/>
        <v>0.72681864089872772</v>
      </c>
      <c r="AM16" s="3">
        <f t="shared" si="38"/>
        <v>5.6183750810035824E-3</v>
      </c>
      <c r="AN16" s="3">
        <f t="shared" si="39"/>
        <v>7.402354314008687E-3</v>
      </c>
      <c r="AO16" s="3">
        <f t="shared" si="9"/>
        <v>-0.93337943993695593</v>
      </c>
      <c r="AP16" s="3">
        <f t="shared" si="40"/>
        <v>0.56430014059410472</v>
      </c>
      <c r="AQ16" s="3">
        <f t="shared" si="41"/>
        <v>0.7434800133308892</v>
      </c>
      <c r="AR16" s="3"/>
      <c r="AS16" s="2"/>
      <c r="AT16" s="2"/>
    </row>
    <row r="17" spans="1:46">
      <c r="A17">
        <f t="shared" si="42"/>
        <v>14</v>
      </c>
      <c r="B17" s="1">
        <f t="shared" si="0"/>
        <v>1.7266619999999999</v>
      </c>
      <c r="C17" s="1">
        <f t="shared" si="1"/>
        <v>10.848937308865318</v>
      </c>
      <c r="D17" s="1">
        <f t="shared" si="2"/>
        <v>-0.98926804915961042</v>
      </c>
      <c r="E17" s="1">
        <f t="shared" si="3"/>
        <v>-0.14611203547941778</v>
      </c>
      <c r="F17" s="2">
        <f t="shared" si="4"/>
        <v>-32415.346166812953</v>
      </c>
      <c r="G17" s="2">
        <f t="shared" si="5"/>
        <v>-4787.6530665540822</v>
      </c>
      <c r="H17" s="2">
        <f t="shared" si="6"/>
        <v>-8104.0838587155285</v>
      </c>
      <c r="I17" s="3">
        <f t="shared" si="10"/>
        <v>0.10865215008547453</v>
      </c>
      <c r="J17" s="3">
        <f t="shared" si="11"/>
        <v>1.1805289718196483E-2</v>
      </c>
      <c r="K17" s="3">
        <f t="shared" si="12"/>
        <v>-0.99818990895594517</v>
      </c>
      <c r="L17" s="3">
        <f t="shared" si="13"/>
        <v>0.98747738392365703</v>
      </c>
      <c r="M17" s="3">
        <f t="shared" si="14"/>
        <v>0.14584755939256788</v>
      </c>
      <c r="N17" s="3">
        <f t="shared" si="15"/>
        <v>1.165745660738551E-2</v>
      </c>
      <c r="O17" s="3">
        <f t="shared" si="16"/>
        <v>1.7217726933211324E-3</v>
      </c>
      <c r="P17" s="3">
        <f t="shared" si="17"/>
        <v>-0.99294919420199279</v>
      </c>
      <c r="Q17" s="3">
        <f t="shared" si="18"/>
        <v>0.98229291226281257</v>
      </c>
      <c r="R17" s="3">
        <f t="shared" si="19"/>
        <v>0.14508182789250088</v>
      </c>
      <c r="S17" s="3">
        <f t="shared" si="20"/>
        <v>1.1596252417393461E-2</v>
      </c>
      <c r="T17" s="3">
        <f t="shared" si="21"/>
        <v>1.7127330111164922E-3</v>
      </c>
      <c r="U17" s="3">
        <f t="shared" si="22"/>
        <v>-0.98429469691289739</v>
      </c>
      <c r="V17" s="3">
        <f t="shared" si="23"/>
        <v>0.97373129461317198</v>
      </c>
      <c r="W17" s="3">
        <f t="shared" si="24"/>
        <v>0.14381730167754003</v>
      </c>
      <c r="X17" s="3">
        <f t="shared" si="25"/>
        <v>1.1495180040583031E-2</v>
      </c>
      <c r="Y17" s="3">
        <f t="shared" si="26"/>
        <v>1.6978049127926254E-3</v>
      </c>
      <c r="Z17" s="3">
        <f t="shared" si="27"/>
        <v>-0.97225617145259646</v>
      </c>
      <c r="AA17" s="3">
        <f t="shared" si="28"/>
        <v>0.96182196601630177</v>
      </c>
      <c r="AB17" s="3">
        <f t="shared" si="29"/>
        <v>0.14205832821836467</v>
      </c>
      <c r="AC17" s="3">
        <f t="shared" si="30"/>
        <v>1.1354586966147774E-2</v>
      </c>
      <c r="AD17" s="3">
        <f t="shared" si="31"/>
        <v>1.6770397215004418E-3</v>
      </c>
      <c r="AE17" s="3">
        <f t="shared" si="7"/>
        <v>-0.95687500655296598</v>
      </c>
      <c r="AF17" s="3">
        <f t="shared" si="32"/>
        <v>0.94660587102224214</v>
      </c>
      <c r="AG17" s="3">
        <f t="shared" si="33"/>
        <v>0.13981095490683509</v>
      </c>
      <c r="AH17" s="3">
        <f t="shared" si="34"/>
        <v>1.1174956556363301E-2</v>
      </c>
      <c r="AI17" s="3">
        <f t="shared" si="35"/>
        <v>1.6505088284528924E-3</v>
      </c>
      <c r="AJ17" s="3">
        <f t="shared" si="8"/>
        <v>-0.93820408301839253</v>
      </c>
      <c r="AK17" s="3">
        <f t="shared" si="36"/>
        <v>0.92813532292118639</v>
      </c>
      <c r="AL17" s="3">
        <f t="shared" si="37"/>
        <v>0.13708290826491801</v>
      </c>
      <c r="AM17" s="3">
        <f t="shared" si="38"/>
        <v>1.0956906384776453E-2</v>
      </c>
      <c r="AN17" s="3">
        <f t="shared" si="39"/>
        <v>1.618303447480308E-3</v>
      </c>
      <c r="AO17" s="3">
        <f t="shared" si="9"/>
        <v>-0.9163075919203324</v>
      </c>
      <c r="AP17" s="3">
        <f t="shared" si="40"/>
        <v>0.90647382388916764</v>
      </c>
      <c r="AQ17" s="3">
        <f t="shared" si="41"/>
        <v>0.13388356738072349</v>
      </c>
      <c r="AR17" s="3"/>
      <c r="AS17" s="2"/>
      <c r="AT17" s="2"/>
    </row>
    <row r="18" spans="1:46">
      <c r="A18">
        <f t="shared" si="42"/>
        <v>15</v>
      </c>
      <c r="B18" s="1">
        <f t="shared" si="0"/>
        <v>1.8499950000000001</v>
      </c>
      <c r="C18" s="1">
        <f t="shared" si="1"/>
        <v>11.623861402355699</v>
      </c>
      <c r="D18" s="1">
        <f t="shared" si="2"/>
        <v>-0.80903545979401559</v>
      </c>
      <c r="E18" s="1">
        <f t="shared" si="3"/>
        <v>0.58775983598395509</v>
      </c>
      <c r="F18" s="2">
        <f t="shared" si="4"/>
        <v>-26509.664911070508</v>
      </c>
      <c r="G18" s="2">
        <f t="shared" si="5"/>
        <v>19259.126545686257</v>
      </c>
      <c r="H18" s="2">
        <f t="shared" si="6"/>
        <v>-6627.6184866325757</v>
      </c>
      <c r="I18" s="3">
        <f t="shared" si="10"/>
        <v>0.11637897002586542</v>
      </c>
      <c r="J18" s="3">
        <f t="shared" si="11"/>
        <v>1.3544064664281283E-2</v>
      </c>
      <c r="K18" s="3">
        <f t="shared" si="12"/>
        <v>-0.68647997510677305</v>
      </c>
      <c r="L18" s="3">
        <f t="shared" si="13"/>
        <v>0.55538664229989254</v>
      </c>
      <c r="M18" s="3">
        <f t="shared" si="14"/>
        <v>-0.40348535757502652</v>
      </c>
      <c r="N18" s="3">
        <f t="shared" si="15"/>
        <v>7.5221925969878017E-3</v>
      </c>
      <c r="O18" s="3">
        <f t="shared" si="16"/>
        <v>-5.4648317740868145E-3</v>
      </c>
      <c r="P18" s="3">
        <f t="shared" si="17"/>
        <v>-0.63946731852695726</v>
      </c>
      <c r="Q18" s="3">
        <f t="shared" si="18"/>
        <v>0.51735173606770313</v>
      </c>
      <c r="R18" s="3">
        <f t="shared" si="19"/>
        <v>-0.37585320625450397</v>
      </c>
      <c r="S18" s="3">
        <f t="shared" si="20"/>
        <v>7.0070453674791538E-3</v>
      </c>
      <c r="T18" s="3">
        <f t="shared" si="21"/>
        <v>-5.0905801297884516E-3</v>
      </c>
      <c r="U18" s="3">
        <f t="shared" si="22"/>
        <v>-0.58993097658574267</v>
      </c>
      <c r="V18" s="3">
        <f t="shared" si="23"/>
        <v>0.47727507888877896</v>
      </c>
      <c r="W18" s="3">
        <f t="shared" si="24"/>
        <v>-0.34673773403989055</v>
      </c>
      <c r="X18" s="3">
        <f t="shared" si="25"/>
        <v>6.464244531119572E-3</v>
      </c>
      <c r="Y18" s="3">
        <f t="shared" si="26"/>
        <v>-4.696238291382643E-3</v>
      </c>
      <c r="Z18" s="3">
        <f t="shared" si="27"/>
        <v>-0.53806644659377223</v>
      </c>
      <c r="AA18" s="3">
        <f t="shared" si="28"/>
        <v>0.43531483501972462</v>
      </c>
      <c r="AB18" s="3">
        <f t="shared" si="29"/>
        <v>-0.31625384639842508</v>
      </c>
      <c r="AC18" s="3">
        <f t="shared" si="30"/>
        <v>5.8959322748280887E-3</v>
      </c>
      <c r="AD18" s="3">
        <f t="shared" si="31"/>
        <v>-4.2833625459479498E-3</v>
      </c>
      <c r="AE18" s="3">
        <f t="shared" si="7"/>
        <v>-0.48407841415627295</v>
      </c>
      <c r="AF18" s="3">
        <f t="shared" si="32"/>
        <v>0.39163660237327819</v>
      </c>
      <c r="AG18" s="3">
        <f t="shared" si="33"/>
        <v>-0.28452184930786406</v>
      </c>
      <c r="AH18" s="3">
        <f t="shared" si="34"/>
        <v>5.3043514674430961E-3</v>
      </c>
      <c r="AI18" s="3">
        <f t="shared" si="35"/>
        <v>-3.8535823254266057E-3</v>
      </c>
      <c r="AJ18" s="3">
        <f t="shared" si="8"/>
        <v>-0.42817994537248977</v>
      </c>
      <c r="AK18" s="3">
        <f t="shared" si="36"/>
        <v>0.34641275897900875</v>
      </c>
      <c r="AL18" s="3">
        <f t="shared" si="37"/>
        <v>-0.25166697446375341</v>
      </c>
      <c r="AM18" s="3">
        <f t="shared" si="38"/>
        <v>4.6918368081437815E-3</v>
      </c>
      <c r="AN18" s="3">
        <f t="shared" si="39"/>
        <v>-3.4085937760011029E-3</v>
      </c>
      <c r="AO18" s="3">
        <f t="shared" si="9"/>
        <v>-0.37059164596112942</v>
      </c>
      <c r="AP18" s="3">
        <f t="shared" si="40"/>
        <v>0.29982178268598336</v>
      </c>
      <c r="AQ18" s="3">
        <f t="shared" si="41"/>
        <v>-0.21781888504713739</v>
      </c>
      <c r="AR18" s="3"/>
      <c r="AS18" s="2"/>
      <c r="AT18" s="2"/>
    </row>
    <row r="19" spans="1:46">
      <c r="A19">
        <f t="shared" si="42"/>
        <v>16</v>
      </c>
      <c r="B19" s="1">
        <f t="shared" si="0"/>
        <v>1.973328</v>
      </c>
      <c r="C19" s="1">
        <f t="shared" si="1"/>
        <v>12.398785495846079</v>
      </c>
      <c r="D19" s="1">
        <f t="shared" si="2"/>
        <v>-0.1668017876667966</v>
      </c>
      <c r="E19" s="1">
        <f t="shared" si="3"/>
        <v>0.98599044804255631</v>
      </c>
      <c r="F19" s="2">
        <f t="shared" si="4"/>
        <v>-5465.5941764779245</v>
      </c>
      <c r="G19" s="2">
        <f t="shared" si="5"/>
        <v>32307.949011010442</v>
      </c>
      <c r="H19" s="2">
        <f t="shared" si="6"/>
        <v>-1366.4402445663977</v>
      </c>
      <c r="I19" s="3">
        <f t="shared" si="10"/>
        <v>0.12409875261325934</v>
      </c>
      <c r="J19" s="3">
        <f t="shared" si="11"/>
        <v>1.5400500400166942E-2</v>
      </c>
      <c r="K19" s="3">
        <f t="shared" si="12"/>
        <v>-2.6548214557938848E-3</v>
      </c>
      <c r="L19" s="3">
        <f t="shared" si="13"/>
        <v>4.428289647625874E-4</v>
      </c>
      <c r="M19" s="3">
        <f t="shared" si="14"/>
        <v>-2.6176285966712041E-3</v>
      </c>
      <c r="N19" s="3">
        <f t="shared" si="15"/>
        <v>6.8197876490317399E-6</v>
      </c>
      <c r="O19" s="3">
        <f t="shared" si="16"/>
        <v>-4.0312790250523307E-5</v>
      </c>
      <c r="P19" s="3">
        <f t="shared" si="17"/>
        <v>6.4321383753947414E-2</v>
      </c>
      <c r="Q19" s="3">
        <f t="shared" si="18"/>
        <v>-1.0728921795360476E-2</v>
      </c>
      <c r="R19" s="3">
        <f t="shared" si="19"/>
        <v>6.3420269986271816E-2</v>
      </c>
      <c r="S19" s="3">
        <f t="shared" si="20"/>
        <v>-1.6523076440280886E-4</v>
      </c>
      <c r="T19" s="3">
        <f t="shared" si="21"/>
        <v>9.7670389330227459E-4</v>
      </c>
      <c r="U19" s="3">
        <f t="shared" si="22"/>
        <v>0.13100878044817488</v>
      </c>
      <c r="V19" s="3">
        <f t="shared" si="23"/>
        <v>-2.1852498778802441E-2</v>
      </c>
      <c r="W19" s="3">
        <f t="shared" si="24"/>
        <v>0.12917340613160483</v>
      </c>
      <c r="X19" s="3">
        <f t="shared" si="25"/>
        <v>-3.365394161875946E-4</v>
      </c>
      <c r="Y19" s="3">
        <f t="shared" si="26"/>
        <v>1.9893350928207073E-3</v>
      </c>
      <c r="Z19" s="3">
        <f t="shared" si="27"/>
        <v>0.19710793651087272</v>
      </c>
      <c r="AA19" s="3">
        <f t="shared" si="28"/>
        <v>-3.2877956173327012E-2</v>
      </c>
      <c r="AB19" s="3">
        <f t="shared" si="29"/>
        <v>0.19434654263309914</v>
      </c>
      <c r="AC19" s="3">
        <f t="shared" si="30"/>
        <v>-5.0633697720399386E-4</v>
      </c>
      <c r="AD19" s="3">
        <f t="shared" si="31"/>
        <v>2.9930340075921048E-3</v>
      </c>
      <c r="AE19" s="3">
        <f t="shared" si="7"/>
        <v>0.26232206107678074</v>
      </c>
      <c r="AF19" s="3">
        <f t="shared" si="32"/>
        <v>-4.3755788732045629E-2</v>
      </c>
      <c r="AG19" s="3">
        <f t="shared" si="33"/>
        <v>0.25864704653254189</v>
      </c>
      <c r="AH19" s="3">
        <f t="shared" si="34"/>
        <v>-6.7386104187748888E-4</v>
      </c>
      <c r="AI19" s="3">
        <f t="shared" si="35"/>
        <v>3.9832939436264085E-3</v>
      </c>
      <c r="AJ19" s="3">
        <f t="shared" si="8"/>
        <v>0.32635833714777213</v>
      </c>
      <c r="AK19" s="3">
        <f t="shared" si="36"/>
        <v>-5.4437154056211502E-2</v>
      </c>
      <c r="AL19" s="3">
        <f t="shared" si="37"/>
        <v>0.32178620306675548</v>
      </c>
      <c r="AM19" s="3">
        <f t="shared" si="38"/>
        <v>-8.3835941282663475E-4</v>
      </c>
      <c r="AN19" s="3">
        <f t="shared" si="39"/>
        <v>4.9556685490977689E-3</v>
      </c>
      <c r="AO19" s="3">
        <f t="shared" si="9"/>
        <v>0.3889292363662179</v>
      </c>
      <c r="AP19" s="3">
        <f t="shared" si="40"/>
        <v>-6.4874091901767225E-2</v>
      </c>
      <c r="AQ19" s="3">
        <f t="shared" si="41"/>
        <v>0.38348051202157646</v>
      </c>
      <c r="AR19" s="3"/>
      <c r="AS19" s="2"/>
      <c r="AT19" s="2"/>
    </row>
    <row r="20" spans="1:46">
      <c r="A20">
        <f t="shared" si="42"/>
        <v>17</v>
      </c>
      <c r="B20" s="1">
        <f t="shared" si="0"/>
        <v>2.0966610000000001</v>
      </c>
      <c r="C20" s="1">
        <f t="shared" si="1"/>
        <v>13.173709589336459</v>
      </c>
      <c r="D20" s="1">
        <f t="shared" si="2"/>
        <v>0.57068433053769951</v>
      </c>
      <c r="E20" s="1">
        <f t="shared" si="3"/>
        <v>0.82116952870813331</v>
      </c>
      <c r="F20" s="2">
        <f t="shared" si="4"/>
        <v>18699.6134587288</v>
      </c>
      <c r="G20" s="2">
        <f t="shared" si="5"/>
        <v>26907.261947179406</v>
      </c>
      <c r="H20" s="2">
        <f t="shared" si="6"/>
        <v>4675.0460357648344</v>
      </c>
      <c r="I20" s="3">
        <f t="shared" si="10"/>
        <v>0.13181103103793015</v>
      </c>
      <c r="J20" s="3">
        <f t="shared" si="11"/>
        <v>1.7374147903282188E-2</v>
      </c>
      <c r="K20" s="3">
        <f t="shared" si="12"/>
        <v>0.68260941200141634</v>
      </c>
      <c r="L20" s="3">
        <f t="shared" si="13"/>
        <v>0.38955449530676101</v>
      </c>
      <c r="M20" s="3">
        <f t="shared" si="14"/>
        <v>0.5605380491449391</v>
      </c>
      <c r="N20" s="3">
        <f t="shared" si="15"/>
        <v>6.7681774178481131E-3</v>
      </c>
      <c r="O20" s="3">
        <f t="shared" si="16"/>
        <v>9.7388709712614308E-3</v>
      </c>
      <c r="P20" s="3">
        <f t="shared" si="17"/>
        <v>0.73287416517865001</v>
      </c>
      <c r="Q20" s="3">
        <f t="shared" si="18"/>
        <v>0.41823980232335328</v>
      </c>
      <c r="R20" s="3">
        <f t="shared" si="19"/>
        <v>0.6018139328221187</v>
      </c>
      <c r="S20" s="3">
        <f t="shared" si="20"/>
        <v>7.2665601846054455E-3</v>
      </c>
      <c r="T20" s="3">
        <f t="shared" si="21"/>
        <v>1.0456004279107421E-2</v>
      </c>
      <c r="U20" s="3">
        <f t="shared" si="22"/>
        <v>0.77942424228375118</v>
      </c>
      <c r="V20" s="3">
        <f t="shared" si="23"/>
        <v>0.44480520191255624</v>
      </c>
      <c r="W20" s="3">
        <f t="shared" si="24"/>
        <v>0.64003943769984184</v>
      </c>
      <c r="X20" s="3">
        <f t="shared" si="25"/>
        <v>7.7281113661780499E-3</v>
      </c>
      <c r="Y20" s="3">
        <f t="shared" si="26"/>
        <v>1.1120139854530618E-2</v>
      </c>
      <c r="Z20" s="3">
        <f t="shared" si="27"/>
        <v>0.82202369768540207</v>
      </c>
      <c r="AA20" s="3">
        <f t="shared" si="28"/>
        <v>0.46911604359971798</v>
      </c>
      <c r="AB20" s="3">
        <f t="shared" si="29"/>
        <v>0.6750208124152387</v>
      </c>
      <c r="AC20" s="3">
        <f t="shared" si="30"/>
        <v>8.1504915253040756E-3</v>
      </c>
      <c r="AD20" s="3">
        <f t="shared" si="31"/>
        <v>1.1727911432696058E-2</v>
      </c>
      <c r="AE20" s="3">
        <f t="shared" si="7"/>
        <v>0.86045661003559759</v>
      </c>
      <c r="AF20" s="3">
        <f t="shared" si="32"/>
        <v>0.49104910445490341</v>
      </c>
      <c r="AG20" s="3">
        <f t="shared" si="33"/>
        <v>0.70658074893672973</v>
      </c>
      <c r="AH20" s="3">
        <f t="shared" si="34"/>
        <v>8.531559768573756E-3</v>
      </c>
      <c r="AI20" s="3">
        <f t="shared" si="35"/>
        <v>1.2276238437638641E-2</v>
      </c>
      <c r="AJ20" s="3">
        <f t="shared" si="8"/>
        <v>0.89452817669743911</v>
      </c>
      <c r="AK20" s="3">
        <f t="shared" si="36"/>
        <v>0.51049321366568701</v>
      </c>
      <c r="AL20" s="3">
        <f t="shared" si="37"/>
        <v>0.73455928127478187</v>
      </c>
      <c r="AM20" s="3">
        <f t="shared" si="38"/>
        <v>8.8693845978494827E-3</v>
      </c>
      <c r="AN20" s="3">
        <f t="shared" si="39"/>
        <v>1.2762341596596722E-2</v>
      </c>
      <c r="AO20" s="3">
        <f t="shared" si="9"/>
        <v>0.92406570112978614</v>
      </c>
      <c r="AP20" s="3">
        <f t="shared" si="40"/>
        <v>0.52734981602210196</v>
      </c>
      <c r="AQ20" s="3">
        <f t="shared" si="41"/>
        <v>0.75881459629209724</v>
      </c>
      <c r="AR20" s="3"/>
      <c r="AS20" s="2"/>
      <c r="AT20" s="2"/>
    </row>
    <row r="21" spans="1:46">
      <c r="A21">
        <f t="shared" si="42"/>
        <v>18</v>
      </c>
      <c r="B21" s="1">
        <f t="shared" si="0"/>
        <v>2.2199939999999998</v>
      </c>
      <c r="C21" s="1">
        <f t="shared" si="1"/>
        <v>13.948633682826838</v>
      </c>
      <c r="D21" s="1">
        <f t="shared" si="2"/>
        <v>0.98228018592152966</v>
      </c>
      <c r="E21" s="1">
        <f t="shared" si="3"/>
        <v>0.18741834580948888</v>
      </c>
      <c r="F21" s="2">
        <f t="shared" si="4"/>
        <v>32186.374852090761</v>
      </c>
      <c r="G21" s="2">
        <f t="shared" si="5"/>
        <v>6141.1369371395222</v>
      </c>
      <c r="H21" s="2">
        <f t="shared" si="6"/>
        <v>8046.839283069171</v>
      </c>
      <c r="I21" s="3">
        <f t="shared" si="10"/>
        <v>0.13951533894392301</v>
      </c>
      <c r="J21" s="3">
        <f t="shared" si="11"/>
        <v>1.9464529800637721E-2</v>
      </c>
      <c r="K21" s="3">
        <f t="shared" si="12"/>
        <v>0.99785651371901152</v>
      </c>
      <c r="L21" s="3">
        <f t="shared" si="13"/>
        <v>0.98017468181892009</v>
      </c>
      <c r="M21" s="3">
        <f t="shared" si="14"/>
        <v>0.18701661715644069</v>
      </c>
      <c r="N21" s="3">
        <f t="shared" si="15"/>
        <v>1.9078639304094966E-2</v>
      </c>
      <c r="O21" s="3">
        <f t="shared" si="16"/>
        <v>3.6401905178559952E-3</v>
      </c>
      <c r="P21" s="3">
        <f t="shared" si="17"/>
        <v>0.99995088102966601</v>
      </c>
      <c r="Q21" s="3">
        <f t="shared" si="18"/>
        <v>0.98223193733021774</v>
      </c>
      <c r="R21" s="3">
        <f t="shared" si="19"/>
        <v>0.18740914001332101</v>
      </c>
      <c r="S21" s="3">
        <f t="shared" si="20"/>
        <v>1.9118682815302147E-2</v>
      </c>
      <c r="T21" s="3">
        <f t="shared" si="21"/>
        <v>3.6478307907011742E-3</v>
      </c>
      <c r="U21" s="3">
        <f t="shared" si="22"/>
        <v>0.99636332796533611</v>
      </c>
      <c r="V21" s="3">
        <f t="shared" si="23"/>
        <v>0.9787079550391844</v>
      </c>
      <c r="W21" s="3">
        <f t="shared" si="24"/>
        <v>0.18673676675250053</v>
      </c>
      <c r="X21" s="3">
        <f t="shared" si="25"/>
        <v>1.9050090156981409E-2</v>
      </c>
      <c r="Y21" s="3">
        <f t="shared" si="26"/>
        <v>3.6347433613287822E-3</v>
      </c>
      <c r="Z21" s="3">
        <f t="shared" si="27"/>
        <v>0.98711423971817369</v>
      </c>
      <c r="AA21" s="3">
        <f t="shared" si="28"/>
        <v>0.96962275891615701</v>
      </c>
      <c r="AB21" s="3">
        <f t="shared" si="29"/>
        <v>0.18500331793297137</v>
      </c>
      <c r="AC21" s="3">
        <f t="shared" si="30"/>
        <v>1.8873251086300103E-2</v>
      </c>
      <c r="AD21" s="3">
        <f t="shared" si="31"/>
        <v>3.6010025951231763E-3</v>
      </c>
      <c r="AE21" s="3">
        <f t="shared" si="7"/>
        <v>0.97225617145259646</v>
      </c>
      <c r="AF21" s="3">
        <f t="shared" si="32"/>
        <v>0.95502797285781105</v>
      </c>
      <c r="AG21" s="3">
        <f t="shared" si="33"/>
        <v>0.18221864335671242</v>
      </c>
      <c r="AH21" s="3">
        <f t="shared" si="34"/>
        <v>1.8589170438133497E-2</v>
      </c>
      <c r="AI21" s="3">
        <f t="shared" si="35"/>
        <v>3.5468002138485059E-3</v>
      </c>
      <c r="AJ21" s="3">
        <f t="shared" si="8"/>
        <v>0.95187354967635796</v>
      </c>
      <c r="AK21" s="3">
        <f t="shared" si="36"/>
        <v>0.93500652734987932</v>
      </c>
      <c r="AL21" s="3">
        <f t="shared" si="37"/>
        <v>0.17839856610014934</v>
      </c>
      <c r="AM21" s="3">
        <f t="shared" si="38"/>
        <v>1.8199462415392512E-2</v>
      </c>
      <c r="AN21" s="3">
        <f t="shared" si="39"/>
        <v>3.4724442062473953E-3</v>
      </c>
      <c r="AO21" s="3">
        <f t="shared" si="9"/>
        <v>0.9260821925122914</v>
      </c>
      <c r="AP21" s="3">
        <f t="shared" si="40"/>
        <v>0.90967218823959139</v>
      </c>
      <c r="AQ21" s="3">
        <f t="shared" si="41"/>
        <v>0.17356479260427829</v>
      </c>
      <c r="AR21" s="3"/>
      <c r="AS21" s="2"/>
      <c r="AT21" s="2"/>
    </row>
    <row r="22" spans="1:46">
      <c r="A22">
        <f t="shared" si="42"/>
        <v>19</v>
      </c>
      <c r="B22" s="1">
        <f t="shared" si="0"/>
        <v>2.3433269999999999</v>
      </c>
      <c r="C22" s="1">
        <f t="shared" si="1"/>
        <v>14.723557776317218</v>
      </c>
      <c r="D22" s="1">
        <f t="shared" si="2"/>
        <v>0.83294326144107744</v>
      </c>
      <c r="E22" s="1">
        <f t="shared" si="3"/>
        <v>-0.55335840394802083</v>
      </c>
      <c r="F22" s="2">
        <f t="shared" si="4"/>
        <v>27293.051847639785</v>
      </c>
      <c r="G22" s="2">
        <f t="shared" si="5"/>
        <v>-18131.894822164799</v>
      </c>
      <c r="H22" s="2">
        <f t="shared" si="6"/>
        <v>6823.4711977253064</v>
      </c>
      <c r="I22" s="3">
        <f t="shared" si="10"/>
        <v>0.14721121045725474</v>
      </c>
      <c r="J22" s="3">
        <f t="shared" si="11"/>
        <v>2.1671140484290148E-2</v>
      </c>
      <c r="K22" s="3">
        <f t="shared" si="12"/>
        <v>0.77220277433710993</v>
      </c>
      <c r="L22" s="3">
        <f t="shared" si="13"/>
        <v>0.6432010973502007</v>
      </c>
      <c r="M22" s="3">
        <f t="shared" si="14"/>
        <v>-0.42730489473141686</v>
      </c>
      <c r="N22" s="3">
        <f t="shared" si="15"/>
        <v>1.3938901340325783E-2</v>
      </c>
      <c r="O22" s="3">
        <f t="shared" si="16"/>
        <v>-9.2601844033493481E-3</v>
      </c>
      <c r="P22" s="3">
        <f t="shared" si="17"/>
        <v>0.71924413751304361</v>
      </c>
      <c r="Q22" s="3">
        <f t="shared" si="18"/>
        <v>0.59908955767248939</v>
      </c>
      <c r="R22" s="3">
        <f t="shared" si="19"/>
        <v>-0.39799978798318864</v>
      </c>
      <c r="S22" s="3">
        <f t="shared" si="20"/>
        <v>1.2982953966991761E-2</v>
      </c>
      <c r="T22" s="3">
        <f t="shared" si="21"/>
        <v>-8.625109318101374E-3</v>
      </c>
      <c r="U22" s="3">
        <f t="shared" si="22"/>
        <v>0.66173214579951289</v>
      </c>
      <c r="V22" s="3">
        <f t="shared" si="23"/>
        <v>0.55118533172264883</v>
      </c>
      <c r="W22" s="3">
        <f t="shared" si="24"/>
        <v>-0.36617504404071749</v>
      </c>
      <c r="X22" s="3">
        <f t="shared" si="25"/>
        <v>1.1944814756641589E-2</v>
      </c>
      <c r="Y22" s="3">
        <f t="shared" si="26"/>
        <v>-7.9354308212475199E-3</v>
      </c>
      <c r="Z22" s="3">
        <f t="shared" si="27"/>
        <v>0.60003089324332859</v>
      </c>
      <c r="AA22" s="3">
        <f t="shared" si="28"/>
        <v>0.49979168918350109</v>
      </c>
      <c r="AB22" s="3">
        <f t="shared" si="29"/>
        <v>-0.33203213740463361</v>
      </c>
      <c r="AC22" s="3">
        <f t="shared" si="30"/>
        <v>1.0831055909176329E-2</v>
      </c>
      <c r="AD22" s="3">
        <f t="shared" si="31"/>
        <v>-7.1955150949949438E-3</v>
      </c>
      <c r="AE22" s="3">
        <f t="shared" si="7"/>
        <v>0.53453099505476154</v>
      </c>
      <c r="AF22" s="3">
        <f t="shared" si="32"/>
        <v>0.44523399036225753</v>
      </c>
      <c r="AG22" s="3">
        <f t="shared" si="33"/>
        <v>-0.29578721828425025</v>
      </c>
      <c r="AH22" s="3">
        <f t="shared" si="34"/>
        <v>9.6487283535215684E-3</v>
      </c>
      <c r="AI22" s="3">
        <f t="shared" si="35"/>
        <v>-6.410046360895383E-3</v>
      </c>
      <c r="AJ22" s="3">
        <f t="shared" si="8"/>
        <v>0.4656471147202737</v>
      </c>
      <c r="AK22" s="3">
        <f t="shared" si="36"/>
        <v>0.38785762641573229</v>
      </c>
      <c r="AL22" s="3">
        <f t="shared" si="37"/>
        <v>-0.25766974420461158</v>
      </c>
      <c r="AM22" s="3">
        <f t="shared" si="38"/>
        <v>8.4053171099586609E-3</v>
      </c>
      <c r="AN22" s="3">
        <f t="shared" si="39"/>
        <v>-5.5839972252092456E-3</v>
      </c>
      <c r="AO22" s="3">
        <f t="shared" si="9"/>
        <v>0.39381533887160153</v>
      </c>
      <c r="AP22" s="3">
        <f t="shared" si="40"/>
        <v>0.32802583276523489</v>
      </c>
      <c r="AQ22" s="3">
        <f t="shared" si="41"/>
        <v>-0.21792102736823837</v>
      </c>
      <c r="AR22" s="3"/>
      <c r="AS22" s="2"/>
      <c r="AT22" s="2"/>
    </row>
    <row r="23" spans="1:46">
      <c r="A23">
        <f t="shared" si="42"/>
        <v>20</v>
      </c>
      <c r="B23" s="1">
        <f t="shared" si="0"/>
        <v>2.4666600000000001</v>
      </c>
      <c r="C23" s="1">
        <f t="shared" si="1"/>
        <v>15.498481869807598</v>
      </c>
      <c r="D23" s="1">
        <f t="shared" si="2"/>
        <v>0.20795266318623512</v>
      </c>
      <c r="E23" s="1">
        <f t="shared" si="3"/>
        <v>-0.97813889089114137</v>
      </c>
      <c r="F23" s="2">
        <f t="shared" si="4"/>
        <v>6813.9849146233664</v>
      </c>
      <c r="G23" s="2">
        <f t="shared" si="5"/>
        <v>-32050.677037830028</v>
      </c>
      <c r="H23" s="2">
        <f t="shared" si="6"/>
        <v>1703.5482168216381</v>
      </c>
      <c r="I23" s="3">
        <f t="shared" si="10"/>
        <v>0.15489818021408466</v>
      </c>
      <c r="J23" s="3">
        <f t="shared" si="11"/>
        <v>2.399344623363505E-2</v>
      </c>
      <c r="K23" s="3">
        <f t="shared" si="12"/>
        <v>0.1279666792800456</v>
      </c>
      <c r="L23" s="3">
        <f t="shared" si="13"/>
        <v>2.6611011755384294E-2</v>
      </c>
      <c r="M23" s="3">
        <f t="shared" si="14"/>
        <v>-0.12516918574200619</v>
      </c>
      <c r="N23" s="3">
        <f t="shared" si="15"/>
        <v>6.3848987977544337E-4</v>
      </c>
      <c r="O23" s="3">
        <f t="shared" si="16"/>
        <v>-3.0032401282087048E-3</v>
      </c>
      <c r="P23" s="3">
        <f t="shared" si="17"/>
        <v>4.4527998883841916E-2</v>
      </c>
      <c r="Q23" s="3">
        <f t="shared" si="18"/>
        <v>9.2597159542486315E-3</v>
      </c>
      <c r="R23" s="3">
        <f t="shared" si="19"/>
        <v>-4.3554567441843113E-2</v>
      </c>
      <c r="S23" s="3">
        <f t="shared" si="20"/>
        <v>2.2217249688699721E-4</v>
      </c>
      <c r="T23" s="3">
        <f t="shared" si="21"/>
        <v>-1.0450241721450943E-3</v>
      </c>
      <c r="U23" s="3">
        <f t="shared" si="22"/>
        <v>-3.9223013431205309E-2</v>
      </c>
      <c r="V23" s="3">
        <f t="shared" si="23"/>
        <v>-8.156530101208613E-3</v>
      </c>
      <c r="W23" s="3">
        <f t="shared" si="24"/>
        <v>3.8365554855007498E-2</v>
      </c>
      <c r="X23" s="3">
        <f t="shared" si="25"/>
        <v>-1.9570326643637473E-4</v>
      </c>
      <c r="Y23" s="3">
        <f t="shared" si="26"/>
        <v>9.2052187763719869E-4</v>
      </c>
      <c r="Z23" s="3">
        <f t="shared" si="27"/>
        <v>-0.12269890448873068</v>
      </c>
      <c r="AA23" s="3">
        <f t="shared" si="28"/>
        <v>-2.5515563958465045E-2</v>
      </c>
      <c r="AB23" s="3">
        <f t="shared" si="29"/>
        <v>0.12001657035016511</v>
      </c>
      <c r="AC23" s="3">
        <f t="shared" si="30"/>
        <v>-6.122063119583074E-4</v>
      </c>
      <c r="AD23" s="3">
        <f t="shared" si="31"/>
        <v>2.8796111278419651E-3</v>
      </c>
      <c r="AE23" s="3">
        <f t="shared" si="7"/>
        <v>-0.20531415089030708</v>
      </c>
      <c r="AF23" s="3">
        <f t="shared" si="32"/>
        <v>-4.2695624467459885E-2</v>
      </c>
      <c r="AG23" s="3">
        <f t="shared" si="33"/>
        <v>0.20082575583610141</v>
      </c>
      <c r="AH23" s="3">
        <f t="shared" si="34"/>
        <v>-1.024415170071472E-3</v>
      </c>
      <c r="AI23" s="3">
        <f t="shared" si="35"/>
        <v>4.81850197498262E-3</v>
      </c>
      <c r="AJ23" s="3">
        <f t="shared" si="8"/>
        <v>-0.28648926604140534</v>
      </c>
      <c r="AK23" s="3">
        <f t="shared" si="36"/>
        <v>-5.9576205847580076E-2</v>
      </c>
      <c r="AL23" s="3">
        <f t="shared" si="37"/>
        <v>0.28022629293795737</v>
      </c>
      <c r="AM23" s="3">
        <f t="shared" si="38"/>
        <v>-1.4294384918078866E-3</v>
      </c>
      <c r="AN23" s="3">
        <f t="shared" si="39"/>
        <v>6.7235944928577453E-3</v>
      </c>
      <c r="AO23" s="3">
        <f t="shared" si="9"/>
        <v>-0.36565486483347504</v>
      </c>
      <c r="AP23" s="3">
        <f t="shared" si="40"/>
        <v>-7.6038902949123965E-2</v>
      </c>
      <c r="AQ23" s="3">
        <f t="shared" si="41"/>
        <v>0.35766124393716547</v>
      </c>
      <c r="AR23" s="3"/>
      <c r="AS23" s="2"/>
      <c r="AT23" s="2"/>
    </row>
    <row r="24" spans="1:46">
      <c r="A24">
        <f t="shared" si="42"/>
        <v>21</v>
      </c>
      <c r="B24" s="1">
        <f t="shared" si="0"/>
        <v>2.5899929999999998</v>
      </c>
      <c r="C24" s="1">
        <f t="shared" si="1"/>
        <v>16.273405963297975</v>
      </c>
      <c r="D24" s="1">
        <f t="shared" si="2"/>
        <v>-0.53578965897903075</v>
      </c>
      <c r="E24" s="1">
        <f t="shared" si="3"/>
        <v>-0.84435149157867539</v>
      </c>
      <c r="F24" s="2">
        <f t="shared" si="4"/>
        <v>-17556.219755765902</v>
      </c>
      <c r="G24" s="2">
        <f t="shared" si="5"/>
        <v>-27666.865324558457</v>
      </c>
      <c r="H24" s="2">
        <f t="shared" si="6"/>
        <v>-4389.1888863562199</v>
      </c>
      <c r="I24" s="3">
        <f t="shared" si="10"/>
        <v>0.16257578338885503</v>
      </c>
      <c r="J24" s="3">
        <f t="shared" si="11"/>
        <v>2.6430885344499912E-2</v>
      </c>
      <c r="K24" s="3">
        <f t="shared" si="12"/>
        <v>-0.58563538523620706</v>
      </c>
      <c r="L24" s="3">
        <f t="shared" si="13"/>
        <v>0.3137773833417607</v>
      </c>
      <c r="M24" s="3">
        <f t="shared" si="14"/>
        <v>0.4944821110454436</v>
      </c>
      <c r="N24" s="3">
        <f t="shared" si="15"/>
        <v>8.2934140428032738E-3</v>
      </c>
      <c r="O24" s="3">
        <f t="shared" si="16"/>
        <v>1.3069599981948394E-2</v>
      </c>
      <c r="P24" s="3">
        <f t="shared" si="17"/>
        <v>-0.65458103916676802</v>
      </c>
      <c r="Q24" s="3">
        <f t="shared" si="18"/>
        <v>0.3507177517493022</v>
      </c>
      <c r="R24" s="3">
        <f t="shared" si="19"/>
        <v>0.55269647677957989</v>
      </c>
      <c r="S24" s="3">
        <f t="shared" si="20"/>
        <v>9.269780684766589E-3</v>
      </c>
      <c r="T24" s="3">
        <f t="shared" si="21"/>
        <v>1.4608257208070134E-2</v>
      </c>
      <c r="U24" s="3">
        <f t="shared" si="22"/>
        <v>-0.71846496080755773</v>
      </c>
      <c r="V24" s="3">
        <f t="shared" si="23"/>
        <v>0.38494609633946403</v>
      </c>
      <c r="W24" s="3">
        <f t="shared" si="24"/>
        <v>0.60663696130487588</v>
      </c>
      <c r="X24" s="3">
        <f t="shared" si="25"/>
        <v>1.0174466136161192E-2</v>
      </c>
      <c r="Y24" s="3">
        <f t="shared" si="26"/>
        <v>1.6033951969985007E-2</v>
      </c>
      <c r="Z24" s="3">
        <f t="shared" si="27"/>
        <v>-0.77679314973751257</v>
      </c>
      <c r="AA24" s="3">
        <f t="shared" si="28"/>
        <v>0.41619773679510902</v>
      </c>
      <c r="AB24" s="3">
        <f t="shared" si="29"/>
        <v>0.65588645462896611</v>
      </c>
      <c r="AC24" s="3">
        <f t="shared" si="30"/>
        <v>1.1000474661871878E-2</v>
      </c>
      <c r="AD24" s="3">
        <f t="shared" si="31"/>
        <v>1.7335659681308745E-2</v>
      </c>
      <c r="AE24" s="3">
        <f t="shared" si="7"/>
        <v>-0.8291145668038824</v>
      </c>
      <c r="AF24" s="3">
        <f t="shared" si="32"/>
        <v>0.44423101100239898</v>
      </c>
      <c r="AG24" s="3">
        <f t="shared" si="33"/>
        <v>0.70006412117046546</v>
      </c>
      <c r="AH24" s="3">
        <f t="shared" si="34"/>
        <v>1.1741418918275685E-2</v>
      </c>
      <c r="AI24" s="3">
        <f t="shared" si="35"/>
        <v>1.8503314520454665E-2</v>
      </c>
      <c r="AJ24" s="3">
        <f t="shared" si="8"/>
        <v>-0.87502462190954822</v>
      </c>
      <c r="AK24" s="3">
        <f t="shared" si="36"/>
        <v>0.46882914377117213</v>
      </c>
      <c r="AL24" s="3">
        <f t="shared" si="37"/>
        <v>0.73882834467739356</v>
      </c>
      <c r="AM24" s="3">
        <f t="shared" si="38"/>
        <v>1.2391569345175917E-2</v>
      </c>
      <c r="AN24" s="3">
        <f t="shared" si="39"/>
        <v>1.9527887267434849E-2</v>
      </c>
      <c r="AO24" s="3">
        <f t="shared" si="9"/>
        <v>-0.91416830261991355</v>
      </c>
      <c r="AP24" s="3">
        <f t="shared" si="40"/>
        <v>0.48980192311016285</v>
      </c>
      <c r="AQ24" s="3">
        <f t="shared" si="41"/>
        <v>0.77187936987106986</v>
      </c>
      <c r="AR24" s="3"/>
      <c r="AS24" s="2"/>
      <c r="AT24" s="2"/>
    </row>
    <row r="25" spans="1:46">
      <c r="A25">
        <f t="shared" si="42"/>
        <v>22</v>
      </c>
      <c r="B25" s="1">
        <f t="shared" si="0"/>
        <v>2.7133259999999999</v>
      </c>
      <c r="C25" s="1">
        <f t="shared" si="1"/>
        <v>17.048330056788359</v>
      </c>
      <c r="D25" s="1">
        <f t="shared" si="2"/>
        <v>-0.97356838018691239</v>
      </c>
      <c r="E25" s="1">
        <f t="shared" si="3"/>
        <v>-0.22839572916372952</v>
      </c>
      <c r="F25" s="2">
        <f t="shared" si="4"/>
        <v>-31900.915113584557</v>
      </c>
      <c r="G25" s="2">
        <f t="shared" si="5"/>
        <v>-7483.8428575079251</v>
      </c>
      <c r="H25" s="2">
        <f t="shared" si="6"/>
        <v>-7975.4721704911863</v>
      </c>
      <c r="I25" s="3">
        <f t="shared" si="10"/>
        <v>0.17024355572239858</v>
      </c>
      <c r="J25" s="3">
        <f t="shared" si="11"/>
        <v>2.8982868265005429E-2</v>
      </c>
      <c r="K25" s="3">
        <f t="shared" si="12"/>
        <v>-0.98178632517014164</v>
      </c>
      <c r="L25" s="3">
        <f t="shared" si="13"/>
        <v>0.95583612228555603</v>
      </c>
      <c r="M25" s="3">
        <f t="shared" si="14"/>
        <v>0.22423580362021295</v>
      </c>
      <c r="N25" s="3">
        <f t="shared" si="15"/>
        <v>2.7702872415135891E-2</v>
      </c>
      <c r="O25" s="3">
        <f t="shared" si="16"/>
        <v>6.4989967566222596E-3</v>
      </c>
      <c r="P25" s="3">
        <f t="shared" si="17"/>
        <v>-0.99510379775732394</v>
      </c>
      <c r="Q25" s="3">
        <f t="shared" si="18"/>
        <v>0.96880159250044273</v>
      </c>
      <c r="R25" s="3">
        <f t="shared" si="19"/>
        <v>0.22727745748238043</v>
      </c>
      <c r="S25" s="3">
        <f t="shared" si="20"/>
        <v>2.8078648930367805E-2</v>
      </c>
      <c r="T25" s="3">
        <f t="shared" si="21"/>
        <v>6.5871526098172052E-3</v>
      </c>
      <c r="U25" s="3">
        <f t="shared" si="22"/>
        <v>-0.99997658255977395</v>
      </c>
      <c r="V25" s="3">
        <f t="shared" si="23"/>
        <v>0.97354558170756333</v>
      </c>
      <c r="W25" s="3">
        <f t="shared" si="24"/>
        <v>0.22839038072039394</v>
      </c>
      <c r="X25" s="3">
        <f t="shared" si="25"/>
        <v>2.821614334460839E-2</v>
      </c>
      <c r="Y25" s="3">
        <f t="shared" si="26"/>
        <v>6.6194083174136139E-3</v>
      </c>
      <c r="Z25" s="3">
        <f t="shared" si="27"/>
        <v>-0.99636332796533589</v>
      </c>
      <c r="AA25" s="3">
        <f t="shared" si="28"/>
        <v>0.97002783128485337</v>
      </c>
      <c r="AB25" s="3">
        <f t="shared" si="29"/>
        <v>0.22756512880264307</v>
      </c>
      <c r="AC25" s="3">
        <f t="shared" si="30"/>
        <v>2.8114188847517818E-2</v>
      </c>
      <c r="AD25" s="3">
        <f t="shared" si="31"/>
        <v>6.5954901497959966E-3</v>
      </c>
      <c r="AE25" s="3">
        <f t="shared" si="7"/>
        <v>-0.98429469691289739</v>
      </c>
      <c r="AF25" s="3">
        <f t="shared" si="32"/>
        <v>0.9582781937000574</v>
      </c>
      <c r="AG25" s="3">
        <f t="shared" si="33"/>
        <v>0.22480870501341335</v>
      </c>
      <c r="AH25" s="3">
        <f t="shared" si="34"/>
        <v>2.777365064923612E-2</v>
      </c>
      <c r="AI25" s="3">
        <f t="shared" si="35"/>
        <v>6.5156010822302246E-3</v>
      </c>
      <c r="AJ25" s="3">
        <f t="shared" si="8"/>
        <v>-0.96387310667938553</v>
      </c>
      <c r="AK25" s="3">
        <f t="shared" si="36"/>
        <v>0.93839637917557639</v>
      </c>
      <c r="AL25" s="3">
        <f t="shared" si="37"/>
        <v>0.2201445010213475</v>
      </c>
      <c r="AM25" s="3">
        <f t="shared" si="38"/>
        <v>2.7197418638003814E-2</v>
      </c>
      <c r="AN25" s="3">
        <f t="shared" si="39"/>
        <v>6.3804190723670681E-3</v>
      </c>
      <c r="AO25" s="3">
        <f t="shared" si="9"/>
        <v>-0.93527185974237081</v>
      </c>
      <c r="AP25" s="3">
        <f t="shared" si="40"/>
        <v>0.91055110952378104</v>
      </c>
      <c r="AQ25" s="3">
        <f t="shared" si="41"/>
        <v>0.21361209837217615</v>
      </c>
      <c r="AR25" s="3"/>
      <c r="AS25" s="2"/>
      <c r="AT25" s="2"/>
    </row>
    <row r="26" spans="1:46">
      <c r="A26">
        <f t="shared" si="42"/>
        <v>23</v>
      </c>
      <c r="B26" s="1">
        <f t="shared" si="0"/>
        <v>2.836659</v>
      </c>
      <c r="C26" s="1">
        <f t="shared" si="1"/>
        <v>17.823254150278739</v>
      </c>
      <c r="D26" s="1">
        <f t="shared" si="2"/>
        <v>-0.8553892130924009</v>
      </c>
      <c r="E26" s="1">
        <f t="shared" si="3"/>
        <v>0.51798580494562119</v>
      </c>
      <c r="F26" s="2">
        <f t="shared" si="4"/>
        <v>-28028.538345398701</v>
      </c>
      <c r="G26" s="2">
        <f t="shared" si="5"/>
        <v>16972.84087065317</v>
      </c>
      <c r="H26" s="2">
        <f t="shared" si="6"/>
        <v>-7007.3484336529482</v>
      </c>
      <c r="I26" s="3">
        <f t="shared" si="10"/>
        <v>0.17790103355001197</v>
      </c>
      <c r="J26" s="3">
        <f t="shared" si="11"/>
        <v>3.1648777738162485E-2</v>
      </c>
      <c r="K26" s="3">
        <f t="shared" si="12"/>
        <v>-0.84574747452457255</v>
      </c>
      <c r="L26" s="3">
        <f t="shared" si="13"/>
        <v>0.72344326670845949</v>
      </c>
      <c r="M26" s="3">
        <f t="shared" si="14"/>
        <v>-0.43808518637233695</v>
      </c>
      <c r="N26" s="3">
        <f t="shared" si="15"/>
        <v>2.2896095154226238E-2</v>
      </c>
      <c r="O26" s="3">
        <f t="shared" si="16"/>
        <v>-1.3864860693879582E-2</v>
      </c>
      <c r="P26" s="3">
        <f t="shared" si="17"/>
        <v>-0.79049837944774715</v>
      </c>
      <c r="Q26" s="3">
        <f t="shared" si="18"/>
        <v>0.6761837867466266</v>
      </c>
      <c r="R26" s="3">
        <f t="shared" si="19"/>
        <v>-0.4094669393864504</v>
      </c>
      <c r="S26" s="3">
        <f t="shared" si="20"/>
        <v>2.1400390376893043E-2</v>
      </c>
      <c r="T26" s="3">
        <f t="shared" si="21"/>
        <v>-1.2959128155767418E-2</v>
      </c>
      <c r="U26" s="3">
        <f t="shared" si="22"/>
        <v>-0.72791769845047749</v>
      </c>
      <c r="V26" s="3">
        <f t="shared" si="23"/>
        <v>0.62265294727358556</v>
      </c>
      <c r="W26" s="3">
        <f t="shared" si="24"/>
        <v>-0.37705103496603454</v>
      </c>
      <c r="X26" s="3">
        <f t="shared" si="25"/>
        <v>1.9706204736273512E-2</v>
      </c>
      <c r="Y26" s="3">
        <f t="shared" si="26"/>
        <v>-1.1933204401584159E-2</v>
      </c>
      <c r="Z26" s="3">
        <f t="shared" si="27"/>
        <v>-0.65858584466404912</v>
      </c>
      <c r="AA26" s="3">
        <f t="shared" si="28"/>
        <v>0.56334722742097521</v>
      </c>
      <c r="AB26" s="3">
        <f t="shared" si="29"/>
        <v>-0.34113811887409934</v>
      </c>
      <c r="AC26" s="3">
        <f t="shared" si="30"/>
        <v>1.782925119005652E-2</v>
      </c>
      <c r="AD26" s="3">
        <f t="shared" si="31"/>
        <v>-1.0796604502261224E-2</v>
      </c>
      <c r="AE26" s="3">
        <f t="shared" si="7"/>
        <v>-0.58314584590012419</v>
      </c>
      <c r="AF26" s="3">
        <f t="shared" si="32"/>
        <v>0.49881666624260973</v>
      </c>
      <c r="AG26" s="3">
        <f t="shared" si="33"/>
        <v>-0.302061270389271</v>
      </c>
      <c r="AH26" s="3">
        <f t="shared" si="34"/>
        <v>1.5786937802003534E-2</v>
      </c>
      <c r="AI26" s="3">
        <f t="shared" si="35"/>
        <v>-9.5598700098570404E-3</v>
      </c>
      <c r="AJ26" s="3">
        <f t="shared" si="8"/>
        <v>-0.50229738080088393</v>
      </c>
      <c r="AK26" s="3">
        <f t="shared" si="36"/>
        <v>0.42965976130164213</v>
      </c>
      <c r="AL26" s="3">
        <f t="shared" si="37"/>
        <v>-0.26018291311622305</v>
      </c>
      <c r="AM26" s="3">
        <f t="shared" si="38"/>
        <v>1.3598206288467618E-2</v>
      </c>
      <c r="AN26" s="3">
        <f t="shared" si="39"/>
        <v>-8.2344711884829846E-3</v>
      </c>
      <c r="AO26" s="3">
        <f t="shared" si="9"/>
        <v>-0.4167902895732406</v>
      </c>
      <c r="AP26" s="3">
        <f t="shared" si="40"/>
        <v>0.35651791782260817</v>
      </c>
      <c r="AQ26" s="3">
        <f t="shared" si="41"/>
        <v>-0.21589145363811357</v>
      </c>
      <c r="AR26" s="3"/>
      <c r="AS26" s="2"/>
      <c r="AT26" s="2"/>
    </row>
    <row r="27" spans="1:46">
      <c r="A27">
        <f t="shared" si="42"/>
        <v>24</v>
      </c>
      <c r="B27" s="1">
        <f t="shared" si="0"/>
        <v>2.9599919999999997</v>
      </c>
      <c r="C27" s="1">
        <f t="shared" si="1"/>
        <v>18.598178243769116</v>
      </c>
      <c r="D27" s="1">
        <f t="shared" si="2"/>
        <v>-0.24873857315055886</v>
      </c>
      <c r="E27" s="1">
        <f t="shared" si="3"/>
        <v>0.96857065938785492</v>
      </c>
      <c r="F27" s="2">
        <f t="shared" si="4"/>
        <v>-8150.4168264243626</v>
      </c>
      <c r="G27" s="2">
        <f t="shared" si="5"/>
        <v>31737.154796161842</v>
      </c>
      <c r="H27" s="2">
        <f t="shared" si="6"/>
        <v>-2037.6663912493782</v>
      </c>
      <c r="I27" s="3">
        <f t="shared" si="10"/>
        <v>0.18554775382949326</v>
      </c>
      <c r="J27" s="3">
        <f t="shared" si="11"/>
        <v>3.4427968951170229E-2</v>
      </c>
      <c r="K27" s="3">
        <f t="shared" si="12"/>
        <v>-0.25126042612846217</v>
      </c>
      <c r="L27" s="3">
        <f t="shared" si="13"/>
        <v>6.2498159884395076E-2</v>
      </c>
      <c r="M27" s="3">
        <f t="shared" si="14"/>
        <v>-0.243363476613318</v>
      </c>
      <c r="N27" s="3">
        <f t="shared" si="15"/>
        <v>2.1516847080052266E-3</v>
      </c>
      <c r="O27" s="3">
        <f t="shared" si="16"/>
        <v>-8.378510216692156E-3</v>
      </c>
      <c r="P27" s="3">
        <f t="shared" si="17"/>
        <v>-0.1528497535833071</v>
      </c>
      <c r="Q27" s="3">
        <f t="shared" si="18"/>
        <v>3.8019629612726327E-2</v>
      </c>
      <c r="R27" s="3">
        <f t="shared" si="19"/>
        <v>-0.14804578661545489</v>
      </c>
      <c r="S27" s="3">
        <f t="shared" si="20"/>
        <v>1.3089386278419342E-3</v>
      </c>
      <c r="T27" s="3">
        <f t="shared" si="21"/>
        <v>-5.0969157449484541E-3</v>
      </c>
      <c r="U27" s="3">
        <f t="shared" si="22"/>
        <v>-5.2895609417639454E-2</v>
      </c>
      <c r="V27" s="3">
        <f t="shared" si="23"/>
        <v>1.3157178412472902E-2</v>
      </c>
      <c r="W27" s="3">
        <f t="shared" si="24"/>
        <v>-5.1233135292365471E-2</v>
      </c>
      <c r="X27" s="3">
        <f t="shared" si="25"/>
        <v>4.5297492986962426E-4</v>
      </c>
      <c r="Y27" s="3">
        <f t="shared" si="26"/>
        <v>-1.7638527911166622E-3</v>
      </c>
      <c r="Z27" s="3">
        <f t="shared" si="27"/>
        <v>4.7592672815455088E-2</v>
      </c>
      <c r="AA27" s="3">
        <f t="shared" si="28"/>
        <v>-1.183813352853769E-2</v>
      </c>
      <c r="AB27" s="3">
        <f t="shared" si="29"/>
        <v>4.6096866490895769E-2</v>
      </c>
      <c r="AC27" s="3">
        <f t="shared" si="30"/>
        <v>-4.0756289356030283E-4</v>
      </c>
      <c r="AD27" s="3">
        <f t="shared" si="31"/>
        <v>1.587021488294799E-3</v>
      </c>
      <c r="AE27" s="3">
        <f t="shared" si="7"/>
        <v>0.14760036585483008</v>
      </c>
      <c r="AF27" s="3">
        <f t="shared" si="32"/>
        <v>-3.6713904399230904E-2</v>
      </c>
      <c r="AG27" s="3">
        <f t="shared" si="33"/>
        <v>0.14296138368190139</v>
      </c>
      <c r="AH27" s="3">
        <f t="shared" si="34"/>
        <v>-1.2639851607329534E-3</v>
      </c>
      <c r="AI27" s="3">
        <f t="shared" si="35"/>
        <v>4.9218700786168353E-3</v>
      </c>
      <c r="AJ27" s="3">
        <f t="shared" si="8"/>
        <v>0.24611759541269521</v>
      </c>
      <c r="AK27" s="3">
        <f t="shared" si="36"/>
        <v>-6.1218939510200333E-2</v>
      </c>
      <c r="AL27" s="3">
        <f t="shared" si="37"/>
        <v>0.23838228167582748</v>
      </c>
      <c r="AM27" s="3">
        <f t="shared" si="38"/>
        <v>-2.1076437486807456E-3</v>
      </c>
      <c r="AN27" s="3">
        <f t="shared" si="39"/>
        <v>8.2070177920445051E-3</v>
      </c>
      <c r="AO27" s="3">
        <f t="shared" si="9"/>
        <v>0.3421495378508731</v>
      </c>
      <c r="AP27" s="3">
        <f t="shared" si="40"/>
        <v>-8.5105787849149309E-2</v>
      </c>
      <c r="AQ27" s="3">
        <f t="shared" si="41"/>
        <v>0.33139600348546999</v>
      </c>
      <c r="AR27" s="3"/>
      <c r="AS27" s="2"/>
      <c r="AT27" s="2"/>
    </row>
    <row r="28" spans="1:46">
      <c r="A28">
        <f t="shared" si="42"/>
        <v>25</v>
      </c>
      <c r="B28" s="1">
        <f t="shared" si="0"/>
        <v>3.0833249999999999</v>
      </c>
      <c r="C28" s="1">
        <f t="shared" si="1"/>
        <v>19.373102337259496</v>
      </c>
      <c r="D28" s="1">
        <f t="shared" si="2"/>
        <v>0.49995465433052366</v>
      </c>
      <c r="E28" s="1">
        <f t="shared" si="3"/>
        <v>0.86605158253607883</v>
      </c>
      <c r="F28" s="2">
        <f t="shared" si="4"/>
        <v>16382.014158448268</v>
      </c>
      <c r="G28" s="2">
        <f t="shared" si="5"/>
        <v>28377.912204959695</v>
      </c>
      <c r="H28" s="2">
        <f t="shared" si="6"/>
        <v>4095.6285282756498</v>
      </c>
      <c r="I28" s="3">
        <f t="shared" si="10"/>
        <v>0.19318325416914175</v>
      </c>
      <c r="J28" s="3">
        <f t="shared" si="11"/>
        <v>3.7319769691379227E-2</v>
      </c>
      <c r="K28" s="3">
        <f t="shared" si="12"/>
        <v>0.47942553860420234</v>
      </c>
      <c r="L28" s="3">
        <f t="shared" si="13"/>
        <v>0.2396910294300891</v>
      </c>
      <c r="M28" s="3">
        <f t="shared" si="14"/>
        <v>0.4152072464163814</v>
      </c>
      <c r="N28" s="3">
        <f t="shared" si="15"/>
        <v>8.9452140154205259E-3</v>
      </c>
      <c r="O28" s="3">
        <f t="shared" si="16"/>
        <v>1.5495438810451095E-2</v>
      </c>
      <c r="P28" s="3">
        <f t="shared" si="17"/>
        <v>0.5685315519254982</v>
      </c>
      <c r="Q28" s="3">
        <f t="shared" si="18"/>
        <v>0.28423999551890861</v>
      </c>
      <c r="R28" s="3">
        <f t="shared" si="19"/>
        <v>0.49237765026677061</v>
      </c>
      <c r="S28" s="3">
        <f t="shared" si="20"/>
        <v>1.0607771169844333E-2</v>
      </c>
      <c r="T28" s="3">
        <f t="shared" si="21"/>
        <v>1.8375420509138346E-2</v>
      </c>
      <c r="U28" s="3">
        <f t="shared" si="22"/>
        <v>0.65140861459101962</v>
      </c>
      <c r="V28" s="3">
        <f t="shared" si="23"/>
        <v>0.32567476873577855</v>
      </c>
      <c r="W28" s="3">
        <f t="shared" si="24"/>
        <v>0.56415346154418722</v>
      </c>
      <c r="X28" s="3">
        <f t="shared" si="25"/>
        <v>1.2154107363512447E-2</v>
      </c>
      <c r="Y28" s="3">
        <f t="shared" si="26"/>
        <v>2.1054077255423433E-2</v>
      </c>
      <c r="Z28" s="3">
        <f t="shared" si="27"/>
        <v>0.72714870815906851</v>
      </c>
      <c r="AA28" s="3">
        <f t="shared" si="28"/>
        <v>0.36354138103455391</v>
      </c>
      <c r="AB28" s="3">
        <f t="shared" si="29"/>
        <v>0.62974828944022665</v>
      </c>
      <c r="AC28" s="3">
        <f t="shared" si="30"/>
        <v>1.3567280613495493E-2</v>
      </c>
      <c r="AD28" s="3">
        <f t="shared" si="31"/>
        <v>2.3502061125449284E-2</v>
      </c>
      <c r="AE28" s="3">
        <f t="shared" si="7"/>
        <v>0.79492200831487891</v>
      </c>
      <c r="AF28" s="3">
        <f t="shared" si="32"/>
        <v>0.39742495788679094</v>
      </c>
      <c r="AG28" s="3">
        <f t="shared" si="33"/>
        <v>0.68844346329385886</v>
      </c>
      <c r="AH28" s="3">
        <f t="shared" si="34"/>
        <v>1.4831807897941125E-2</v>
      </c>
      <c r="AI28" s="3">
        <f t="shared" si="35"/>
        <v>2.56925514956623E-2</v>
      </c>
      <c r="AJ28" s="3">
        <f t="shared" si="8"/>
        <v>0.85398597659946252</v>
      </c>
      <c r="AK28" s="3">
        <f t="shared" si="36"/>
        <v>0.42695426373389894</v>
      </c>
      <c r="AL28" s="3">
        <f t="shared" si="37"/>
        <v>0.73959590649758333</v>
      </c>
      <c r="AM28" s="3">
        <f t="shared" si="38"/>
        <v>1.5933834791301497E-2</v>
      </c>
      <c r="AN28" s="3">
        <f t="shared" si="39"/>
        <v>2.7601548895176655E-2</v>
      </c>
      <c r="AO28" s="3">
        <f t="shared" si="9"/>
        <v>0.90369349581636993</v>
      </c>
      <c r="AP28" s="3">
        <f t="shared" si="40"/>
        <v>0.45180576932161576</v>
      </c>
      <c r="AQ28" s="3">
        <f t="shared" si="41"/>
        <v>0.78264518217932855</v>
      </c>
      <c r="AR28" s="3"/>
      <c r="AS28" s="2"/>
      <c r="AT28" s="2"/>
    </row>
    <row r="29" spans="1:46">
      <c r="A29">
        <f t="shared" si="42"/>
        <v>26</v>
      </c>
      <c r="B29" s="1">
        <f t="shared" si="0"/>
        <v>3.206658</v>
      </c>
      <c r="C29" s="1">
        <f t="shared" si="1"/>
        <v>20.148026430749876</v>
      </c>
      <c r="D29" s="1">
        <f t="shared" si="2"/>
        <v>0.96314792153641138</v>
      </c>
      <c r="E29" s="1">
        <f t="shared" si="3"/>
        <v>0.26897226853356249</v>
      </c>
      <c r="F29" s="2">
        <f t="shared" si="4"/>
        <v>31559.467944983593</v>
      </c>
      <c r="G29" s="2">
        <f t="shared" si="5"/>
        <v>8813.4143230392419</v>
      </c>
      <c r="H29" s="2">
        <f t="shared" si="6"/>
        <v>7890.107773226282</v>
      </c>
      <c r="I29" s="3">
        <f t="shared" si="10"/>
        <v>0.2008070728557185</v>
      </c>
      <c r="J29" s="3">
        <f t="shared" si="11"/>
        <v>4.0323480508881834E-2</v>
      </c>
      <c r="K29" s="3">
        <f t="shared" si="12"/>
        <v>0.95023277978261533</v>
      </c>
      <c r="L29" s="3">
        <f t="shared" si="13"/>
        <v>0.91521472682339244</v>
      </c>
      <c r="M29" s="3">
        <f t="shared" si="14"/>
        <v>0.25558626641308319</v>
      </c>
      <c r="N29" s="3">
        <f t="shared" si="15"/>
        <v>3.6904643198504679E-2</v>
      </c>
      <c r="O29" s="3">
        <f t="shared" si="16"/>
        <v>1.030612783204584E-2</v>
      </c>
      <c r="P29" s="3">
        <f t="shared" si="17"/>
        <v>0.97846537918145426</v>
      </c>
      <c r="Q29" s="3">
        <f t="shared" si="18"/>
        <v>0.94240689625395435</v>
      </c>
      <c r="R29" s="3">
        <f t="shared" si="19"/>
        <v>0.26318005271998818</v>
      </c>
      <c r="S29" s="3">
        <f t="shared" si="20"/>
        <v>3.8001126112532153E-2</v>
      </c>
      <c r="T29" s="3">
        <f t="shared" si="21"/>
        <v>1.0612335726180937E-2</v>
      </c>
      <c r="U29" s="3">
        <f t="shared" si="22"/>
        <v>0.99510379775732394</v>
      </c>
      <c r="V29" s="3">
        <f t="shared" si="23"/>
        <v>0.95843215452295605</v>
      </c>
      <c r="W29" s="3">
        <f t="shared" si="24"/>
        <v>0.26765532590915081</v>
      </c>
      <c r="X29" s="3">
        <f t="shared" si="25"/>
        <v>3.8647320301992041E-2</v>
      </c>
      <c r="Y29" s="3">
        <f t="shared" si="26"/>
        <v>1.0792794317396057E-2</v>
      </c>
      <c r="Z29" s="3">
        <f t="shared" si="27"/>
        <v>0.99995088102966601</v>
      </c>
      <c r="AA29" s="3">
        <f t="shared" si="28"/>
        <v>0.96310061270222613</v>
      </c>
      <c r="AB29" s="3">
        <f t="shared" si="29"/>
        <v>0.26895905689268373</v>
      </c>
      <c r="AC29" s="3">
        <f t="shared" si="30"/>
        <v>3.8835568784390366E-2</v>
      </c>
      <c r="AD29" s="3">
        <f t="shared" si="31"/>
        <v>1.0845365288299371E-2</v>
      </c>
      <c r="AE29" s="3">
        <f t="shared" si="7"/>
        <v>0.9929491942019929</v>
      </c>
      <c r="AF29" s="3">
        <f t="shared" si="32"/>
        <v>0.95635695258690401</v>
      </c>
      <c r="AG29" s="3">
        <f t="shared" si="33"/>
        <v>0.2670757973030829</v>
      </c>
      <c r="AH29" s="3">
        <f t="shared" si="34"/>
        <v>3.8563640937171649E-2</v>
      </c>
      <c r="AI29" s="3">
        <f t="shared" si="35"/>
        <v>1.0769425706944941E-2</v>
      </c>
      <c r="AJ29" s="3">
        <f t="shared" si="8"/>
        <v>0.97418170272701543</v>
      </c>
      <c r="AK29" s="3">
        <f t="shared" si="36"/>
        <v>0.93828108218032713</v>
      </c>
      <c r="AL29" s="3">
        <f t="shared" si="37"/>
        <v>0.26202786254637395</v>
      </c>
      <c r="AM29" s="3">
        <f t="shared" si="38"/>
        <v>3.7834758929150974E-2</v>
      </c>
      <c r="AN29" s="3">
        <f t="shared" si="39"/>
        <v>1.0565875408172677E-2</v>
      </c>
      <c r="AO29" s="3">
        <f t="shared" si="9"/>
        <v>0.94387078921977985</v>
      </c>
      <c r="AP29" s="3">
        <f t="shared" si="40"/>
        <v>0.90908718883596318</v>
      </c>
      <c r="AQ29" s="3">
        <f t="shared" si="41"/>
        <v>0.25387506737900817</v>
      </c>
      <c r="AR29" s="3"/>
      <c r="AS29" s="2"/>
      <c r="AT29" s="2"/>
    </row>
    <row r="30" spans="1:46">
      <c r="A30">
        <f t="shared" si="42"/>
        <v>27</v>
      </c>
      <c r="B30" s="1">
        <f t="shared" si="0"/>
        <v>3.3299910000000001</v>
      </c>
      <c r="C30" s="1">
        <f t="shared" si="1"/>
        <v>20.922950524240257</v>
      </c>
      <c r="D30" s="1">
        <f t="shared" si="2"/>
        <v>0.87633392117120534</v>
      </c>
      <c r="E30" s="1">
        <f t="shared" si="3"/>
        <v>-0.48170411935616619</v>
      </c>
      <c r="F30" s="2">
        <f t="shared" si="4"/>
        <v>28714.833595016884</v>
      </c>
      <c r="G30" s="2">
        <f t="shared" si="5"/>
        <v>-15783.998878943497</v>
      </c>
      <c r="H30" s="2">
        <f t="shared" si="6"/>
        <v>7178.9274822345142</v>
      </c>
      <c r="I30" s="3">
        <f t="shared" si="10"/>
        <v>0.20841874888236564</v>
      </c>
      <c r="J30" s="3">
        <f t="shared" si="11"/>
        <v>4.3438374885690585E-2</v>
      </c>
      <c r="K30" s="3">
        <f t="shared" si="12"/>
        <v>0.90595423181372803</v>
      </c>
      <c r="L30" s="3">
        <f t="shared" si="13"/>
        <v>0.79391842436697146</v>
      </c>
      <c r="M30" s="3">
        <f t="shared" si="14"/>
        <v>-0.43640188541282388</v>
      </c>
      <c r="N30" s="3">
        <f t="shared" si="15"/>
        <v>3.4486526146309295E-2</v>
      </c>
      <c r="O30" s="3">
        <f t="shared" si="16"/>
        <v>-1.8956588699384432E-2</v>
      </c>
      <c r="P30" s="3">
        <f t="shared" si="17"/>
        <v>0.852385727727767</v>
      </c>
      <c r="Q30" s="3">
        <f t="shared" si="18"/>
        <v>0.74697452713004542</v>
      </c>
      <c r="R30" s="3">
        <f t="shared" si="19"/>
        <v>-0.41059771632686887</v>
      </c>
      <c r="S30" s="3">
        <f t="shared" si="20"/>
        <v>3.2447359539536369E-2</v>
      </c>
      <c r="T30" s="3">
        <f t="shared" si="21"/>
        <v>-1.7835697529014968E-2</v>
      </c>
      <c r="U30" s="3">
        <f t="shared" si="22"/>
        <v>0.78792596817854565</v>
      </c>
      <c r="V30" s="3">
        <f t="shared" si="23"/>
        <v>0.69048625328652324</v>
      </c>
      <c r="W30" s="3">
        <f t="shared" si="24"/>
        <v>-0.37954718461930098</v>
      </c>
      <c r="X30" s="3">
        <f t="shared" si="25"/>
        <v>2.9993600723675903E-2</v>
      </c>
      <c r="Y30" s="3">
        <f t="shared" si="26"/>
        <v>-1.6486912892301614E-2</v>
      </c>
      <c r="Z30" s="3">
        <f t="shared" si="27"/>
        <v>0.71339857994149547</v>
      </c>
      <c r="AA30" s="3">
        <f t="shared" si="28"/>
        <v>0.62517537491810038</v>
      </c>
      <c r="AB30" s="3">
        <f t="shared" si="29"/>
        <v>-0.34364703470065761</v>
      </c>
      <c r="AC30" s="3">
        <f t="shared" si="30"/>
        <v>2.7156602304994604E-2</v>
      </c>
      <c r="AD30" s="3">
        <f t="shared" si="31"/>
        <v>-1.4927468721683086E-2</v>
      </c>
      <c r="AE30" s="3">
        <f t="shared" si="7"/>
        <v>0.62975582769901883</v>
      </c>
      <c r="AF30" s="3">
        <f t="shared" si="32"/>
        <v>0.55187639386789911</v>
      </c>
      <c r="AG30" s="3">
        <f t="shared" si="33"/>
        <v>-0.3033559763911694</v>
      </c>
      <c r="AH30" s="3">
        <f t="shared" si="34"/>
        <v>2.3972613687396834E-2</v>
      </c>
      <c r="AI30" s="3">
        <f t="shared" si="35"/>
        <v>-1.3177290626294318E-2</v>
      </c>
      <c r="AJ30" s="3">
        <f t="shared" si="8"/>
        <v>0.53806644659377401</v>
      </c>
      <c r="AK30" s="3">
        <f t="shared" si="36"/>
        <v>0.47152587899417892</v>
      </c>
      <c r="AL30" s="3">
        <f t="shared" si="37"/>
        <v>-0.25918882381155556</v>
      </c>
      <c r="AM30" s="3">
        <f t="shared" si="38"/>
        <v>2.048231790005392E-2</v>
      </c>
      <c r="AN30" s="3">
        <f t="shared" si="39"/>
        <v>-1.1258741294907556E-2</v>
      </c>
      <c r="AO30" s="3">
        <f t="shared" si="9"/>
        <v>0.43950198659474898</v>
      </c>
      <c r="AP30" s="3">
        <f t="shared" si="40"/>
        <v>0.38515049927511091</v>
      </c>
      <c r="AQ30" s="3">
        <f t="shared" si="41"/>
        <v>-0.21170991740790912</v>
      </c>
      <c r="AR30" s="3"/>
      <c r="AS30" s="2"/>
      <c r="AT30" s="2"/>
    </row>
    <row r="31" spans="1:46">
      <c r="A31">
        <f t="shared" si="42"/>
        <v>28</v>
      </c>
      <c r="B31" s="1">
        <f t="shared" si="0"/>
        <v>3.4533239999999998</v>
      </c>
      <c r="C31" s="1">
        <f t="shared" si="1"/>
        <v>21.697874617730637</v>
      </c>
      <c r="D31" s="1">
        <f t="shared" si="2"/>
        <v>0.28908793659492682</v>
      </c>
      <c r="E31" s="1">
        <f t="shared" si="3"/>
        <v>-0.95730254617612276</v>
      </c>
      <c r="F31" s="2">
        <f t="shared" si="4"/>
        <v>9472.544418405967</v>
      </c>
      <c r="G31" s="2">
        <f t="shared" si="5"/>
        <v>-31367.932530553015</v>
      </c>
      <c r="H31" s="2">
        <f t="shared" si="6"/>
        <v>2368.2083765856405</v>
      </c>
      <c r="I31" s="3">
        <f t="shared" si="10"/>
        <v>0.2160178219764835</v>
      </c>
      <c r="J31" s="3">
        <f t="shared" si="11"/>
        <v>4.666369941146372E-2</v>
      </c>
      <c r="K31" s="3">
        <f t="shared" si="12"/>
        <v>0.37059164596113303</v>
      </c>
      <c r="L31" s="3">
        <f t="shared" si="13"/>
        <v>0.10713357425022159</v>
      </c>
      <c r="M31" s="3">
        <f t="shared" si="14"/>
        <v>-0.35476832627019289</v>
      </c>
      <c r="N31" s="3">
        <f t="shared" si="15"/>
        <v>4.9992489056880701E-3</v>
      </c>
      <c r="O31" s="3">
        <f t="shared" si="16"/>
        <v>-1.6554802537780369E-2</v>
      </c>
      <c r="P31" s="3">
        <f t="shared" si="17"/>
        <v>0.25936033772988004</v>
      </c>
      <c r="Q31" s="3">
        <f t="shared" si="18"/>
        <v>7.4977944868894364E-2</v>
      </c>
      <c r="R31" s="3">
        <f t="shared" si="19"/>
        <v>-0.24828631168591328</v>
      </c>
      <c r="S31" s="3">
        <f t="shared" si="20"/>
        <v>3.498748281851385E-3</v>
      </c>
      <c r="T31" s="3">
        <f t="shared" si="21"/>
        <v>-1.1585957816492449E-2</v>
      </c>
      <c r="U31" s="3">
        <f t="shared" si="22"/>
        <v>0.14456534752930872</v>
      </c>
      <c r="V31" s="3">
        <f t="shared" si="23"/>
        <v>4.179209802037636E-2</v>
      </c>
      <c r="W31" s="3">
        <f t="shared" si="24"/>
        <v>-0.1383927752786433</v>
      </c>
      <c r="X31" s="3">
        <f t="shared" si="25"/>
        <v>1.9501738997972705E-3</v>
      </c>
      <c r="Y31" s="3">
        <f t="shared" si="26"/>
        <v>-6.4579188663208579E-3</v>
      </c>
      <c r="Z31" s="3">
        <f t="shared" si="27"/>
        <v>2.7783989918484082E-2</v>
      </c>
      <c r="AA31" s="3">
        <f t="shared" si="28"/>
        <v>8.0320163159088125E-3</v>
      </c>
      <c r="AB31" s="3">
        <f t="shared" si="29"/>
        <v>-2.6597684291896538E-2</v>
      </c>
      <c r="AC31" s="3">
        <f t="shared" si="30"/>
        <v>3.7480359503354104E-4</v>
      </c>
      <c r="AD31" s="3">
        <f t="shared" si="31"/>
        <v>-1.2411463448380703E-3</v>
      </c>
      <c r="AE31" s="3">
        <f t="shared" si="7"/>
        <v>-8.9379127312084097E-2</v>
      </c>
      <c r="AF31" s="3">
        <f t="shared" si="32"/>
        <v>-2.5838427489305659E-2</v>
      </c>
      <c r="AG31" s="3">
        <f t="shared" si="33"/>
        <v>8.5562866150857939E-2</v>
      </c>
      <c r="AH31" s="3">
        <f t="shared" si="34"/>
        <v>-1.2057166136258605E-3</v>
      </c>
      <c r="AI31" s="3">
        <f t="shared" si="35"/>
        <v>3.9926798668469387E-3</v>
      </c>
      <c r="AJ31" s="3">
        <f t="shared" si="8"/>
        <v>-0.20531415089030858</v>
      </c>
      <c r="AK31" s="3">
        <f t="shared" si="36"/>
        <v>-5.9353844234618765E-2</v>
      </c>
      <c r="AL31" s="3">
        <f t="shared" si="37"/>
        <v>0.19654775941328106</v>
      </c>
      <c r="AM31" s="3">
        <f t="shared" si="38"/>
        <v>-2.7696699462790887E-3</v>
      </c>
      <c r="AN31" s="3">
        <f t="shared" si="39"/>
        <v>9.1716455652580357E-3</v>
      </c>
      <c r="AO31" s="3">
        <f t="shared" si="9"/>
        <v>-0.31842810188673992</v>
      </c>
      <c r="AP31" s="3">
        <f t="shared" si="40"/>
        <v>-9.2053722928276766E-2</v>
      </c>
      <c r="AQ31" s="3">
        <f t="shared" si="41"/>
        <v>0.30483203271020598</v>
      </c>
      <c r="AR31" s="3"/>
      <c r="AS31" s="2"/>
      <c r="AT31" s="2"/>
    </row>
    <row r="32" spans="1:46">
      <c r="A32">
        <f t="shared" si="42"/>
        <v>29</v>
      </c>
      <c r="B32" s="1">
        <f t="shared" si="0"/>
        <v>3.576657</v>
      </c>
      <c r="C32" s="1">
        <f t="shared" si="1"/>
        <v>22.472798711221017</v>
      </c>
      <c r="D32" s="1">
        <f t="shared" si="2"/>
        <v>-0.46324220851268955</v>
      </c>
      <c r="E32" s="1">
        <f t="shared" si="3"/>
        <v>-0.88623171702003867</v>
      </c>
      <c r="F32" s="2">
        <f t="shared" si="4"/>
        <v>-15179.057446335299</v>
      </c>
      <c r="G32" s="2">
        <f t="shared" si="5"/>
        <v>-29039.154671595606</v>
      </c>
      <c r="H32" s="2">
        <f t="shared" si="6"/>
        <v>-3794.8801721359528</v>
      </c>
      <c r="I32" s="3">
        <f t="shared" si="10"/>
        <v>0.22360383262756248</v>
      </c>
      <c r="J32" s="3">
        <f t="shared" si="11"/>
        <v>4.9998673965734972E-2</v>
      </c>
      <c r="K32" s="3">
        <f t="shared" si="12"/>
        <v>-0.36565486483347481</v>
      </c>
      <c r="L32" s="3">
        <f t="shared" si="13"/>
        <v>0.16938676713886786</v>
      </c>
      <c r="M32" s="3">
        <f t="shared" si="14"/>
        <v>0.32405493869810054</v>
      </c>
      <c r="N32" s="3">
        <f t="shared" si="15"/>
        <v>8.4691137442861244E-3</v>
      </c>
      <c r="O32" s="3">
        <f t="shared" si="16"/>
        <v>1.6202317226952562E-2</v>
      </c>
      <c r="P32" s="3">
        <f t="shared" si="17"/>
        <v>-0.47574533412958725</v>
      </c>
      <c r="Q32" s="3">
        <f t="shared" si="18"/>
        <v>0.22038531927179741</v>
      </c>
      <c r="R32" s="3">
        <f t="shared" si="19"/>
        <v>0.42162060432993609</v>
      </c>
      <c r="S32" s="3">
        <f t="shared" si="20"/>
        <v>1.1018973725105007E-2</v>
      </c>
      <c r="T32" s="3">
        <f t="shared" si="21"/>
        <v>2.1080471133128619E-2</v>
      </c>
      <c r="U32" s="3">
        <f t="shared" si="22"/>
        <v>-0.57882425975578145</v>
      </c>
      <c r="V32" s="3">
        <f t="shared" si="23"/>
        <v>0.2681358284299909</v>
      </c>
      <c r="W32" s="3">
        <f t="shared" si="24"/>
        <v>0.51297241757621903</v>
      </c>
      <c r="X32" s="3">
        <f t="shared" si="25"/>
        <v>1.3406435864203365E-2</v>
      </c>
      <c r="Y32" s="3">
        <f t="shared" si="26"/>
        <v>2.5647940659808233E-2</v>
      </c>
      <c r="Z32" s="3">
        <f t="shared" si="27"/>
        <v>-0.6733724625701355</v>
      </c>
      <c r="AA32" s="3">
        <f t="shared" si="28"/>
        <v>0.31193454671261794</v>
      </c>
      <c r="AB32" s="3">
        <f t="shared" si="29"/>
        <v>0.59676403369754294</v>
      </c>
      <c r="AC32" s="3">
        <f t="shared" si="30"/>
        <v>1.5596313699733511E-2</v>
      </c>
      <c r="AD32" s="3">
        <f t="shared" si="31"/>
        <v>2.9837410355320327E-2</v>
      </c>
      <c r="AE32" s="3">
        <f t="shared" si="7"/>
        <v>-0.75799648938375375</v>
      </c>
      <c r="AF32" s="3">
        <f t="shared" si="32"/>
        <v>0.35113596778699552</v>
      </c>
      <c r="AG32" s="3">
        <f t="shared" si="33"/>
        <v>0.67176053028172555</v>
      </c>
      <c r="AH32" s="3">
        <f t="shared" si="34"/>
        <v>1.7556332771024807E-2</v>
      </c>
      <c r="AI32" s="3">
        <f t="shared" si="35"/>
        <v>3.3587135736605232E-2</v>
      </c>
      <c r="AJ32" s="3">
        <f t="shared" si="8"/>
        <v>-0.83144914970003658</v>
      </c>
      <c r="AK32" s="3">
        <f t="shared" si="36"/>
        <v>0.38516234037304276</v>
      </c>
      <c r="AL32" s="3">
        <f t="shared" si="37"/>
        <v>0.73685660755351456</v>
      </c>
      <c r="AM32" s="3">
        <f t="shared" si="38"/>
        <v>1.9257606280191207E-2</v>
      </c>
      <c r="AN32" s="3">
        <f t="shared" si="39"/>
        <v>3.6841853280565703E-2</v>
      </c>
      <c r="AO32" s="3">
        <f t="shared" si="9"/>
        <v>-0.89264789683164603</v>
      </c>
      <c r="AP32" s="3">
        <f t="shared" si="40"/>
        <v>0.41351218315249916</v>
      </c>
      <c r="AQ32" s="3">
        <f t="shared" si="41"/>
        <v>0.791092878303436</v>
      </c>
      <c r="AR32" s="3"/>
      <c r="AS32" s="2"/>
      <c r="AT32" s="2"/>
    </row>
    <row r="33" spans="1:46">
      <c r="A33">
        <f t="shared" si="42"/>
        <v>30</v>
      </c>
      <c r="B33" s="1">
        <f t="shared" si="0"/>
        <v>3.6999900000000001</v>
      </c>
      <c r="C33" s="1">
        <f t="shared" si="1"/>
        <v>23.247722804711398</v>
      </c>
      <c r="D33" s="1">
        <f t="shared" si="2"/>
        <v>-0.95103709830746852</v>
      </c>
      <c r="E33" s="1">
        <f t="shared" si="3"/>
        <v>-0.30907675040822846</v>
      </c>
      <c r="F33" s="2">
        <f t="shared" si="4"/>
        <v>-31162.63260024082</v>
      </c>
      <c r="G33" s="2">
        <f t="shared" si="5"/>
        <v>-10127.517880626421</v>
      </c>
      <c r="H33" s="2">
        <f t="shared" si="6"/>
        <v>-7790.8959093347821</v>
      </c>
      <c r="I33" s="3">
        <f t="shared" si="10"/>
        <v>0.23117632211496963</v>
      </c>
      <c r="J33" s="3">
        <f t="shared" si="11"/>
        <v>5.3442491906604196E-2</v>
      </c>
      <c r="K33" s="3">
        <f t="shared" si="12"/>
        <v>-0.90369349581636993</v>
      </c>
      <c r="L33" s="3">
        <f t="shared" si="13"/>
        <v>0.85944604002053293</v>
      </c>
      <c r="M33" s="3">
        <f t="shared" si="14"/>
        <v>0.27931064905197561</v>
      </c>
      <c r="N33" s="3">
        <f t="shared" si="15"/>
        <v>4.5930938037960355E-2</v>
      </c>
      <c r="O33" s="3">
        <f t="shared" si="16"/>
        <v>1.4927057101388573E-2</v>
      </c>
      <c r="P33" s="3">
        <f t="shared" si="17"/>
        <v>-0.95023277978261522</v>
      </c>
      <c r="Q33" s="3">
        <f t="shared" si="18"/>
        <v>0.90370662560109816</v>
      </c>
      <c r="R33" s="3">
        <f t="shared" si="19"/>
        <v>0.29369485970658848</v>
      </c>
      <c r="S33" s="3">
        <f t="shared" si="20"/>
        <v>4.8296334024631279E-2</v>
      </c>
      <c r="T33" s="3">
        <f t="shared" si="21"/>
        <v>1.5695785162880612E-2</v>
      </c>
      <c r="U33" s="3">
        <f t="shared" si="22"/>
        <v>-0.98178632517014164</v>
      </c>
      <c r="V33" s="3">
        <f t="shared" si="23"/>
        <v>0.93371521784776423</v>
      </c>
      <c r="W33" s="3">
        <f t="shared" si="24"/>
        <v>0.30344732697882371</v>
      </c>
      <c r="X33" s="3">
        <f t="shared" si="25"/>
        <v>4.9900067972902314E-2</v>
      </c>
      <c r="Y33" s="3">
        <f t="shared" si="26"/>
        <v>1.6216981316146462E-2</v>
      </c>
      <c r="Z33" s="3">
        <f t="shared" si="27"/>
        <v>-0.99785651371901152</v>
      </c>
      <c r="AA33" s="3">
        <f t="shared" si="28"/>
        <v>0.94899856333453536</v>
      </c>
      <c r="AB33" s="3">
        <f t="shared" si="29"/>
        <v>0.30841424863395595</v>
      </c>
      <c r="AC33" s="3">
        <f t="shared" si="30"/>
        <v>5.0716848040384913E-2</v>
      </c>
      <c r="AD33" s="3">
        <f t="shared" si="31"/>
        <v>1.6482425986501605E-2</v>
      </c>
      <c r="AE33" s="3">
        <f t="shared" si="7"/>
        <v>-0.99818990895594506</v>
      </c>
      <c r="AF33" s="3">
        <f t="shared" si="32"/>
        <v>0.94931563457325818</v>
      </c>
      <c r="AG33" s="3">
        <f t="shared" si="33"/>
        <v>0.30851729335038891</v>
      </c>
      <c r="AH33" s="3">
        <f t="shared" si="34"/>
        <v>5.073379311749418E-2</v>
      </c>
      <c r="AI33" s="3">
        <f t="shared" si="35"/>
        <v>1.6487932952925593E-2</v>
      </c>
      <c r="AJ33" s="3">
        <f t="shared" si="8"/>
        <v>-0.98278125303889519</v>
      </c>
      <c r="AK33" s="3">
        <f t="shared" si="36"/>
        <v>0.93466143116108891</v>
      </c>
      <c r="AL33" s="3">
        <f t="shared" si="37"/>
        <v>0.30375483605138864</v>
      </c>
      <c r="AM33" s="3">
        <f t="shared" si="38"/>
        <v>4.9950635970241582E-2</v>
      </c>
      <c r="AN33" s="3">
        <f t="shared" si="39"/>
        <v>1.623341536726822E-2</v>
      </c>
      <c r="AO33" s="3">
        <f t="shared" si="9"/>
        <v>-0.95187354967635751</v>
      </c>
      <c r="AP33" s="3">
        <f t="shared" si="40"/>
        <v>0.90526705863983303</v>
      </c>
      <c r="AQ33" s="3">
        <f t="shared" si="41"/>
        <v>0.29420198353351401</v>
      </c>
      <c r="AR33" s="3"/>
      <c r="AS33" s="2"/>
      <c r="AT33" s="2"/>
    </row>
    <row r="34" spans="1:46">
      <c r="A34">
        <f t="shared" si="42"/>
        <v>31</v>
      </c>
      <c r="B34" s="1">
        <f t="shared" si="0"/>
        <v>3.8233229999999998</v>
      </c>
      <c r="C34" s="1">
        <f t="shared" si="1"/>
        <v>24.022646898201774</v>
      </c>
      <c r="D34" s="1">
        <f t="shared" si="2"/>
        <v>-0.89574062684548539</v>
      </c>
      <c r="E34" s="1">
        <f t="shared" si="3"/>
        <v>0.44457702304376551</v>
      </c>
      <c r="F34" s="2">
        <f t="shared" si="4"/>
        <v>-29350.73311984602</v>
      </c>
      <c r="G34" s="2">
        <f t="shared" si="5"/>
        <v>14567.455314075065</v>
      </c>
      <c r="H34" s="2">
        <f t="shared" si="6"/>
        <v>-7337.9072151182163</v>
      </c>
      <c r="I34" s="3">
        <f t="shared" si="10"/>
        <v>0.23873483253568714</v>
      </c>
      <c r="J34" s="3">
        <f t="shared" si="11"/>
        <v>5.6994320265842585E-2</v>
      </c>
      <c r="K34" s="3">
        <f t="shared" si="12"/>
        <v>-0.95187354967635751</v>
      </c>
      <c r="L34" s="3">
        <f t="shared" si="13"/>
        <v>0.85263181006473776</v>
      </c>
      <c r="M34" s="3">
        <f t="shared" si="14"/>
        <v>-0.42318110902921685</v>
      </c>
      <c r="N34" s="3">
        <f t="shared" si="15"/>
        <v>4.8595170451674732E-2</v>
      </c>
      <c r="O34" s="3">
        <f t="shared" si="16"/>
        <v>-2.4118919658465635E-2</v>
      </c>
      <c r="P34" s="3">
        <f t="shared" si="17"/>
        <v>-0.90417285737106512</v>
      </c>
      <c r="Q34" s="3">
        <f t="shared" si="18"/>
        <v>0.80990436203823157</v>
      </c>
      <c r="R34" s="3">
        <f t="shared" si="19"/>
        <v>-0.4019744772470033</v>
      </c>
      <c r="S34" s="3">
        <f t="shared" si="20"/>
        <v>4.6159948594709885E-2</v>
      </c>
      <c r="T34" s="3">
        <f t="shared" si="21"/>
        <v>-2.2910262094910358E-2</v>
      </c>
      <c r="U34" s="3">
        <f t="shared" si="22"/>
        <v>-0.84124771051746217</v>
      </c>
      <c r="V34" s="3">
        <f t="shared" si="23"/>
        <v>0.75353975155124098</v>
      </c>
      <c r="W34" s="3">
        <f t="shared" si="24"/>
        <v>-0.37399940278423677</v>
      </c>
      <c r="X34" s="3">
        <f t="shared" si="25"/>
        <v>4.2947485932954881E-2</v>
      </c>
      <c r="Y34" s="3">
        <f t="shared" si="26"/>
        <v>-2.1315841741518651E-2</v>
      </c>
      <c r="Z34" s="3">
        <f t="shared" si="27"/>
        <v>-0.76415764217983895</v>
      </c>
      <c r="AA34" s="3">
        <f t="shared" si="28"/>
        <v>0.6844870454149371</v>
      </c>
      <c r="AB34" s="3">
        <f t="shared" si="29"/>
        <v>-0.33972692969645579</v>
      </c>
      <c r="AC34" s="3">
        <f t="shared" si="30"/>
        <v>3.9011873884199258E-2</v>
      </c>
      <c r="AD34" s="3">
        <f t="shared" si="31"/>
        <v>-1.9362505434051189E-2</v>
      </c>
      <c r="AE34" s="3">
        <f t="shared" si="7"/>
        <v>-0.67420069424472651</v>
      </c>
      <c r="AF34" s="3">
        <f t="shared" si="32"/>
        <v>0.6039089524824327</v>
      </c>
      <c r="AG34" s="3">
        <f t="shared" si="33"/>
        <v>-0.29973413758136047</v>
      </c>
      <c r="AH34" s="3">
        <f t="shared" si="34"/>
        <v>3.4419380249193283E-2</v>
      </c>
      <c r="AI34" s="3">
        <f t="shared" si="35"/>
        <v>-1.7083143431918184E-2</v>
      </c>
      <c r="AJ34" s="3">
        <f t="shared" si="8"/>
        <v>-0.57289156100313143</v>
      </c>
      <c r="AK34" s="3">
        <f t="shared" si="36"/>
        <v>0.51316224596743354</v>
      </c>
      <c r="AL34" s="3">
        <f t="shared" si="37"/>
        <v>-0.25469442471766796</v>
      </c>
      <c r="AM34" s="3">
        <f t="shared" si="38"/>
        <v>2.9247333395006996E-2</v>
      </c>
      <c r="AN34" s="3">
        <f t="shared" si="39"/>
        <v>-1.45161356122833E-2</v>
      </c>
      <c r="AO34" s="3">
        <f t="shared" si="9"/>
        <v>-0.46193608474150222</v>
      </c>
      <c r="AP34" s="3">
        <f t="shared" si="40"/>
        <v>0.41377491810890243</v>
      </c>
      <c r="AQ34" s="3">
        <f t="shared" si="41"/>
        <v>-0.20536616939086966</v>
      </c>
      <c r="AR34" s="3"/>
      <c r="AS34" s="2"/>
      <c r="AT34" s="2"/>
    </row>
    <row r="35" spans="1:46">
      <c r="A35">
        <f t="shared" si="42"/>
        <v>32</v>
      </c>
      <c r="B35" s="1">
        <f t="shared" si="0"/>
        <v>3.9466559999999999</v>
      </c>
      <c r="C35" s="1">
        <f t="shared" si="1"/>
        <v>24.797570991692158</v>
      </c>
      <c r="D35" s="1">
        <f t="shared" si="2"/>
        <v>-0.32892993871176823</v>
      </c>
      <c r="E35" s="1">
        <f t="shared" si="3"/>
        <v>0.94435432726232182</v>
      </c>
      <c r="F35" s="2">
        <f t="shared" si="4"/>
        <v>-10778.047301768509</v>
      </c>
      <c r="G35" s="2">
        <f t="shared" si="5"/>
        <v>30943.658241404501</v>
      </c>
      <c r="H35" s="2">
        <f t="shared" si="6"/>
        <v>-2694.5940579268054</v>
      </c>
      <c r="I35" s="3">
        <f t="shared" si="10"/>
        <v>0.24627890683200135</v>
      </c>
      <c r="J35" s="3">
        <f t="shared" si="11"/>
        <v>6.06532999503656E-2</v>
      </c>
      <c r="K35" s="3">
        <f t="shared" si="12"/>
        <v>-0.48407841415627489</v>
      </c>
      <c r="L35" s="3">
        <f t="shared" si="13"/>
        <v>0.15922788310011346</v>
      </c>
      <c r="M35" s="3">
        <f t="shared" si="14"/>
        <v>-0.45714154514276056</v>
      </c>
      <c r="N35" s="3">
        <f t="shared" si="15"/>
        <v>9.6576965541329308E-3</v>
      </c>
      <c r="O35" s="3">
        <f t="shared" si="16"/>
        <v>-2.7727143257317451E-2</v>
      </c>
      <c r="P35" s="3">
        <f t="shared" si="17"/>
        <v>-0.36279766990666051</v>
      </c>
      <c r="Q35" s="3">
        <f t="shared" si="18"/>
        <v>0.11933501532717017</v>
      </c>
      <c r="R35" s="3">
        <f t="shared" si="19"/>
        <v>-0.34260954949704231</v>
      </c>
      <c r="S35" s="3">
        <f t="shared" si="20"/>
        <v>7.2380624792203275E-3</v>
      </c>
      <c r="T35" s="3">
        <f t="shared" si="21"/>
        <v>-2.0780399771503734E-2</v>
      </c>
      <c r="U35" s="3">
        <f t="shared" si="22"/>
        <v>-0.23500826967753349</v>
      </c>
      <c r="V35" s="3">
        <f t="shared" si="23"/>
        <v>7.7301255741789796E-2</v>
      </c>
      <c r="W35" s="3">
        <f t="shared" si="24"/>
        <v>-0.22193107641240944</v>
      </c>
      <c r="X35" s="3">
        <f t="shared" si="25"/>
        <v>4.6885762510466972E-3</v>
      </c>
      <c r="Y35" s="3">
        <f t="shared" si="26"/>
        <v>-1.3460852145949378E-2</v>
      </c>
      <c r="Z35" s="3">
        <f t="shared" si="27"/>
        <v>-0.10300277847939376</v>
      </c>
      <c r="AA35" s="3">
        <f t="shared" si="28"/>
        <v>3.3880697612368831E-2</v>
      </c>
      <c r="AB35" s="3">
        <f t="shared" si="29"/>
        <v>-9.7271119577057863E-2</v>
      </c>
      <c r="AC35" s="3">
        <f t="shared" si="30"/>
        <v>2.0549761148106424E-3</v>
      </c>
      <c r="AD35" s="3">
        <f t="shared" si="31"/>
        <v>-5.8998143922151698E-3</v>
      </c>
      <c r="AE35" s="3">
        <f t="shared" si="7"/>
        <v>3.0850601240822537E-2</v>
      </c>
      <c r="AF35" s="3">
        <f t="shared" si="32"/>
        <v>-1.0147686375364957E-2</v>
      </c>
      <c r="AG35" s="3">
        <f t="shared" si="33"/>
        <v>2.913389878041512E-2</v>
      </c>
      <c r="AH35" s="3">
        <f t="shared" si="34"/>
        <v>-6.1549066552724909E-4</v>
      </c>
      <c r="AI35" s="3">
        <f t="shared" si="35"/>
        <v>1.7670671014521086E-3</v>
      </c>
      <c r="AJ35" s="3">
        <f t="shared" si="8"/>
        <v>0.1641505155810431</v>
      </c>
      <c r="AK35" s="3">
        <f t="shared" si="36"/>
        <v>-5.3994019029577664E-2</v>
      </c>
      <c r="AL35" s="3">
        <f t="shared" si="37"/>
        <v>0.15501624971129924</v>
      </c>
      <c r="AM35" s="3">
        <f t="shared" si="38"/>
        <v>-3.2749154317267223E-3</v>
      </c>
      <c r="AN35" s="3">
        <f t="shared" si="39"/>
        <v>9.4022470909202079E-3</v>
      </c>
      <c r="AO35" s="3">
        <f t="shared" si="9"/>
        <v>0.29450553990845479</v>
      </c>
      <c r="AP35" s="3">
        <f t="shared" si="40"/>
        <v>-9.6871689192364246E-2</v>
      </c>
      <c r="AQ35" s="3">
        <f t="shared" si="41"/>
        <v>0.27811758101527567</v>
      </c>
      <c r="AR35" s="3"/>
      <c r="AS35" s="2"/>
      <c r="AT35" s="2"/>
    </row>
    <row r="36" spans="1:46">
      <c r="A36">
        <f t="shared" si="42"/>
        <v>33</v>
      </c>
      <c r="B36" s="1">
        <f t="shared" si="0"/>
        <v>4.0699889999999996</v>
      </c>
      <c r="C36" s="1">
        <f t="shared" si="1"/>
        <v>25.572495085182535</v>
      </c>
      <c r="D36" s="1">
        <f t="shared" si="2"/>
        <v>0.42571675339171189</v>
      </c>
      <c r="E36" s="1">
        <f t="shared" si="3"/>
        <v>0.90485647805694602</v>
      </c>
      <c r="F36" s="2">
        <f t="shared" si="4"/>
        <v>13949.460858386223</v>
      </c>
      <c r="G36" s="2">
        <f t="shared" si="5"/>
        <v>29649.43221649195</v>
      </c>
      <c r="H36" s="2">
        <f t="shared" si="6"/>
        <v>3487.4716437849038</v>
      </c>
      <c r="I36" s="3">
        <f t="shared" si="10"/>
        <v>0.25380808881914063</v>
      </c>
      <c r="J36" s="3">
        <f t="shared" si="11"/>
        <v>6.4418545950024775E-2</v>
      </c>
      <c r="K36" s="3">
        <f t="shared" si="12"/>
        <v>0.24611759541269496</v>
      </c>
      <c r="L36" s="3">
        <f t="shared" si="13"/>
        <v>0.10477638367166738</v>
      </c>
      <c r="M36" s="3">
        <f t="shared" si="14"/>
        <v>0.22270110057297554</v>
      </c>
      <c r="N36" s="3">
        <f t="shared" si="15"/>
        <v>6.7495422860307302E-3</v>
      </c>
      <c r="O36" s="3">
        <f t="shared" si="16"/>
        <v>1.4346081080381313E-2</v>
      </c>
      <c r="P36" s="3">
        <f t="shared" si="17"/>
        <v>0.3773218423463261</v>
      </c>
      <c r="Q36" s="3">
        <f t="shared" si="18"/>
        <v>0.1606322297074573</v>
      </c>
      <c r="R36" s="3">
        <f t="shared" si="19"/>
        <v>0.34142211335945488</v>
      </c>
      <c r="S36" s="3">
        <f t="shared" si="20"/>
        <v>1.0347694670464773E-2</v>
      </c>
      <c r="T36" s="3">
        <f t="shared" si="21"/>
        <v>2.199391609780061E-2</v>
      </c>
      <c r="U36" s="3">
        <f t="shared" si="22"/>
        <v>0.50132786442096355</v>
      </c>
      <c r="V36" s="3">
        <f t="shared" si="23"/>
        <v>0.21342367082609293</v>
      </c>
      <c r="W36" s="3">
        <f t="shared" si="24"/>
        <v>0.45362976575176323</v>
      </c>
      <c r="X36" s="3">
        <f t="shared" si="25"/>
        <v>1.374844254593363E-2</v>
      </c>
      <c r="Y36" s="3">
        <f t="shared" si="26"/>
        <v>2.9222169909378936E-2</v>
      </c>
      <c r="Z36" s="3">
        <f t="shared" si="27"/>
        <v>0.61576998032536712</v>
      </c>
      <c r="AA36" s="3">
        <f t="shared" si="28"/>
        <v>0.26214359686019362</v>
      </c>
      <c r="AB36" s="3">
        <f t="shared" si="29"/>
        <v>0.55718345569040661</v>
      </c>
      <c r="AC36" s="3">
        <f t="shared" si="30"/>
        <v>1.6886909339843152E-2</v>
      </c>
      <c r="AD36" s="3">
        <f t="shared" si="31"/>
        <v>3.5892948042986053E-2</v>
      </c>
      <c r="AE36" s="3">
        <f t="shared" si="7"/>
        <v>0.71846496080755751</v>
      </c>
      <c r="AF36" s="3">
        <f t="shared" si="32"/>
        <v>0.30586257054069693</v>
      </c>
      <c r="AG36" s="3">
        <f t="shared" si="33"/>
        <v>0.65010767404364822</v>
      </c>
      <c r="AH36" s="3">
        <f t="shared" si="34"/>
        <v>1.9703222054768578E-2</v>
      </c>
      <c r="AI36" s="3">
        <f t="shared" si="35"/>
        <v>4.1878991072844485E-2</v>
      </c>
      <c r="AJ36" s="3">
        <f t="shared" si="8"/>
        <v>0.80745367846371929</v>
      </c>
      <c r="AK36" s="3">
        <f t="shared" si="36"/>
        <v>0.34374655850976982</v>
      </c>
      <c r="AL36" s="3">
        <f t="shared" si="37"/>
        <v>0.73062969168880676</v>
      </c>
      <c r="AM36" s="3">
        <f t="shared" si="38"/>
        <v>2.2143653474524485E-2</v>
      </c>
      <c r="AN36" s="3">
        <f t="shared" si="39"/>
        <v>4.706610236650783E-2</v>
      </c>
      <c r="AO36" s="3">
        <f t="shared" si="9"/>
        <v>0.88103848230280035</v>
      </c>
      <c r="AP36" s="3">
        <f t="shared" si="40"/>
        <v>0.37507284229910937</v>
      </c>
      <c r="AQ36" s="3">
        <f t="shared" si="41"/>
        <v>0.79721337812914894</v>
      </c>
      <c r="AR36" s="3"/>
      <c r="AS36" s="2"/>
      <c r="AT36" s="2"/>
    </row>
    <row r="37" spans="1:46">
      <c r="A37">
        <f t="shared" si="42"/>
        <v>34</v>
      </c>
      <c r="B37" s="1">
        <f t="shared" si="0"/>
        <v>4.1933220000000002</v>
      </c>
      <c r="C37" s="1">
        <f t="shared" si="1"/>
        <v>26.347419178672919</v>
      </c>
      <c r="D37" s="1">
        <f t="shared" si="2"/>
        <v>0.93725716549751847</v>
      </c>
      <c r="E37" s="1">
        <f t="shared" si="3"/>
        <v>0.34863878975747548</v>
      </c>
      <c r="F37" s="2">
        <f t="shared" si="4"/>
        <v>30711.105541857189</v>
      </c>
      <c r="G37" s="2">
        <f t="shared" si="5"/>
        <v>11423.847223983199</v>
      </c>
      <c r="H37" s="2">
        <f t="shared" si="6"/>
        <v>7678.0106997556713</v>
      </c>
      <c r="I37" s="3">
        <f t="shared" si="10"/>
        <v>0.26132192321286063</v>
      </c>
      <c r="J37" s="3">
        <f t="shared" si="11"/>
        <v>6.8289147551668233E-2</v>
      </c>
      <c r="K37" s="3">
        <f t="shared" si="12"/>
        <v>0.84290242558077311</v>
      </c>
      <c r="L37" s="3">
        <f t="shared" si="13"/>
        <v>0.7900163381908184</v>
      </c>
      <c r="M37" s="3">
        <f t="shared" si="14"/>
        <v>0.29386848153812128</v>
      </c>
      <c r="N37" s="3">
        <f t="shared" si="15"/>
        <v>5.3949542286941425E-2</v>
      </c>
      <c r="O37" s="3">
        <f t="shared" si="16"/>
        <v>2.0068028096541454E-2</v>
      </c>
      <c r="P37" s="3">
        <f t="shared" si="17"/>
        <v>0.91074053757257389</v>
      </c>
      <c r="Q37" s="3">
        <f t="shared" si="18"/>
        <v>0.85359809474895687</v>
      </c>
      <c r="R37" s="3">
        <f t="shared" si="19"/>
        <v>0.3175194788023748</v>
      </c>
      <c r="S37" s="3">
        <f t="shared" si="20"/>
        <v>5.8291486242134392E-2</v>
      </c>
      <c r="T37" s="3">
        <f t="shared" si="21"/>
        <v>2.1683134538464165E-2</v>
      </c>
      <c r="U37" s="3">
        <f t="shared" si="22"/>
        <v>0.96013718004179649</v>
      </c>
      <c r="V37" s="3">
        <f t="shared" si="23"/>
        <v>0.89989545185475472</v>
      </c>
      <c r="W37" s="3">
        <f t="shared" si="24"/>
        <v>0.33474106445092727</v>
      </c>
      <c r="X37" s="3">
        <f t="shared" si="25"/>
        <v>6.1453093292784498E-2</v>
      </c>
      <c r="Y37" s="3">
        <f t="shared" si="26"/>
        <v>2.2859181941891855E-2</v>
      </c>
      <c r="Z37" s="3">
        <f t="shared" si="27"/>
        <v>0.99009212664621304</v>
      </c>
      <c r="AA37" s="3">
        <f t="shared" si="28"/>
        <v>0.92797094020183968</v>
      </c>
      <c r="AB37" s="3">
        <f t="shared" si="29"/>
        <v>0.34518452078234085</v>
      </c>
      <c r="AC37" s="3">
        <f t="shared" si="30"/>
        <v>6.3370344459103722E-2</v>
      </c>
      <c r="AD37" s="3">
        <f t="shared" si="31"/>
        <v>2.3572356672257162E-2</v>
      </c>
      <c r="AE37" s="3">
        <f t="shared" si="7"/>
        <v>0.99999882347495306</v>
      </c>
      <c r="AF37" s="3">
        <f t="shared" si="32"/>
        <v>0.93725606279098783</v>
      </c>
      <c r="AG37" s="3">
        <f t="shared" si="33"/>
        <v>0.34863837957520699</v>
      </c>
      <c r="AH37" s="3">
        <f t="shared" si="34"/>
        <v>6.4004417565629398E-2</v>
      </c>
      <c r="AI37" s="3">
        <f t="shared" si="35"/>
        <v>2.380821774498583E-2</v>
      </c>
      <c r="AJ37" s="3">
        <f t="shared" si="8"/>
        <v>0.9896566710816308</v>
      </c>
      <c r="AK37" s="3">
        <f t="shared" si="36"/>
        <v>0.92756280635367927</v>
      </c>
      <c r="AL37" s="3">
        <f t="shared" si="37"/>
        <v>0.34503270408131176</v>
      </c>
      <c r="AM37" s="3">
        <f t="shared" si="38"/>
        <v>6.3342473346525874E-2</v>
      </c>
      <c r="AN37" s="3">
        <f t="shared" si="39"/>
        <v>2.3561989239159781E-2</v>
      </c>
      <c r="AO37" s="3">
        <f t="shared" si="9"/>
        <v>0.95927508639707415</v>
      </c>
      <c r="AP37" s="3">
        <f t="shared" si="40"/>
        <v>0.89908744840890886</v>
      </c>
      <c r="AQ37" s="3">
        <f t="shared" si="41"/>
        <v>0.33444050516597368</v>
      </c>
      <c r="AR37" s="3"/>
      <c r="AS37" s="2"/>
      <c r="AT37" s="2"/>
    </row>
    <row r="38" spans="1:46">
      <c r="A38">
        <f t="shared" si="42"/>
        <v>35</v>
      </c>
      <c r="B38" s="1">
        <f t="shared" si="0"/>
        <v>4.3166549999999999</v>
      </c>
      <c r="C38" s="1">
        <f t="shared" si="1"/>
        <v>27.122343272163295</v>
      </c>
      <c r="D38" s="1">
        <f t="shared" si="2"/>
        <v>0.91357527054129195</v>
      </c>
      <c r="E38" s="1">
        <f t="shared" si="3"/>
        <v>-0.40666967560343759</v>
      </c>
      <c r="F38" s="2">
        <f t="shared" si="4"/>
        <v>29935.120889826514</v>
      </c>
      <c r="G38" s="2">
        <f t="shared" si="5"/>
        <v>-13325.345260497839</v>
      </c>
      <c r="H38" s="2">
        <f t="shared" si="6"/>
        <v>7484.0086162742637</v>
      </c>
      <c r="I38" s="3">
        <f t="shared" si="10"/>
        <v>0.26881995565697514</v>
      </c>
      <c r="J38" s="3">
        <f t="shared" si="11"/>
        <v>7.2264168559418085E-2</v>
      </c>
      <c r="K38" s="3">
        <f t="shared" si="12"/>
        <v>0.98278125303889519</v>
      </c>
      <c r="L38" s="3">
        <f t="shared" si="13"/>
        <v>0.89784464912791861</v>
      </c>
      <c r="M38" s="3">
        <f t="shared" si="14"/>
        <v>-0.3996673333624674</v>
      </c>
      <c r="N38" s="3">
        <f t="shared" si="15"/>
        <v>6.4881997064751493E-2</v>
      </c>
      <c r="O38" s="3">
        <f t="shared" si="16"/>
        <v>-2.8881627545798483E-2</v>
      </c>
      <c r="P38" s="3">
        <f t="shared" si="17"/>
        <v>0.94524612444280365</v>
      </c>
      <c r="Q38" s="3">
        <f t="shared" si="18"/>
        <v>0.86355348386594211</v>
      </c>
      <c r="R38" s="3">
        <f t="shared" si="19"/>
        <v>-0.38440293479256155</v>
      </c>
      <c r="S38" s="3">
        <f t="shared" si="20"/>
        <v>6.2403974518161161E-2</v>
      </c>
      <c r="T38" s="3">
        <f t="shared" si="21"/>
        <v>-2.7778558474584669E-2</v>
      </c>
      <c r="U38" s="3">
        <f t="shared" si="22"/>
        <v>0.88743042446461551</v>
      </c>
      <c r="V38" s="3">
        <f t="shared" si="23"/>
        <v>0.81073449011683463</v>
      </c>
      <c r="W38" s="3">
        <f t="shared" si="24"/>
        <v>-0.36089104283764611</v>
      </c>
      <c r="X38" s="3">
        <f t="shared" si="25"/>
        <v>5.8587053850736814E-2</v>
      </c>
      <c r="Y38" s="3">
        <f t="shared" si="26"/>
        <v>-2.607949115120383E-2</v>
      </c>
      <c r="Z38" s="3">
        <f t="shared" si="27"/>
        <v>0.81057460826209049</v>
      </c>
      <c r="AA38" s="3">
        <f t="shared" si="28"/>
        <v>0.74052091703694101</v>
      </c>
      <c r="AB38" s="3">
        <f t="shared" si="29"/>
        <v>-0.32963611299432782</v>
      </c>
      <c r="AC38" s="3">
        <f t="shared" si="30"/>
        <v>5.3513128370532362E-2</v>
      </c>
      <c r="AD38" s="3">
        <f t="shared" si="31"/>
        <v>-2.3820879632693491E-2</v>
      </c>
      <c r="AE38" s="3">
        <f t="shared" si="7"/>
        <v>0.71632764304737806</v>
      </c>
      <c r="AF38" s="3">
        <f t="shared" si="32"/>
        <v>0.65441922029321442</v>
      </c>
      <c r="AG38" s="3">
        <f t="shared" si="33"/>
        <v>-0.29130873022385229</v>
      </c>
      <c r="AH38" s="3">
        <f t="shared" si="34"/>
        <v>4.7291060843791803E-2</v>
      </c>
      <c r="AI38" s="3">
        <f t="shared" si="35"/>
        <v>-2.1051183183726511E-2</v>
      </c>
      <c r="AJ38" s="3">
        <f t="shared" si="8"/>
        <v>0.60671162894462882</v>
      </c>
      <c r="AK38" s="3">
        <f t="shared" si="36"/>
        <v>0.55427674055363718</v>
      </c>
      <c r="AL38" s="3">
        <f t="shared" si="37"/>
        <v>-0.24673122132774539</v>
      </c>
      <c r="AM38" s="3">
        <f t="shared" si="38"/>
        <v>4.0054347807932884E-2</v>
      </c>
      <c r="AN38" s="3">
        <f t="shared" si="39"/>
        <v>-1.7829826566899281E-2</v>
      </c>
      <c r="AO38" s="3">
        <f t="shared" si="9"/>
        <v>0.48407841415627501</v>
      </c>
      <c r="AP38" s="3">
        <f t="shared" si="40"/>
        <v>0.44224206817601852</v>
      </c>
      <c r="AQ38" s="3">
        <f t="shared" si="41"/>
        <v>-0.19686001165155886</v>
      </c>
      <c r="AR38" s="3"/>
      <c r="AS38" s="2"/>
      <c r="AT38" s="2"/>
    </row>
    <row r="39" spans="1:46">
      <c r="A39">
        <f t="shared" si="42"/>
        <v>36</v>
      </c>
      <c r="B39" s="1">
        <f t="shared" si="0"/>
        <v>4.4399879999999996</v>
      </c>
      <c r="C39" s="1">
        <f t="shared" si="1"/>
        <v>27.897267365653676</v>
      </c>
      <c r="D39" s="1">
        <f t="shared" si="2"/>
        <v>0.36819465513370053</v>
      </c>
      <c r="E39" s="1">
        <f t="shared" si="3"/>
        <v>-0.92974872730806968</v>
      </c>
      <c r="F39" s="2">
        <f t="shared" si="4"/>
        <v>12064.634264765966</v>
      </c>
      <c r="G39" s="2">
        <f t="shared" si="5"/>
        <v>-30465.07654770352</v>
      </c>
      <c r="H39" s="2">
        <f t="shared" si="6"/>
        <v>3016.2506148552748</v>
      </c>
      <c r="I39" s="3">
        <f t="shared" si="10"/>
        <v>0.27630173275083025</v>
      </c>
      <c r="J39" s="3">
        <f t="shared" si="11"/>
        <v>7.6342647521111223E-2</v>
      </c>
      <c r="K39" s="3">
        <f t="shared" si="12"/>
        <v>0.58993097658574167</v>
      </c>
      <c r="L39" s="3">
        <f t="shared" si="13"/>
        <v>0.21720943247667432</v>
      </c>
      <c r="M39" s="3">
        <f t="shared" si="14"/>
        <v>-0.54848757468019993</v>
      </c>
      <c r="N39" s="3">
        <f t="shared" si="15"/>
        <v>1.6582343141827355E-2</v>
      </c>
      <c r="O39" s="3">
        <f t="shared" si="16"/>
        <v>-4.1872993583519674E-2</v>
      </c>
      <c r="P39" s="3">
        <f t="shared" si="17"/>
        <v>0.46193608474150233</v>
      </c>
      <c r="Q39" s="3">
        <f t="shared" si="18"/>
        <v>0.17008239741520931</v>
      </c>
      <c r="R39" s="3">
        <f t="shared" si="19"/>
        <v>-0.42948448688608443</v>
      </c>
      <c r="S39" s="3">
        <f t="shared" si="20"/>
        <v>1.2984540515414882E-2</v>
      </c>
      <c r="T39" s="3">
        <f t="shared" si="21"/>
        <v>-3.2787982798129653E-2</v>
      </c>
      <c r="U39" s="3">
        <f t="shared" si="22"/>
        <v>0.32345685568842963</v>
      </c>
      <c r="V39" s="3">
        <f t="shared" si="23"/>
        <v>0.11909508543083248</v>
      </c>
      <c r="W39" s="3">
        <f t="shared" si="24"/>
        <v>-0.3007335999153874</v>
      </c>
      <c r="X39" s="3">
        <f t="shared" si="25"/>
        <v>9.0920341285426736E-3</v>
      </c>
      <c r="Y39" s="3">
        <f t="shared" si="26"/>
        <v>-2.2958799216095307E-2</v>
      </c>
      <c r="Z39" s="3">
        <f t="shared" si="27"/>
        <v>0.17763628470610873</v>
      </c>
      <c r="AA39" s="3">
        <f t="shared" si="28"/>
        <v>6.5404730586597543E-2</v>
      </c>
      <c r="AB39" s="3">
        <f t="shared" si="29"/>
        <v>-0.16515710962923852</v>
      </c>
      <c r="AC39" s="3">
        <f t="shared" si="30"/>
        <v>4.9931702933858589E-3</v>
      </c>
      <c r="AD39" s="3">
        <f t="shared" si="31"/>
        <v>-1.2608531006030481E-2</v>
      </c>
      <c r="AE39" s="3">
        <f t="shared" si="7"/>
        <v>2.7783989918484329E-2</v>
      </c>
      <c r="AF39" s="3">
        <f t="shared" si="32"/>
        <v>1.022991658627455E-2</v>
      </c>
      <c r="AG39" s="3">
        <f t="shared" si="33"/>
        <v>-2.5832129266251044E-2</v>
      </c>
      <c r="AH39" s="3">
        <f t="shared" si="34"/>
        <v>7.8097891611632743E-4</v>
      </c>
      <c r="AI39" s="3">
        <f t="shared" si="35"/>
        <v>-1.9720931392931849E-3</v>
      </c>
      <c r="AJ39" s="3">
        <f t="shared" si="8"/>
        <v>-0.12269890448873196</v>
      </c>
      <c r="AK39" s="3">
        <f t="shared" si="36"/>
        <v>-4.5177080823511524E-2</v>
      </c>
      <c r="AL39" s="3">
        <f t="shared" si="37"/>
        <v>0.11407915029049294</v>
      </c>
      <c r="AM39" s="3">
        <f t="shared" si="38"/>
        <v>-3.4489379573420936E-3</v>
      </c>
      <c r="AN39" s="3">
        <f t="shared" si="39"/>
        <v>8.7091043601349762E-3</v>
      </c>
      <c r="AO39" s="3">
        <f t="shared" si="9"/>
        <v>-0.27039696191891532</v>
      </c>
      <c r="AP39" s="3">
        <f t="shared" si="40"/>
        <v>-9.9558716142935377E-2</v>
      </c>
      <c r="AQ39" s="3">
        <f t="shared" si="41"/>
        <v>0.25140123121208008</v>
      </c>
      <c r="AR39" s="3"/>
      <c r="AS39" s="2"/>
      <c r="AT39" s="2"/>
    </row>
    <row r="40" spans="1:46">
      <c r="A40">
        <f t="shared" si="42"/>
        <v>37</v>
      </c>
      <c r="B40" s="1">
        <f t="shared" si="0"/>
        <v>4.5633210000000002</v>
      </c>
      <c r="C40" s="1">
        <f t="shared" si="1"/>
        <v>28.672191459144059</v>
      </c>
      <c r="D40" s="1">
        <f t="shared" si="2"/>
        <v>-0.38744414769885871</v>
      </c>
      <c r="E40" s="1">
        <f t="shared" si="3"/>
        <v>-0.92189317841814244</v>
      </c>
      <c r="F40" s="2">
        <f t="shared" si="4"/>
        <v>-12695.382387648504</v>
      </c>
      <c r="G40" s="2">
        <f t="shared" si="5"/>
        <v>-30207.673777227272</v>
      </c>
      <c r="H40" s="2">
        <f t="shared" si="6"/>
        <v>-3173.9424579490505</v>
      </c>
      <c r="I40" s="3">
        <f t="shared" si="10"/>
        <v>0.28376680207672184</v>
      </c>
      <c r="J40" s="3">
        <f t="shared" si="11"/>
        <v>8.052359796084943E-2</v>
      </c>
      <c r="K40" s="3">
        <f t="shared" si="12"/>
        <v>-0.12269890448873196</v>
      </c>
      <c r="L40" s="3">
        <f t="shared" si="13"/>
        <v>4.753897247322042E-2</v>
      </c>
      <c r="M40" s="3">
        <f t="shared" si="14"/>
        <v>0.11311528304754119</v>
      </c>
      <c r="N40" s="3">
        <f t="shared" si="15"/>
        <v>3.8280091069054895E-3</v>
      </c>
      <c r="O40" s="3">
        <f t="shared" si="16"/>
        <v>9.1084495753478937E-3</v>
      </c>
      <c r="P40" s="3">
        <f t="shared" si="17"/>
        <v>-0.27442733118752444</v>
      </c>
      <c r="Q40" s="3">
        <f t="shared" si="18"/>
        <v>0.10632526343722283</v>
      </c>
      <c r="R40" s="3">
        <f t="shared" si="19"/>
        <v>0.25299268459327512</v>
      </c>
      <c r="S40" s="3">
        <f t="shared" si="20"/>
        <v>8.5616927661003352E-3</v>
      </c>
      <c r="T40" s="3">
        <f t="shared" si="21"/>
        <v>2.0371881221224873E-2</v>
      </c>
      <c r="U40" s="3">
        <f t="shared" si="22"/>
        <v>-0.41957708145104683</v>
      </c>
      <c r="V40" s="3">
        <f t="shared" si="23"/>
        <v>0.16256268471677546</v>
      </c>
      <c r="W40" s="3">
        <f t="shared" si="24"/>
        <v>0.3868052492103134</v>
      </c>
      <c r="X40" s="3">
        <f t="shared" si="25"/>
        <v>1.309013226756995E-2</v>
      </c>
      <c r="Y40" s="3">
        <f t="shared" si="26"/>
        <v>3.1146950376557448E-2</v>
      </c>
      <c r="Z40" s="3">
        <f t="shared" si="27"/>
        <v>-0.55466857021935045</v>
      </c>
      <c r="AA40" s="3">
        <f t="shared" si="28"/>
        <v>0.21490309144398079</v>
      </c>
      <c r="AB40" s="3">
        <f t="shared" si="29"/>
        <v>0.51134517116816358</v>
      </c>
      <c r="AC40" s="3">
        <f t="shared" si="30"/>
        <v>1.730477013597877E-2</v>
      </c>
      <c r="AD40" s="3">
        <f t="shared" si="31"/>
        <v>4.1175352982366943E-2</v>
      </c>
      <c r="AE40" s="3">
        <f t="shared" si="7"/>
        <v>-0.6764633329053974</v>
      </c>
      <c r="AF40" s="3">
        <f t="shared" si="32"/>
        <v>0.26209175946706104</v>
      </c>
      <c r="AG40" s="3">
        <f t="shared" si="33"/>
        <v>0.6236269320554868</v>
      </c>
      <c r="AH40" s="3">
        <f t="shared" si="34"/>
        <v>2.1104571468177274E-2</v>
      </c>
      <c r="AI40" s="3">
        <f t="shared" si="35"/>
        <v>5.0216684354393984E-2</v>
      </c>
      <c r="AJ40" s="3">
        <f t="shared" si="8"/>
        <v>-0.78204165910077106</v>
      </c>
      <c r="AK40" s="3">
        <f t="shared" si="36"/>
        <v>0.30299746407529965</v>
      </c>
      <c r="AL40" s="3">
        <f t="shared" si="37"/>
        <v>0.72095887076380727</v>
      </c>
      <c r="AM40" s="3">
        <f t="shared" si="38"/>
        <v>2.4398445980356346E-2</v>
      </c>
      <c r="AN40" s="3">
        <f t="shared" si="39"/>
        <v>5.8054202255692813E-2</v>
      </c>
      <c r="AO40" s="3">
        <f t="shared" si="9"/>
        <v>-0.86887258498488718</v>
      </c>
      <c r="AP40" s="3">
        <f t="shared" si="40"/>
        <v>0.3366395981483738</v>
      </c>
      <c r="AQ40" s="3">
        <f t="shared" si="41"/>
        <v>0.80100770901210527</v>
      </c>
      <c r="AR40" s="3"/>
      <c r="AS40" s="2"/>
      <c r="AT40" s="2"/>
    </row>
    <row r="41" spans="1:46">
      <c r="A41">
        <f t="shared" si="42"/>
        <v>38</v>
      </c>
      <c r="B41" s="1">
        <f t="shared" si="0"/>
        <v>4.6866539999999999</v>
      </c>
      <c r="C41" s="1">
        <f t="shared" si="1"/>
        <v>29.447115552634436</v>
      </c>
      <c r="D41" s="1">
        <f t="shared" si="2"/>
        <v>-0.9218323074605872</v>
      </c>
      <c r="E41" s="1">
        <f t="shared" si="3"/>
        <v>-0.38758895356019812</v>
      </c>
      <c r="F41" s="2">
        <f t="shared" si="4"/>
        <v>-30205.679218561061</v>
      </c>
      <c r="G41" s="2">
        <f t="shared" si="5"/>
        <v>-12700.127241307013</v>
      </c>
      <c r="H41" s="2">
        <f t="shared" si="6"/>
        <v>-7551.6502627171303</v>
      </c>
      <c r="I41" s="3">
        <f t="shared" si="10"/>
        <v>0.29121471222725209</v>
      </c>
      <c r="J41" s="3">
        <f t="shared" si="11"/>
        <v>8.480600861760125E-2</v>
      </c>
      <c r="K41" s="3">
        <f t="shared" si="12"/>
        <v>-0.76881828056826318</v>
      </c>
      <c r="L41" s="3">
        <f t="shared" si="13"/>
        <v>0.70872152959412316</v>
      </c>
      <c r="M41" s="3">
        <f t="shared" si="14"/>
        <v>0.29798547284340393</v>
      </c>
      <c r="N41" s="3">
        <f t="shared" si="15"/>
        <v>6.0103844146238754E-2</v>
      </c>
      <c r="O41" s="3">
        <f t="shared" si="16"/>
        <v>2.5270958577877697E-2</v>
      </c>
      <c r="P41" s="3">
        <f t="shared" si="17"/>
        <v>-0.86045661003559826</v>
      </c>
      <c r="Q41" s="3">
        <f t="shared" si="18"/>
        <v>0.79319670229883021</v>
      </c>
      <c r="R41" s="3">
        <f t="shared" si="19"/>
        <v>0.33350347706765299</v>
      </c>
      <c r="S41" s="3">
        <f t="shared" si="20"/>
        <v>6.7267846370607481E-2</v>
      </c>
      <c r="T41" s="3">
        <f t="shared" si="21"/>
        <v>2.8283098750199361E-2</v>
      </c>
      <c r="U41" s="3">
        <f t="shared" si="22"/>
        <v>-0.93034008217300268</v>
      </c>
      <c r="V41" s="3">
        <f t="shared" si="23"/>
        <v>0.85761754467261131</v>
      </c>
      <c r="W41" s="3">
        <f t="shared" si="24"/>
        <v>0.36058953890454282</v>
      </c>
      <c r="X41" s="3">
        <f t="shared" si="25"/>
        <v>7.2731120884111503E-2</v>
      </c>
      <c r="Y41" s="3">
        <f t="shared" si="26"/>
        <v>3.0580159543755522E-2</v>
      </c>
      <c r="Z41" s="3">
        <f t="shared" si="27"/>
        <v>-0.97670183860744952</v>
      </c>
      <c r="AA41" s="3">
        <f t="shared" si="28"/>
        <v>0.90035530958450327</v>
      </c>
      <c r="AB41" s="3">
        <f t="shared" si="29"/>
        <v>0.37855884356618286</v>
      </c>
      <c r="AC41" s="3">
        <f t="shared" si="30"/>
        <v>7.6355540143526426E-2</v>
      </c>
      <c r="AD41" s="3">
        <f t="shared" si="31"/>
        <v>3.2104064549742871E-2</v>
      </c>
      <c r="AE41" s="3">
        <f t="shared" si="7"/>
        <v>-0.99836971866862567</v>
      </c>
      <c r="AF41" s="3">
        <f t="shared" si="32"/>
        <v>0.92032946145907646</v>
      </c>
      <c r="AG41" s="3">
        <f t="shared" si="33"/>
        <v>0.38695707452496203</v>
      </c>
      <c r="AH41" s="3">
        <f t="shared" si="34"/>
        <v>7.8049468239530767E-2</v>
      </c>
      <c r="AI41" s="3">
        <f t="shared" si="35"/>
        <v>3.2816284996805702E-2</v>
      </c>
      <c r="AJ41" s="3">
        <f t="shared" si="8"/>
        <v>-0.99479589503569266</v>
      </c>
      <c r="AK41" s="3">
        <f t="shared" si="36"/>
        <v>0.91703499537307265</v>
      </c>
      <c r="AL41" s="3">
        <f t="shared" si="37"/>
        <v>0.38557189996286478</v>
      </c>
      <c r="AM41" s="3">
        <f t="shared" si="38"/>
        <v>7.7770077720250727E-2</v>
      </c>
      <c r="AN41" s="3">
        <f t="shared" si="39"/>
        <v>3.2698813870955599E-2</v>
      </c>
      <c r="AO41" s="3">
        <f t="shared" si="9"/>
        <v>-0.96607072441269548</v>
      </c>
      <c r="AP41" s="3">
        <f t="shared" si="40"/>
        <v>0.89055520505547614</v>
      </c>
      <c r="AQ41" s="3">
        <f t="shared" si="41"/>
        <v>0.3744383411402592</v>
      </c>
      <c r="AR41" s="3"/>
      <c r="AS41" s="2"/>
      <c r="AT41" s="2"/>
    </row>
    <row r="42" spans="1:46">
      <c r="A42">
        <f t="shared" si="42"/>
        <v>39</v>
      </c>
      <c r="B42" s="1">
        <f t="shared" si="0"/>
        <v>4.8099869999999996</v>
      </c>
      <c r="C42" s="1">
        <f t="shared" si="1"/>
        <v>30.222039646124813</v>
      </c>
      <c r="D42" s="1">
        <f t="shared" si="2"/>
        <v>-0.92980655171870219</v>
      </c>
      <c r="E42" s="1">
        <f t="shared" si="3"/>
        <v>0.36804860600330541</v>
      </c>
      <c r="F42" s="2">
        <f t="shared" si="4"/>
        <v>-30466.971280166716</v>
      </c>
      <c r="G42" s="2">
        <f t="shared" si="5"/>
        <v>12059.848672910308</v>
      </c>
      <c r="H42" s="2">
        <f t="shared" si="6"/>
        <v>-7616.9752716796083</v>
      </c>
      <c r="I42" s="3">
        <f t="shared" si="10"/>
        <v>0.29864501283262651</v>
      </c>
      <c r="J42" s="3">
        <f t="shared" si="11"/>
        <v>8.9188843689799652E-2</v>
      </c>
      <c r="K42" s="3">
        <f t="shared" si="12"/>
        <v>-0.99818990895594528</v>
      </c>
      <c r="L42" s="3">
        <f t="shared" si="13"/>
        <v>0.92812351720673281</v>
      </c>
      <c r="M42" s="3">
        <f t="shared" si="14"/>
        <v>-0.36738240451780202</v>
      </c>
      <c r="N42" s="3">
        <f t="shared" si="15"/>
        <v>8.2778263300978372E-2</v>
      </c>
      <c r="O42" s="3">
        <f t="shared" si="16"/>
        <v>-3.2766411850920989E-2</v>
      </c>
      <c r="P42" s="3">
        <f t="shared" si="17"/>
        <v>-0.97511883733840066</v>
      </c>
      <c r="Q42" s="3">
        <f t="shared" si="18"/>
        <v>0.90667188366156837</v>
      </c>
      <c r="R42" s="3">
        <f t="shared" si="19"/>
        <v>-0.35889112876996226</v>
      </c>
      <c r="S42" s="3">
        <f t="shared" si="20"/>
        <v>8.0865016909827836E-2</v>
      </c>
      <c r="T42" s="3">
        <f t="shared" si="21"/>
        <v>-3.2009084785519927E-2</v>
      </c>
      <c r="U42" s="3">
        <f t="shared" si="22"/>
        <v>-0.92608219251229162</v>
      </c>
      <c r="V42" s="3">
        <f t="shared" si="23"/>
        <v>0.86107729002794919</v>
      </c>
      <c r="W42" s="3">
        <f t="shared" si="24"/>
        <v>-0.34084325999863363</v>
      </c>
      <c r="X42" s="3">
        <f t="shared" si="25"/>
        <v>7.6798487825139039E-2</v>
      </c>
      <c r="Y42" s="3">
        <f t="shared" si="26"/>
        <v>-3.0399416238739881E-2</v>
      </c>
      <c r="Z42" s="3">
        <f t="shared" si="27"/>
        <v>-0.85238572772776722</v>
      </c>
      <c r="AA42" s="3">
        <f t="shared" si="28"/>
        <v>0.7925538342327918</v>
      </c>
      <c r="AB42" s="3">
        <f t="shared" si="29"/>
        <v>-0.31371937886731777</v>
      </c>
      <c r="AC42" s="3">
        <f t="shared" si="30"/>
        <v>7.0686960037139854E-2</v>
      </c>
      <c r="AD42" s="3">
        <f t="shared" si="31"/>
        <v>-2.798026864425824E-2</v>
      </c>
      <c r="AE42" s="3">
        <f t="shared" si="7"/>
        <v>-0.75599184067247238</v>
      </c>
      <c r="AF42" s="3">
        <f t="shared" si="32"/>
        <v>0.7029261665031461</v>
      </c>
      <c r="AG42" s="3">
        <f t="shared" si="33"/>
        <v>-0.27824174310937644</v>
      </c>
      <c r="AH42" s="3">
        <f t="shared" si="34"/>
        <v>6.2693171989719174E-2</v>
      </c>
      <c r="AI42" s="3">
        <f t="shared" si="35"/>
        <v>-2.4816059334159563E-2</v>
      </c>
      <c r="AJ42" s="3">
        <f t="shared" si="8"/>
        <v>-0.63946731852696048</v>
      </c>
      <c r="AK42" s="3">
        <f t="shared" si="36"/>
        <v>0.59458090237635808</v>
      </c>
      <c r="AL42" s="3">
        <f t="shared" si="37"/>
        <v>-0.23535505516851948</v>
      </c>
      <c r="AM42" s="3">
        <f t="shared" si="38"/>
        <v>5.3029983162985031E-2</v>
      </c>
      <c r="AN42" s="3">
        <f t="shared" si="39"/>
        <v>-2.099104522702926E-2</v>
      </c>
      <c r="AO42" s="3">
        <f t="shared" si="9"/>
        <v>-0.5059149892692173</v>
      </c>
      <c r="AP42" s="3">
        <f t="shared" si="40"/>
        <v>0.47040307163521516</v>
      </c>
      <c r="AQ42" s="3">
        <f t="shared" si="41"/>
        <v>-0.18620130655671263</v>
      </c>
      <c r="AR42" s="3"/>
      <c r="AS42" s="2"/>
      <c r="AT42" s="2"/>
    </row>
    <row r="43" spans="1:46">
      <c r="A43">
        <f t="shared" si="42"/>
        <v>40</v>
      </c>
      <c r="B43" s="1">
        <f t="shared" si="0"/>
        <v>4.9333200000000001</v>
      </c>
      <c r="C43" s="1">
        <f t="shared" si="1"/>
        <v>30.996963739615197</v>
      </c>
      <c r="D43" s="1">
        <f t="shared" si="2"/>
        <v>-0.40681317465368622</v>
      </c>
      <c r="E43" s="1">
        <f t="shared" si="3"/>
        <v>0.91351137974750451</v>
      </c>
      <c r="F43" s="2">
        <f t="shared" si="4"/>
        <v>-13330.047293877336</v>
      </c>
      <c r="G43" s="2">
        <f t="shared" si="5"/>
        <v>29933.027380186479</v>
      </c>
      <c r="H43" s="2">
        <f t="shared" si="6"/>
        <v>-3332.6135267629975</v>
      </c>
      <c r="I43" s="3">
        <f t="shared" si="10"/>
        <v>0.3060572545878873</v>
      </c>
      <c r="J43" s="3">
        <f t="shared" si="11"/>
        <v>9.3671043085874858E-2</v>
      </c>
      <c r="K43" s="3">
        <f t="shared" si="12"/>
        <v>-0.68647997510677361</v>
      </c>
      <c r="L43" s="3">
        <f t="shared" si="13"/>
        <v>0.27926909800937005</v>
      </c>
      <c r="M43" s="3">
        <f t="shared" si="14"/>
        <v>-0.62710726922882132</v>
      </c>
      <c r="N43" s="3">
        <f t="shared" si="15"/>
        <v>2.6159427712189116E-2</v>
      </c>
      <c r="O43" s="3">
        <f t="shared" si="16"/>
        <v>-5.8741792035398255E-2</v>
      </c>
      <c r="P43" s="3">
        <f t="shared" si="17"/>
        <v>-0.55560085624761368</v>
      </c>
      <c r="Q43" s="3">
        <f t="shared" si="18"/>
        <v>0.22602574817039808</v>
      </c>
      <c r="R43" s="3">
        <f t="shared" si="19"/>
        <v>-0.5075477047796525</v>
      </c>
      <c r="S43" s="3">
        <f t="shared" si="20"/>
        <v>2.1172067595386458E-2</v>
      </c>
      <c r="T43" s="3">
        <f t="shared" si="21"/>
        <v>-4.7542522922551719E-2</v>
      </c>
      <c r="U43" s="3">
        <f t="shared" si="22"/>
        <v>-0.40916050979948493</v>
      </c>
      <c r="V43" s="3">
        <f t="shared" si="23"/>
        <v>0.16645188593444915</v>
      </c>
      <c r="W43" s="3">
        <f t="shared" si="24"/>
        <v>-0.37377278184511981</v>
      </c>
      <c r="X43" s="3">
        <f t="shared" si="25"/>
        <v>1.5591721779090913E-2</v>
      </c>
      <c r="Y43" s="3">
        <f t="shared" si="26"/>
        <v>-3.5011686352541517E-2</v>
      </c>
      <c r="Z43" s="3">
        <f t="shared" si="27"/>
        <v>-0.25126042612846261</v>
      </c>
      <c r="AA43" s="3">
        <f t="shared" si="28"/>
        <v>0.10221605161815789</v>
      </c>
      <c r="AB43" s="3">
        <f t="shared" si="29"/>
        <v>-0.22952925854855782</v>
      </c>
      <c r="AC43" s="3">
        <f t="shared" si="30"/>
        <v>9.5746841751924751E-3</v>
      </c>
      <c r="AD43" s="3">
        <f t="shared" si="31"/>
        <v>-2.1500245066970868E-2</v>
      </c>
      <c r="AE43" s="3">
        <f t="shared" si="7"/>
        <v>-8.6323059071139574E-2</v>
      </c>
      <c r="AF43" s="3">
        <f t="shared" si="32"/>
        <v>3.5117357706547975E-2</v>
      </c>
      <c r="AG43" s="3">
        <f t="shared" si="33"/>
        <v>-7.8857096796102047E-2</v>
      </c>
      <c r="AH43" s="3">
        <f t="shared" si="34"/>
        <v>3.2894795267921352E-3</v>
      </c>
      <c r="AI43" s="3">
        <f t="shared" si="35"/>
        <v>-7.3866265116146797E-3</v>
      </c>
      <c r="AJ43" s="3">
        <f t="shared" si="8"/>
        <v>8.1032037824576159E-2</v>
      </c>
      <c r="AK43" s="3">
        <f t="shared" si="36"/>
        <v>-3.2964900556073408E-2</v>
      </c>
      <c r="AL43" s="3">
        <f t="shared" si="37"/>
        <v>7.4023688676880542E-2</v>
      </c>
      <c r="AM43" s="3">
        <f t="shared" si="38"/>
        <v>-3.0878566203095324E-3</v>
      </c>
      <c r="AN43" s="3">
        <f t="shared" si="39"/>
        <v>6.9338761314274638E-3</v>
      </c>
      <c r="AO43" s="3">
        <f t="shared" si="9"/>
        <v>0.24611759541269473</v>
      </c>
      <c r="AP43" s="3">
        <f t="shared" si="40"/>
        <v>-0.10012388032796986</v>
      </c>
      <c r="AQ43" s="3">
        <f t="shared" si="41"/>
        <v>0.22483122416558884</v>
      </c>
      <c r="AR43" s="3"/>
      <c r="AS43" s="2"/>
      <c r="AT43" s="2"/>
    </row>
    <row r="44" spans="1:46">
      <c r="A44">
        <f t="shared" si="42"/>
        <v>41</v>
      </c>
      <c r="B44" s="1">
        <f t="shared" si="0"/>
        <v>5.0566529999999998</v>
      </c>
      <c r="C44" s="1">
        <f t="shared" si="1"/>
        <v>31.771887833105577</v>
      </c>
      <c r="D44" s="1">
        <f t="shared" si="2"/>
        <v>0.34849156144563986</v>
      </c>
      <c r="E44" s="1">
        <f t="shared" si="3"/>
        <v>0.93731191798737934</v>
      </c>
      <c r="F44" s="2">
        <f t="shared" si="4"/>
        <v>11419.022993889281</v>
      </c>
      <c r="G44" s="2">
        <f t="shared" si="5"/>
        <v>30712.899616692459</v>
      </c>
      <c r="H44" s="2">
        <f t="shared" si="6"/>
        <v>2854.8428713626818</v>
      </c>
      <c r="I44" s="3">
        <f t="shared" si="10"/>
        <v>0.31345098928008208</v>
      </c>
      <c r="J44" s="3">
        <f t="shared" si="11"/>
        <v>9.8251522680662132E-2</v>
      </c>
      <c r="K44" s="3">
        <f t="shared" si="12"/>
        <v>-2.6548214557946198E-3</v>
      </c>
      <c r="L44" s="3">
        <f t="shared" si="13"/>
        <v>-9.2518287448925388E-4</v>
      </c>
      <c r="M44" s="3">
        <f t="shared" si="14"/>
        <v>-2.4883957906449016E-3</v>
      </c>
      <c r="N44" s="3">
        <f t="shared" si="15"/>
        <v>-9.0900626176641097E-5</v>
      </c>
      <c r="O44" s="3">
        <f t="shared" si="16"/>
        <v>-2.444886754630117E-4</v>
      </c>
      <c r="P44" s="3">
        <f t="shared" si="17"/>
        <v>0.16828103394792676</v>
      </c>
      <c r="Q44" s="3">
        <f t="shared" si="18"/>
        <v>5.8644520282199727E-2</v>
      </c>
      <c r="R44" s="3">
        <f t="shared" si="19"/>
        <v>0.15773181869063052</v>
      </c>
      <c r="S44" s="3">
        <f t="shared" si="20"/>
        <v>5.7619134146030971E-3</v>
      </c>
      <c r="T44" s="3">
        <f t="shared" si="21"/>
        <v>1.5497391361544575E-2</v>
      </c>
      <c r="U44" s="3">
        <f t="shared" si="22"/>
        <v>0.3342656674570379</v>
      </c>
      <c r="V44" s="3">
        <f t="shared" si="23"/>
        <v>0.11648876438977214</v>
      </c>
      <c r="W44" s="3">
        <f t="shared" si="24"/>
        <v>0.3133111938814877</v>
      </c>
      <c r="X44" s="3">
        <f t="shared" si="25"/>
        <v>1.1445198476484007E-2</v>
      </c>
      <c r="Y44" s="3">
        <f t="shared" si="26"/>
        <v>3.0783301871752326E-2</v>
      </c>
      <c r="Z44" s="3">
        <f t="shared" si="27"/>
        <v>0.49041542265273907</v>
      </c>
      <c r="AA44" s="3">
        <f t="shared" si="28"/>
        <v>0.17090563639727646</v>
      </c>
      <c r="AB44" s="3">
        <f t="shared" si="29"/>
        <v>0.45967222041723016</v>
      </c>
      <c r="AC44" s="3">
        <f t="shared" si="30"/>
        <v>1.6791739010740003E-2</v>
      </c>
      <c r="AD44" s="3">
        <f t="shared" si="31"/>
        <v>4.5163495589993809E-2</v>
      </c>
      <c r="AE44" s="3">
        <f t="shared" si="7"/>
        <v>0.6321360082555848</v>
      </c>
      <c r="AF44" s="3">
        <f t="shared" si="32"/>
        <v>0.22029406456300263</v>
      </c>
      <c r="AG44" s="3">
        <f t="shared" si="33"/>
        <v>0.59250861432692803</v>
      </c>
      <c r="AH44" s="3">
        <f t="shared" si="34"/>
        <v>2.16442272808271E-2</v>
      </c>
      <c r="AI44" s="3">
        <f t="shared" si="35"/>
        <v>5.8214873559029864E-2</v>
      </c>
      <c r="AJ44" s="3">
        <f t="shared" si="8"/>
        <v>0.75525767292821855</v>
      </c>
      <c r="AK44" s="3">
        <f t="shared" si="36"/>
        <v>0.26320092573255527</v>
      </c>
      <c r="AL44" s="3">
        <f t="shared" si="37"/>
        <v>0.7079120179870334</v>
      </c>
      <c r="AM44" s="3">
        <f t="shared" si="38"/>
        <v>2.5859891724183424E-2</v>
      </c>
      <c r="AN44" s="3">
        <f t="shared" si="39"/>
        <v>6.9553433691166316E-2</v>
      </c>
      <c r="AO44" s="3">
        <f t="shared" si="9"/>
        <v>0.85615788911940216</v>
      </c>
      <c r="AP44" s="3">
        <f t="shared" si="40"/>
        <v>0.29836379962322346</v>
      </c>
      <c r="AQ44" s="3">
        <f t="shared" si="41"/>
        <v>0.80248699315053285</v>
      </c>
      <c r="AR44" s="3"/>
      <c r="AS44" s="2"/>
      <c r="AT44" s="2"/>
    </row>
    <row r="45" spans="1:46">
      <c r="A45">
        <f t="shared" si="42"/>
        <v>42</v>
      </c>
      <c r="B45" s="1">
        <f t="shared" si="0"/>
        <v>5.1799859999999995</v>
      </c>
      <c r="C45" s="1">
        <f t="shared" si="1"/>
        <v>32.54681192659595</v>
      </c>
      <c r="D45" s="1">
        <f t="shared" si="2"/>
        <v>0.90478959546274884</v>
      </c>
      <c r="E45" s="1">
        <f t="shared" si="3"/>
        <v>0.42585888266226785</v>
      </c>
      <c r="F45" s="2">
        <f t="shared" si="4"/>
        <v>29647.240674527889</v>
      </c>
      <c r="G45" s="2">
        <f t="shared" si="5"/>
        <v>13954.118008194531</v>
      </c>
      <c r="H45" s="2">
        <f t="shared" si="6"/>
        <v>7412.0363660308385</v>
      </c>
      <c r="I45" s="3">
        <f t="shared" si="10"/>
        <v>0.32082576981536765</v>
      </c>
      <c r="J45" s="3">
        <f t="shared" si="11"/>
        <v>0.10292917457762327</v>
      </c>
      <c r="K45" s="3">
        <f t="shared" si="12"/>
        <v>0.68260941200141456</v>
      </c>
      <c r="L45" s="3">
        <f t="shared" si="13"/>
        <v>0.6176178937438247</v>
      </c>
      <c r="M45" s="3">
        <f t="shared" si="14"/>
        <v>0.29069528148967005</v>
      </c>
      <c r="N45" s="3">
        <f t="shared" si="15"/>
        <v>6.3570900007422118E-2</v>
      </c>
      <c r="O45" s="3">
        <f t="shared" si="16"/>
        <v>2.9921025377341589E-2</v>
      </c>
      <c r="P45" s="3">
        <f t="shared" si="17"/>
        <v>0.7999768291354491</v>
      </c>
      <c r="Q45" s="3">
        <f t="shared" si="18"/>
        <v>0.72381071161303556</v>
      </c>
      <c r="R45" s="3">
        <f t="shared" si="19"/>
        <v>0.34067723861132632</v>
      </c>
      <c r="S45" s="3">
        <f t="shared" si="20"/>
        <v>7.4501239096771851E-2</v>
      </c>
      <c r="T45" s="3">
        <f t="shared" si="21"/>
        <v>3.5065626967647819E-2</v>
      </c>
      <c r="U45" s="3">
        <f t="shared" si="22"/>
        <v>0.89264789683164425</v>
      </c>
      <c r="V45" s="3">
        <f t="shared" si="23"/>
        <v>0.80765852946497696</v>
      </c>
      <c r="W45" s="3">
        <f t="shared" si="24"/>
        <v>0.38014203595554735</v>
      </c>
      <c r="X45" s="3">
        <f t="shared" si="25"/>
        <v>8.3131625778407089E-2</v>
      </c>
      <c r="Y45" s="3">
        <f t="shared" si="26"/>
        <v>3.9127705983161676E-2</v>
      </c>
      <c r="Z45" s="3">
        <f t="shared" si="27"/>
        <v>0.95776173589043501</v>
      </c>
      <c r="AA45" s="3">
        <f t="shared" si="28"/>
        <v>0.86657285356600677</v>
      </c>
      <c r="AB45" s="3">
        <f t="shared" si="29"/>
        <v>0.4078713427029747</v>
      </c>
      <c r="AC45" s="3">
        <f t="shared" si="30"/>
        <v>8.9195628528924667E-2</v>
      </c>
      <c r="AD45" s="3">
        <f t="shared" si="31"/>
        <v>4.1981860638284088E-2</v>
      </c>
      <c r="AE45" s="3">
        <f t="shared" si="7"/>
        <v>0.99330819543735938</v>
      </c>
      <c r="AF45" s="3">
        <f t="shared" si="32"/>
        <v>0.89873492031960145</v>
      </c>
      <c r="AG45" s="3">
        <f t="shared" si="33"/>
        <v>0.42300911824822746</v>
      </c>
      <c r="AH45" s="3">
        <f t="shared" si="34"/>
        <v>9.2506043512582597E-2</v>
      </c>
      <c r="AI45" s="3">
        <f t="shared" si="35"/>
        <v>4.3539979380098286E-2</v>
      </c>
      <c r="AJ45" s="3">
        <f t="shared" si="8"/>
        <v>0.99818990895594506</v>
      </c>
      <c r="AK45" s="3">
        <f t="shared" si="36"/>
        <v>0.90315184391924763</v>
      </c>
      <c r="AL45" s="3">
        <f t="shared" si="37"/>
        <v>0.42508803931272965</v>
      </c>
      <c r="AM45" s="3">
        <f t="shared" si="38"/>
        <v>9.2960673812866601E-2</v>
      </c>
      <c r="AN45" s="3">
        <f t="shared" si="39"/>
        <v>4.3753961009279529E-2</v>
      </c>
      <c r="AO45" s="3">
        <f t="shared" si="9"/>
        <v>0.9722561714525958</v>
      </c>
      <c r="AP45" s="3">
        <f t="shared" si="40"/>
        <v>0.87968726805475517</v>
      </c>
      <c r="AQ45" s="3">
        <f t="shared" si="41"/>
        <v>0.41404392683629676</v>
      </c>
      <c r="AR45" s="3"/>
      <c r="AS45" s="2"/>
      <c r="AT45" s="2"/>
    </row>
    <row r="46" spans="1:46">
      <c r="A46">
        <f t="shared" si="42"/>
        <v>43</v>
      </c>
      <c r="B46" s="1">
        <f t="shared" si="0"/>
        <v>5.3033190000000001</v>
      </c>
      <c r="C46" s="1">
        <f t="shared" si="1"/>
        <v>33.321736020086334</v>
      </c>
      <c r="D46" s="1">
        <f t="shared" si="2"/>
        <v>0.94440598380555607</v>
      </c>
      <c r="E46" s="1">
        <f t="shared" si="3"/>
        <v>-0.32878159582351896</v>
      </c>
      <c r="F46" s="2">
        <f t="shared" si="4"/>
        <v>30945.350871356655</v>
      </c>
      <c r="G46" s="2">
        <f t="shared" si="5"/>
        <v>-10773.186550349246</v>
      </c>
      <c r="H46" s="2">
        <f t="shared" si="6"/>
        <v>7736.5738193351153</v>
      </c>
      <c r="I46" s="3">
        <f t="shared" si="10"/>
        <v>0.32818115024604477</v>
      </c>
      <c r="J46" s="3">
        <f t="shared" si="11"/>
        <v>0.10770286737681702</v>
      </c>
      <c r="K46" s="3">
        <f t="shared" si="12"/>
        <v>0.99785651371901152</v>
      </c>
      <c r="L46" s="3">
        <f t="shared" si="13"/>
        <v>0.94238166253558542</v>
      </c>
      <c r="M46" s="3">
        <f t="shared" si="14"/>
        <v>-0.32807685698342975</v>
      </c>
      <c r="N46" s="3">
        <f t="shared" si="15"/>
        <v>0.10149720721841449</v>
      </c>
      <c r="O46" s="3">
        <f t="shared" si="16"/>
        <v>-3.5334818217089295E-2</v>
      </c>
      <c r="P46" s="3">
        <f t="shared" si="17"/>
        <v>0.99343702376373832</v>
      </c>
      <c r="Q46" s="3">
        <f t="shared" si="18"/>
        <v>0.93820786977645687</v>
      </c>
      <c r="R46" s="3">
        <f t="shared" si="19"/>
        <v>-0.326623810023209</v>
      </c>
      <c r="S46" s="3">
        <f t="shared" si="20"/>
        <v>0.10104767777041974</v>
      </c>
      <c r="T46" s="3">
        <f t="shared" si="21"/>
        <v>-3.5178320893040356E-2</v>
      </c>
      <c r="U46" s="3">
        <f t="shared" si="22"/>
        <v>0.9568750065529662</v>
      </c>
      <c r="V46" s="3">
        <f t="shared" si="23"/>
        <v>0.90367848194260192</v>
      </c>
      <c r="W46" s="3">
        <f t="shared" si="24"/>
        <v>-0.31460289165812438</v>
      </c>
      <c r="X46" s="3">
        <f t="shared" si="25"/>
        <v>9.7328763691947387E-2</v>
      </c>
      <c r="Y46" s="3">
        <f t="shared" si="26"/>
        <v>-3.3883633516618106E-2</v>
      </c>
      <c r="Z46" s="3">
        <f t="shared" si="27"/>
        <v>0.88935342145563478</v>
      </c>
      <c r="AA46" s="3">
        <f t="shared" si="28"/>
        <v>0.83991069294064613</v>
      </c>
      <c r="AB46" s="3">
        <f t="shared" si="29"/>
        <v>-0.29240303715729021</v>
      </c>
      <c r="AC46" s="3">
        <f t="shared" si="30"/>
        <v>9.0460789970156899E-2</v>
      </c>
      <c r="AD46" s="3">
        <f t="shared" si="31"/>
        <v>-3.1492645531530132E-2</v>
      </c>
      <c r="AE46" s="3">
        <f t="shared" si="7"/>
        <v>0.79305692068161193</v>
      </c>
      <c r="AF46" s="3">
        <f t="shared" si="32"/>
        <v>0.74896770139012259</v>
      </c>
      <c r="AG46" s="3">
        <f t="shared" si="33"/>
        <v>-0.26074251996058628</v>
      </c>
      <c r="AH46" s="3">
        <f t="shared" si="34"/>
        <v>8.0665969012339855E-2</v>
      </c>
      <c r="AI46" s="3">
        <f t="shared" si="35"/>
        <v>-2.8082717046812086E-2</v>
      </c>
      <c r="AJ46" s="3">
        <f t="shared" si="8"/>
        <v>0.67110116514013562</v>
      </c>
      <c r="AK46" s="3">
        <f t="shared" si="36"/>
        <v>0.63379195609722472</v>
      </c>
      <c r="AL46" s="3">
        <f t="shared" si="37"/>
        <v>-0.22064571203379671</v>
      </c>
      <c r="AM46" s="3">
        <f t="shared" si="38"/>
        <v>6.8261210992032834E-2</v>
      </c>
      <c r="AN46" s="3">
        <f t="shared" si="39"/>
        <v>-2.3764175860439368E-2</v>
      </c>
      <c r="AO46" s="3">
        <f t="shared" si="9"/>
        <v>0.52743201763146186</v>
      </c>
      <c r="AP46" s="3">
        <f t="shared" si="40"/>
        <v>0.49810995350179016</v>
      </c>
      <c r="AQ46" s="3">
        <f t="shared" si="41"/>
        <v>-0.17340994044529043</v>
      </c>
      <c r="AR46" s="3"/>
      <c r="AS46" s="2"/>
      <c r="AT46" s="2"/>
    </row>
    <row r="47" spans="1:46">
      <c r="A47">
        <f t="shared" si="42"/>
        <v>44</v>
      </c>
      <c r="B47" s="1">
        <f t="shared" si="0"/>
        <v>5.4266519999999998</v>
      </c>
      <c r="C47" s="1">
        <f t="shared" si="1"/>
        <v>34.096660113576718</v>
      </c>
      <c r="D47" s="1">
        <f t="shared" si="2"/>
        <v>0.44471772016708178</v>
      </c>
      <c r="E47" s="1">
        <f t="shared" si="3"/>
        <v>-0.89567078179953663</v>
      </c>
      <c r="F47" s="2">
        <f t="shared" si="4"/>
        <v>14572.065536714768</v>
      </c>
      <c r="G47" s="2">
        <f t="shared" si="5"/>
        <v>-29348.444507225417</v>
      </c>
      <c r="H47" s="2">
        <f t="shared" si="6"/>
        <v>3643.1275636087339</v>
      </c>
      <c r="I47" s="3">
        <f t="shared" si="10"/>
        <v>0.33551668579752492</v>
      </c>
      <c r="J47" s="3">
        <f t="shared" si="11"/>
        <v>0.11257144644855506</v>
      </c>
      <c r="K47" s="3">
        <f t="shared" si="12"/>
        <v>0.77220277433710693</v>
      </c>
      <c r="L47" s="3">
        <f t="shared" si="13"/>
        <v>0.34341225730989372</v>
      </c>
      <c r="M47" s="3">
        <f t="shared" si="14"/>
        <v>-0.69163946259828768</v>
      </c>
      <c r="N47" s="3">
        <f t="shared" si="15"/>
        <v>3.8658414533538112E-2</v>
      </c>
      <c r="O47" s="3">
        <f t="shared" si="16"/>
        <v>-7.7858854725590551E-2</v>
      </c>
      <c r="P47" s="3">
        <f t="shared" si="17"/>
        <v>0.64268211756543958</v>
      </c>
      <c r="Q47" s="3">
        <f t="shared" si="18"/>
        <v>0.28581212611585471</v>
      </c>
      <c r="R47" s="3">
        <f t="shared" si="19"/>
        <v>-0.57563159468841896</v>
      </c>
      <c r="S47" s="3">
        <f t="shared" si="20"/>
        <v>3.2174284449398599E-2</v>
      </c>
      <c r="T47" s="3">
        <f t="shared" si="21"/>
        <v>-6.4799681235563705E-2</v>
      </c>
      <c r="U47" s="3">
        <f t="shared" si="22"/>
        <v>0.49139193039390711</v>
      </c>
      <c r="V47" s="3">
        <f t="shared" si="23"/>
        <v>0.2185306989932797</v>
      </c>
      <c r="W47" s="3">
        <f t="shared" si="24"/>
        <v>-0.44012539446589427</v>
      </c>
      <c r="X47" s="3">
        <f t="shared" si="25"/>
        <v>2.4600316879087293E-2</v>
      </c>
      <c r="Y47" s="3">
        <f t="shared" si="26"/>
        <v>-4.9545552273766585E-2</v>
      </c>
      <c r="Z47" s="3">
        <f t="shared" si="27"/>
        <v>0.32345685568842647</v>
      </c>
      <c r="AA47" s="3">
        <f t="shared" si="28"/>
        <v>0.14384699543416979</v>
      </c>
      <c r="AB47" s="3">
        <f t="shared" si="29"/>
        <v>-0.28971085481287284</v>
      </c>
      <c r="AC47" s="3">
        <f t="shared" si="30"/>
        <v>1.6193064343303188E-2</v>
      </c>
      <c r="AD47" s="3">
        <f t="shared" si="31"/>
        <v>-3.2613169978132427E-2</v>
      </c>
      <c r="AE47" s="3">
        <f t="shared" si="7"/>
        <v>0.14456534752930919</v>
      </c>
      <c r="AF47" s="3">
        <f t="shared" si="32"/>
        <v>6.4290771768396246E-2</v>
      </c>
      <c r="AG47" s="3">
        <f t="shared" si="33"/>
        <v>-0.12948295784269809</v>
      </c>
      <c r="AH47" s="3">
        <f t="shared" si="34"/>
        <v>7.2373051712622937E-3</v>
      </c>
      <c r="AI47" s="3">
        <f t="shared" si="35"/>
        <v>-1.4576083854789798E-2</v>
      </c>
      <c r="AJ47" s="3">
        <f t="shared" si="8"/>
        <v>-3.9223013431208126E-2</v>
      </c>
      <c r="AK47" s="3">
        <f t="shared" si="36"/>
        <v>-1.7443169111209706E-2</v>
      </c>
      <c r="AL47" s="3">
        <f t="shared" si="37"/>
        <v>3.5130907104463906E-2</v>
      </c>
      <c r="AM47" s="3">
        <f t="shared" si="38"/>
        <v>-1.963602777495633E-3</v>
      </c>
      <c r="AN47" s="3">
        <f t="shared" si="39"/>
        <v>3.9547370277993217E-3</v>
      </c>
      <c r="AO47" s="3">
        <f t="shared" si="9"/>
        <v>-0.2216827757580746</v>
      </c>
      <c r="AP47" s="3">
        <f t="shared" si="40"/>
        <v>-9.8586258635441362E-2</v>
      </c>
      <c r="AQ47" s="3">
        <f t="shared" si="41"/>
        <v>0.19855478507472604</v>
      </c>
      <c r="AR47" s="3"/>
      <c r="AS47" s="2"/>
      <c r="AT47" s="2"/>
    </row>
    <row r="48" spans="1:46">
      <c r="A48">
        <f t="shared" si="42"/>
        <v>45</v>
      </c>
      <c r="B48" s="1">
        <f t="shared" si="0"/>
        <v>5.5499849999999995</v>
      </c>
      <c r="C48" s="1">
        <f t="shared" si="1"/>
        <v>34.871584207067094</v>
      </c>
      <c r="D48" s="1">
        <f t="shared" si="2"/>
        <v>-0.30892735803769128</v>
      </c>
      <c r="E48" s="1">
        <f t="shared" si="3"/>
        <v>-0.95108563623674403</v>
      </c>
      <c r="F48" s="2">
        <f t="shared" si="4"/>
        <v>-10122.622740821031</v>
      </c>
      <c r="G48" s="2">
        <f t="shared" si="5"/>
        <v>-31164.223042569392</v>
      </c>
      <c r="H48" s="2">
        <f t="shared" si="6"/>
        <v>-2530.732917044767</v>
      </c>
      <c r="I48" s="3">
        <f t="shared" si="10"/>
        <v>0.34283193289522518</v>
      </c>
      <c r="J48" s="3">
        <f t="shared" si="11"/>
        <v>0.11753373421267618</v>
      </c>
      <c r="K48" s="3">
        <f t="shared" si="12"/>
        <v>0.12796667928004632</v>
      </c>
      <c r="L48" s="3">
        <f t="shared" si="13"/>
        <v>-3.953240814684128E-2</v>
      </c>
      <c r="M48" s="3">
        <f t="shared" si="14"/>
        <v>-0.12170727058016623</v>
      </c>
      <c r="N48" s="3">
        <f t="shared" si="15"/>
        <v>-4.6463915519178774E-3</v>
      </c>
      <c r="O48" s="3">
        <f t="shared" si="16"/>
        <v>-1.4304709992119521E-2</v>
      </c>
      <c r="P48" s="3">
        <f t="shared" si="17"/>
        <v>-6.0140715480624503E-2</v>
      </c>
      <c r="Q48" s="3">
        <f t="shared" si="18"/>
        <v>1.857911234392581E-2</v>
      </c>
      <c r="R48" s="3">
        <f t="shared" si="19"/>
        <v>5.7198970646622757E-2</v>
      </c>
      <c r="S48" s="3">
        <f t="shared" si="20"/>
        <v>2.1836724521384272E-3</v>
      </c>
      <c r="T48" s="3">
        <f t="shared" si="21"/>
        <v>6.7228086132188258E-3</v>
      </c>
      <c r="U48" s="3">
        <f t="shared" si="22"/>
        <v>-0.24611759541269115</v>
      </c>
      <c r="V48" s="3">
        <f t="shared" si="23"/>
        <v>7.6032458517432081E-2</v>
      </c>
      <c r="W48" s="3">
        <f t="shared" si="24"/>
        <v>0.23407890982213692</v>
      </c>
      <c r="X48" s="3">
        <f t="shared" si="25"/>
        <v>8.9363787709241891E-3</v>
      </c>
      <c r="Y48" s="3">
        <f t="shared" si="26"/>
        <v>2.7512168371828037E-2</v>
      </c>
      <c r="Z48" s="3">
        <f t="shared" si="27"/>
        <v>-0.42337563682715151</v>
      </c>
      <c r="AA48" s="3">
        <f t="shared" si="28"/>
        <v>0.13079231694253698</v>
      </c>
      <c r="AB48" s="3">
        <f t="shared" si="29"/>
        <v>0.40266648691888807</v>
      </c>
      <c r="AC48" s="3">
        <f t="shared" si="30"/>
        <v>1.5372509416584246E-2</v>
      </c>
      <c r="AD48" s="3">
        <f t="shared" si="31"/>
        <v>4.7326895849876642E-2</v>
      </c>
      <c r="AE48" s="3">
        <f t="shared" si="7"/>
        <v>-0.58563538523620351</v>
      </c>
      <c r="AF48" s="3">
        <f t="shared" si="32"/>
        <v>0.18091879233440591</v>
      </c>
      <c r="AG48" s="3">
        <f t="shared" si="33"/>
        <v>0.55698940297012534</v>
      </c>
      <c r="AH48" s="3">
        <f t="shared" si="34"/>
        <v>2.126406125231042E-2</v>
      </c>
      <c r="AI48" s="3">
        <f t="shared" si="35"/>
        <v>6.5465044447967899E-2</v>
      </c>
      <c r="AJ48" s="3">
        <f t="shared" si="8"/>
        <v>-0.72714870815906807</v>
      </c>
      <c r="AK48" s="3">
        <f t="shared" si="36"/>
        <v>0.22463612931210111</v>
      </c>
      <c r="AL48" s="3">
        <f t="shared" si="37"/>
        <v>0.69158069173819381</v>
      </c>
      <c r="AM48" s="3">
        <f t="shared" si="38"/>
        <v>2.640232311713285E-2</v>
      </c>
      <c r="AN48" s="3">
        <f t="shared" si="39"/>
        <v>8.1284061209375605E-2</v>
      </c>
      <c r="AO48" s="3">
        <f t="shared" si="9"/>
        <v>-0.84290242558077288</v>
      </c>
      <c r="AP48" s="3">
        <f t="shared" si="40"/>
        <v>0.26039561941822986</v>
      </c>
      <c r="AQ48" s="3">
        <f t="shared" si="41"/>
        <v>0.80167238971898414</v>
      </c>
      <c r="AR48" s="3"/>
      <c r="AS48" s="2"/>
      <c r="AT48" s="2"/>
    </row>
    <row r="49" spans="1:46">
      <c r="A49">
        <f t="shared" si="42"/>
        <v>46</v>
      </c>
      <c r="B49" s="1">
        <f t="shared" si="0"/>
        <v>5.6733180000000001</v>
      </c>
      <c r="C49" s="1">
        <f t="shared" si="1"/>
        <v>35.646508300557478</v>
      </c>
      <c r="D49" s="1">
        <f t="shared" si="2"/>
        <v>-0.88615894017093755</v>
      </c>
      <c r="E49" s="1">
        <f t="shared" si="3"/>
        <v>-0.46338141174967368</v>
      </c>
      <c r="F49" s="2">
        <f t="shared" si="4"/>
        <v>-29036.76999258111</v>
      </c>
      <c r="G49" s="2">
        <f t="shared" si="5"/>
        <v>-15183.618718801557</v>
      </c>
      <c r="H49" s="2">
        <f t="shared" si="6"/>
        <v>-7259.4140378803204</v>
      </c>
      <c r="I49" s="3">
        <f t="shared" si="10"/>
        <v>0.35012644919139069</v>
      </c>
      <c r="J49" s="3">
        <f t="shared" si="11"/>
        <v>0.12258853042337148</v>
      </c>
      <c r="K49" s="3">
        <f t="shared" si="12"/>
        <v>-0.58563538523620351</v>
      </c>
      <c r="L49" s="3">
        <f t="shared" si="13"/>
        <v>0.51896603230751281</v>
      </c>
      <c r="M49" s="3">
        <f t="shared" si="14"/>
        <v>0.27137255158131596</v>
      </c>
      <c r="N49" s="3">
        <f t="shared" si="15"/>
        <v>6.3619283240225921E-2</v>
      </c>
      <c r="O49" s="3">
        <f t="shared" si="16"/>
        <v>3.3267162295594101E-2</v>
      </c>
      <c r="P49" s="3">
        <f t="shared" si="17"/>
        <v>-0.73001784109264645</v>
      </c>
      <c r="Q49" s="3">
        <f t="shared" si="18"/>
        <v>0.64691183636853544</v>
      </c>
      <c r="R49" s="3">
        <f t="shared" si="19"/>
        <v>0.33827669780795944</v>
      </c>
      <c r="S49" s="3">
        <f t="shared" si="20"/>
        <v>7.9303971333903323E-2</v>
      </c>
      <c r="T49" s="3">
        <f t="shared" si="21"/>
        <v>4.1468843260748678E-2</v>
      </c>
      <c r="U49" s="3">
        <f t="shared" si="22"/>
        <v>-0.84738048887790363</v>
      </c>
      <c r="V49" s="3">
        <f t="shared" si="23"/>
        <v>0.75091379594557406</v>
      </c>
      <c r="W49" s="3">
        <f t="shared" si="24"/>
        <v>0.39266036722537162</v>
      </c>
      <c r="X49" s="3">
        <f t="shared" si="25"/>
        <v>9.2053418719603361E-2</v>
      </c>
      <c r="Y49" s="3">
        <f t="shared" si="26"/>
        <v>4.8135657373659685E-2</v>
      </c>
      <c r="Z49" s="3">
        <f t="shared" si="27"/>
        <v>-0.93337943993695627</v>
      </c>
      <c r="AA49" s="3">
        <f t="shared" si="28"/>
        <v>0.8271225352718764</v>
      </c>
      <c r="AB49" s="3">
        <f t="shared" si="29"/>
        <v>0.43251068257610653</v>
      </c>
      <c r="AC49" s="3">
        <f t="shared" si="30"/>
        <v>0.10139573607903257</v>
      </c>
      <c r="AD49" s="3">
        <f t="shared" si="31"/>
        <v>5.3020848969414197E-2</v>
      </c>
      <c r="AE49" s="3">
        <f t="shared" si="7"/>
        <v>-0.98483165541631412</v>
      </c>
      <c r="AF49" s="3">
        <f t="shared" si="32"/>
        <v>0.87271737601051091</v>
      </c>
      <c r="AG49" s="3">
        <f t="shared" si="33"/>
        <v>0.45635268282257979</v>
      </c>
      <c r="AH49" s="3">
        <f t="shared" si="34"/>
        <v>0.10698514060006943</v>
      </c>
      <c r="AI49" s="3">
        <f t="shared" si="35"/>
        <v>5.5943604741983018E-2</v>
      </c>
      <c r="AJ49" s="3">
        <f t="shared" si="8"/>
        <v>-0.99983275858867882</v>
      </c>
      <c r="AK49" s="3">
        <f t="shared" si="36"/>
        <v>0.88601073769912853</v>
      </c>
      <c r="AL49" s="3">
        <f t="shared" si="37"/>
        <v>0.46330391518839265</v>
      </c>
      <c r="AM49" s="3">
        <f t="shared" si="38"/>
        <v>0.10861475427386341</v>
      </c>
      <c r="AN49" s="3">
        <f t="shared" si="39"/>
        <v>5.6795746102339388E-2</v>
      </c>
      <c r="AO49" s="3">
        <f t="shared" si="9"/>
        <v>-0.97782752065585443</v>
      </c>
      <c r="AP49" s="3">
        <f t="shared" si="40"/>
        <v>0.86651059937436747</v>
      </c>
      <c r="AQ49" s="3">
        <f t="shared" si="41"/>
        <v>0.45310709696919305</v>
      </c>
      <c r="AR49" s="3"/>
      <c r="AS49" s="2"/>
      <c r="AT49" s="2"/>
    </row>
    <row r="50" spans="1:46">
      <c r="A50">
        <f t="shared" si="42"/>
        <v>47</v>
      </c>
      <c r="B50" s="1">
        <f t="shared" si="0"/>
        <v>5.7966509999999998</v>
      </c>
      <c r="C50" s="1">
        <f t="shared" si="1"/>
        <v>36.421432394047855</v>
      </c>
      <c r="D50" s="1">
        <f t="shared" si="2"/>
        <v>-0.95734794419258262</v>
      </c>
      <c r="E50" s="1">
        <f t="shared" si="3"/>
        <v>0.288937560296746</v>
      </c>
      <c r="F50" s="2">
        <f t="shared" si="4"/>
        <v>-31369.420087358354</v>
      </c>
      <c r="G50" s="2">
        <f t="shared" si="5"/>
        <v>9467.6170382434757</v>
      </c>
      <c r="H50" s="2">
        <f t="shared" si="6"/>
        <v>-7842.5943588256368</v>
      </c>
      <c r="I50" s="3">
        <f t="shared" si="10"/>
        <v>0.3573997935918436</v>
      </c>
      <c r="J50" s="3">
        <f t="shared" si="11"/>
        <v>0.12773461245949241</v>
      </c>
      <c r="K50" s="3">
        <f t="shared" si="12"/>
        <v>-0.98178632517014086</v>
      </c>
      <c r="L50" s="3">
        <f t="shared" si="13"/>
        <v>0.93991112003802479</v>
      </c>
      <c r="M50" s="3">
        <f t="shared" si="14"/>
        <v>-0.28367494552736827</v>
      </c>
      <c r="N50" s="3">
        <f t="shared" si="15"/>
        <v>0.12005918266442456</v>
      </c>
      <c r="O50" s="3">
        <f t="shared" si="16"/>
        <v>-3.6235109231406007E-2</v>
      </c>
      <c r="P50" s="3">
        <f t="shared" si="17"/>
        <v>-0.99998362507751515</v>
      </c>
      <c r="Q50" s="3">
        <f t="shared" si="18"/>
        <v>0.95733226769420543</v>
      </c>
      <c r="R50" s="3">
        <f t="shared" si="19"/>
        <v>-0.28893282896659317</v>
      </c>
      <c r="S50" s="3">
        <f t="shared" si="20"/>
        <v>0.12228446620888639</v>
      </c>
      <c r="T50" s="3">
        <f t="shared" si="21"/>
        <v>-3.6906722934872585E-2</v>
      </c>
      <c r="U50" s="3">
        <f t="shared" si="22"/>
        <v>-0.97954755143421646</v>
      </c>
      <c r="V50" s="3">
        <f t="shared" si="23"/>
        <v>0.93776783460442525</v>
      </c>
      <c r="W50" s="3">
        <f t="shared" si="24"/>
        <v>-0.28302807970605381</v>
      </c>
      <c r="X50" s="3">
        <f t="shared" si="25"/>
        <v>0.11978541093017363</v>
      </c>
      <c r="Y50" s="3">
        <f t="shared" si="26"/>
        <v>-3.6152482076407109E-2</v>
      </c>
      <c r="Z50" s="3">
        <f t="shared" si="27"/>
        <v>-0.92126763163566783</v>
      </c>
      <c r="AA50" s="3">
        <f t="shared" si="28"/>
        <v>0.88197367319757614</v>
      </c>
      <c r="AB50" s="3">
        <f t="shared" si="29"/>
        <v>-0.26618882186517118</v>
      </c>
      <c r="AC50" s="3">
        <f t="shared" si="30"/>
        <v>0.11265856534536739</v>
      </c>
      <c r="AD50" s="3">
        <f t="shared" si="31"/>
        <v>-3.4001526001996497E-2</v>
      </c>
      <c r="AE50" s="3">
        <f t="shared" si="7"/>
        <v>-0.82739545246350477</v>
      </c>
      <c r="AF50" s="3">
        <f t="shared" si="32"/>
        <v>0.79210533545022799</v>
      </c>
      <c r="AG50" s="3">
        <f t="shared" si="33"/>
        <v>-0.23906562343542734</v>
      </c>
      <c r="AH50" s="3">
        <f t="shared" si="34"/>
        <v>0.10117926805083111</v>
      </c>
      <c r="AI50" s="3">
        <f t="shared" si="35"/>
        <v>-3.0536954761911258E-2</v>
      </c>
      <c r="AJ50" s="3">
        <f t="shared" si="8"/>
        <v>-0.70155767226795207</v>
      </c>
      <c r="AK50" s="3">
        <f t="shared" si="36"/>
        <v>0.67163479527825753</v>
      </c>
      <c r="AL50" s="3">
        <f t="shared" si="37"/>
        <v>-0.20270636223256616</v>
      </c>
      <c r="AM50" s="3">
        <f t="shared" si="38"/>
        <v>8.5791010289178751E-2</v>
      </c>
      <c r="AN50" s="3">
        <f t="shared" si="39"/>
        <v>-2.589261862285033E-2</v>
      </c>
      <c r="AO50" s="3">
        <f t="shared" si="9"/>
        <v>-0.54861590862670295</v>
      </c>
      <c r="AP50" s="3">
        <f t="shared" si="40"/>
        <v>0.52521631227511978</v>
      </c>
      <c r="AQ50" s="3">
        <f t="shared" si="41"/>
        <v>-0.15851574217858208</v>
      </c>
      <c r="AR50" s="3"/>
      <c r="AS50" s="2"/>
      <c r="AT50" s="2"/>
    </row>
    <row r="51" spans="1:46">
      <c r="A51">
        <f t="shared" si="42"/>
        <v>48</v>
      </c>
      <c r="B51" s="1">
        <f t="shared" si="0"/>
        <v>5.9199839999999995</v>
      </c>
      <c r="C51" s="1">
        <f t="shared" si="1"/>
        <v>37.196356487538232</v>
      </c>
      <c r="D51" s="1">
        <f t="shared" si="2"/>
        <v>-0.48184176762326197</v>
      </c>
      <c r="E51" s="1">
        <f t="shared" si="3"/>
        <v>0.8762582444540481</v>
      </c>
      <c r="F51" s="2">
        <f t="shared" si="4"/>
        <v>-15788.509199711425</v>
      </c>
      <c r="G51" s="2">
        <f t="shared" si="5"/>
        <v>28712.353896025794</v>
      </c>
      <c r="H51" s="2">
        <f t="shared" si="6"/>
        <v>-3947.2477603697621</v>
      </c>
      <c r="I51" s="3">
        <f t="shared" si="10"/>
        <v>0.36465152628265518</v>
      </c>
      <c r="J51" s="3">
        <f t="shared" si="11"/>
        <v>0.13297073562026995</v>
      </c>
      <c r="K51" s="3">
        <f t="shared" si="12"/>
        <v>-0.845747474524571</v>
      </c>
      <c r="L51" s="3">
        <f t="shared" si="13"/>
        <v>0.40751645808782899</v>
      </c>
      <c r="M51" s="3">
        <f t="shared" si="14"/>
        <v>-0.74109319727834533</v>
      </c>
      <c r="N51" s="3">
        <f t="shared" si="15"/>
        <v>5.4187763209305538E-2</v>
      </c>
      <c r="O51" s="3">
        <f t="shared" si="16"/>
        <v>-9.8543707605279432E-2</v>
      </c>
      <c r="P51" s="3">
        <f t="shared" si="17"/>
        <v>-0.72214801216586932</v>
      </c>
      <c r="Q51" s="3">
        <f t="shared" si="18"/>
        <v>0.34796107466762738</v>
      </c>
      <c r="R51" s="3">
        <f t="shared" si="19"/>
        <v>-0.63278814937644523</v>
      </c>
      <c r="S51" s="3">
        <f t="shared" si="20"/>
        <v>4.6268640065774087E-2</v>
      </c>
      <c r="T51" s="3">
        <f t="shared" si="21"/>
        <v>-8.4142305714375185E-2</v>
      </c>
      <c r="U51" s="3">
        <f t="shared" si="22"/>
        <v>-0.56945328205535994</v>
      </c>
      <c r="V51" s="3">
        <f t="shared" si="23"/>
        <v>0.27438637600442262</v>
      </c>
      <c r="W51" s="3">
        <f t="shared" si="24"/>
        <v>-0.49898813323242558</v>
      </c>
      <c r="X51" s="3">
        <f t="shared" si="25"/>
        <v>3.6485358261488063E-2</v>
      </c>
      <c r="Y51" s="3">
        <f t="shared" si="26"/>
        <v>-6.6350819141700906E-2</v>
      </c>
      <c r="Z51" s="3">
        <f t="shared" si="27"/>
        <v>-0.39381533887160231</v>
      </c>
      <c r="AA51" s="3">
        <f t="shared" si="28"/>
        <v>0.18975667899904677</v>
      </c>
      <c r="AB51" s="3">
        <f t="shared" si="29"/>
        <v>-0.3450839374787063</v>
      </c>
      <c r="AC51" s="3">
        <f t="shared" si="30"/>
        <v>2.5232085195362679E-2</v>
      </c>
      <c r="AD51" s="3">
        <f t="shared" si="31"/>
        <v>-4.5886065017282818E-2</v>
      </c>
      <c r="AE51" s="3">
        <f t="shared" si="7"/>
        <v>-0.20231061694414743</v>
      </c>
      <c r="AF51" s="3">
        <f t="shared" si="32"/>
        <v>9.7481705277320654E-2</v>
      </c>
      <c r="AG51" s="3">
        <f t="shared" si="33"/>
        <v>-0.17727634603789402</v>
      </c>
      <c r="AH51" s="3">
        <f t="shared" si="34"/>
        <v>1.296221406024368E-2</v>
      </c>
      <c r="AI51" s="3">
        <f t="shared" si="35"/>
        <v>-2.3572566140732297E-2</v>
      </c>
      <c r="AJ51" s="3">
        <f t="shared" si="8"/>
        <v>-2.6548214557913122E-3</v>
      </c>
      <c r="AK51" s="3">
        <f t="shared" si="36"/>
        <v>1.2792038629826474E-3</v>
      </c>
      <c r="AL51" s="3">
        <f t="shared" si="37"/>
        <v>-2.3263091881906353E-3</v>
      </c>
      <c r="AM51" s="3">
        <f t="shared" si="38"/>
        <v>1.7009667866909364E-4</v>
      </c>
      <c r="AN51" s="3">
        <f t="shared" si="39"/>
        <v>-3.0933104403390178E-4</v>
      </c>
      <c r="AO51" s="3">
        <f t="shared" si="9"/>
        <v>0.19710793651087002</v>
      </c>
      <c r="AP51" s="3">
        <f t="shared" si="40"/>
        <v>-9.4974836540971302E-2</v>
      </c>
      <c r="AQ51" s="3">
        <f t="shared" si="41"/>
        <v>0.17271745441497494</v>
      </c>
      <c r="AR51" s="3"/>
      <c r="AS51" s="2"/>
      <c r="AT51" s="2"/>
    </row>
    <row r="52" spans="1:46">
      <c r="A52">
        <f t="shared" si="42"/>
        <v>49</v>
      </c>
      <c r="B52" s="1">
        <f t="shared" si="0"/>
        <v>6.043317</v>
      </c>
      <c r="C52" s="1">
        <f t="shared" si="1"/>
        <v>37.971280581028616</v>
      </c>
      <c r="D52" s="1">
        <f t="shared" si="2"/>
        <v>0.26882097429413809</v>
      </c>
      <c r="E52" s="1">
        <f t="shared" si="3"/>
        <v>0.96319015971901956</v>
      </c>
      <c r="F52" s="2">
        <f t="shared" si="4"/>
        <v>8808.4568646960233</v>
      </c>
      <c r="G52" s="2">
        <f t="shared" si="5"/>
        <v>31560.851963513112</v>
      </c>
      <c r="H52" s="2">
        <f t="shared" si="6"/>
        <v>2202.1814214175793</v>
      </c>
      <c r="I52" s="3">
        <f t="shared" si="10"/>
        <v>0.37188120875674147</v>
      </c>
      <c r="J52" s="3">
        <f t="shared" si="11"/>
        <v>0.13829563342637513</v>
      </c>
      <c r="K52" s="3">
        <f t="shared" si="12"/>
        <v>-0.25126042612846627</v>
      </c>
      <c r="L52" s="3">
        <f t="shared" si="13"/>
        <v>-6.7544072553414616E-2</v>
      </c>
      <c r="M52" s="3">
        <f t="shared" si="14"/>
        <v>-0.24201156997374634</v>
      </c>
      <c r="N52" s="3">
        <f t="shared" si="15"/>
        <v>-9.3410502979715121E-3</v>
      </c>
      <c r="O52" s="3">
        <f t="shared" si="16"/>
        <v>-3.3469143366030754E-2</v>
      </c>
      <c r="P52" s="3">
        <f t="shared" si="17"/>
        <v>-4.8712231501633438E-2</v>
      </c>
      <c r="Q52" s="3">
        <f t="shared" si="18"/>
        <v>-1.3094869532310706E-2</v>
      </c>
      <c r="R52" s="3">
        <f t="shared" si="19"/>
        <v>-4.6919142040328168E-2</v>
      </c>
      <c r="S52" s="3">
        <f t="shared" si="20"/>
        <v>-1.8109632766066498E-3</v>
      </c>
      <c r="T52" s="3">
        <f t="shared" si="21"/>
        <v>-6.4887124682892509E-3</v>
      </c>
      <c r="U52" s="3">
        <f t="shared" si="22"/>
        <v>0.15588091084744962</v>
      </c>
      <c r="V52" s="3">
        <f t="shared" si="23"/>
        <v>4.1904058327869087E-2</v>
      </c>
      <c r="W52" s="3">
        <f t="shared" si="24"/>
        <v>0.15014295941630124</v>
      </c>
      <c r="X52" s="3">
        <f t="shared" si="25"/>
        <v>5.7951482895884253E-3</v>
      </c>
      <c r="Y52" s="3">
        <f t="shared" si="26"/>
        <v>2.0764115676987917E-2</v>
      </c>
      <c r="Z52" s="3">
        <f t="shared" si="27"/>
        <v>0.35393014617865998</v>
      </c>
      <c r="AA52" s="3">
        <f t="shared" si="28"/>
        <v>9.5143846727814091E-2</v>
      </c>
      <c r="AB52" s="3">
        <f t="shared" si="29"/>
        <v>0.34090203402719943</v>
      </c>
      <c r="AC52" s="3">
        <f t="shared" si="30"/>
        <v>1.3157978549844998E-2</v>
      </c>
      <c r="AD52" s="3">
        <f t="shared" si="31"/>
        <v>4.7145262732131231E-2</v>
      </c>
      <c r="AE52" s="3">
        <f t="shared" si="7"/>
        <v>0.53712133407593687</v>
      </c>
      <c r="AF52" s="3">
        <f t="shared" si="32"/>
        <v>0.14438948034046059</v>
      </c>
      <c r="AG52" s="3">
        <f t="shared" si="33"/>
        <v>0.51734998355709449</v>
      </c>
      <c r="AH52" s="3">
        <f t="shared" si="34"/>
        <v>1.9968434643789133E-2</v>
      </c>
      <c r="AI52" s="3">
        <f t="shared" si="35"/>
        <v>7.1547243679153133E-2</v>
      </c>
      <c r="AJ52" s="3">
        <f t="shared" si="8"/>
        <v>0.69776407746901525</v>
      </c>
      <c r="AK52" s="3">
        <f t="shared" si="36"/>
        <v>0.18757361913267112</v>
      </c>
      <c r="AL52" s="3">
        <f t="shared" si="37"/>
        <v>0.67207949322357519</v>
      </c>
      <c r="AM52" s="3">
        <f t="shared" si="38"/>
        <v>2.5940612472030389E-2</v>
      </c>
      <c r="AN52" s="3">
        <f t="shared" si="39"/>
        <v>9.2945659228231517E-2</v>
      </c>
      <c r="AO52" s="3">
        <f t="shared" si="9"/>
        <v>0.82911456680388196</v>
      </c>
      <c r="AP52" s="3">
        <f t="shared" si="40"/>
        <v>0.2228833856496818</v>
      </c>
      <c r="AQ52" s="3">
        <f t="shared" si="41"/>
        <v>0.79859499202519679</v>
      </c>
      <c r="AR52" s="3"/>
      <c r="AS52" s="2"/>
      <c r="AT52" s="2"/>
    </row>
    <row r="53" spans="1:46">
      <c r="A53">
        <f t="shared" si="42"/>
        <v>50</v>
      </c>
      <c r="B53" s="1">
        <f t="shared" si="0"/>
        <v>6.1666499999999997</v>
      </c>
      <c r="C53" s="1">
        <f t="shared" si="1"/>
        <v>38.746204674518992</v>
      </c>
      <c r="D53" s="1">
        <f t="shared" si="2"/>
        <v>0.86597303915845658</v>
      </c>
      <c r="E53" s="1">
        <f t="shared" si="3"/>
        <v>0.50009068722649319</v>
      </c>
      <c r="F53" s="2">
        <f t="shared" si="4"/>
        <v>28375.338574105146</v>
      </c>
      <c r="G53" s="2">
        <f t="shared" si="5"/>
        <v>16386.471548350502</v>
      </c>
      <c r="H53" s="2">
        <f t="shared" si="6"/>
        <v>7094.0511367860763</v>
      </c>
      <c r="I53" s="3">
        <f t="shared" si="10"/>
        <v>0.37908840384037934</v>
      </c>
      <c r="J53" s="3">
        <f t="shared" si="11"/>
        <v>0.14370801792624655</v>
      </c>
      <c r="K53" s="3">
        <f t="shared" si="12"/>
        <v>0.47942553860420173</v>
      </c>
      <c r="L53" s="3">
        <f t="shared" si="13"/>
        <v>0.41516959071526049</v>
      </c>
      <c r="M53" s="3">
        <f t="shared" si="14"/>
        <v>0.23975624707450688</v>
      </c>
      <c r="N53" s="3">
        <f t="shared" si="15"/>
        <v>5.9663198984941095E-2</v>
      </c>
      <c r="O53" s="3">
        <f t="shared" si="16"/>
        <v>3.4454895052512827E-2</v>
      </c>
      <c r="P53" s="3">
        <f t="shared" si="17"/>
        <v>0.65140861459102173</v>
      </c>
      <c r="Q53" s="3">
        <f t="shared" si="18"/>
        <v>0.56410229771138676</v>
      </c>
      <c r="R53" s="3">
        <f t="shared" si="19"/>
        <v>0.32576338173608188</v>
      </c>
      <c r="S53" s="3">
        <f t="shared" si="20"/>
        <v>8.1066023111744837E-2</v>
      </c>
      <c r="T53" s="3">
        <f t="shared" si="21"/>
        <v>4.6814809902243557E-2</v>
      </c>
      <c r="U53" s="3">
        <f t="shared" si="22"/>
        <v>0.79492200831487414</v>
      </c>
      <c r="V53" s="3">
        <f t="shared" si="23"/>
        <v>0.68838102743437546</v>
      </c>
      <c r="W53" s="3">
        <f t="shared" si="24"/>
        <v>0.39753309342964954</v>
      </c>
      <c r="X53" s="3">
        <f t="shared" si="25"/>
        <v>9.8925873030627248E-2</v>
      </c>
      <c r="Y53" s="3">
        <f t="shared" si="26"/>
        <v>5.7128692916864322E-2</v>
      </c>
      <c r="Z53" s="3">
        <f t="shared" si="27"/>
        <v>0.90369349581636815</v>
      </c>
      <c r="AA53" s="3">
        <f t="shared" si="28"/>
        <v>0.78257420303983027</v>
      </c>
      <c r="AB53" s="3">
        <f t="shared" si="29"/>
        <v>0.45192870136491958</v>
      </c>
      <c r="AC53" s="3">
        <f t="shared" si="30"/>
        <v>0.11246218759906602</v>
      </c>
      <c r="AD53" s="3">
        <f t="shared" si="31"/>
        <v>6.4945777917135183E-2</v>
      </c>
      <c r="AE53" s="3">
        <f t="shared" si="7"/>
        <v>0.97296924114817884</v>
      </c>
      <c r="AF53" s="3">
        <f t="shared" si="32"/>
        <v>0.84256513076478567</v>
      </c>
      <c r="AG53" s="3">
        <f t="shared" si="33"/>
        <v>0.48657285645603232</v>
      </c>
      <c r="AH53" s="3">
        <f t="shared" si="34"/>
        <v>0.12108336491597609</v>
      </c>
      <c r="AI53" s="3">
        <f t="shared" si="35"/>
        <v>6.9924420778008478E-2</v>
      </c>
      <c r="AJ53" s="3">
        <f t="shared" si="8"/>
        <v>0.99972156181739358</v>
      </c>
      <c r="AK53" s="3">
        <f t="shared" si="36"/>
        <v>0.86573191919924719</v>
      </c>
      <c r="AL53" s="3">
        <f t="shared" si="37"/>
        <v>0.49995144288440346</v>
      </c>
      <c r="AM53" s="3">
        <f t="shared" si="38"/>
        <v>0.12441261816360924</v>
      </c>
      <c r="AN53" s="3">
        <f t="shared" si="39"/>
        <v>7.1847030916284679E-2</v>
      </c>
      <c r="AO53" s="3">
        <f t="shared" si="9"/>
        <v>0.9827812530388953</v>
      </c>
      <c r="AP53" s="3">
        <f t="shared" si="40"/>
        <v>0.85106206852204835</v>
      </c>
      <c r="AQ53" s="3">
        <f t="shared" si="41"/>
        <v>0.49147975222553525</v>
      </c>
      <c r="AR53" s="3"/>
      <c r="AS53" s="2"/>
      <c r="AT53" s="2"/>
    </row>
    <row r="54" spans="1:46">
      <c r="A54">
        <f t="shared" si="42"/>
        <v>51</v>
      </c>
      <c r="B54" s="1">
        <f t="shared" si="0"/>
        <v>6.2899830000000003</v>
      </c>
      <c r="C54" s="1">
        <f t="shared" si="1"/>
        <v>39.521128768009376</v>
      </c>
      <c r="D54" s="1">
        <f t="shared" si="2"/>
        <v>0.96860971920213723</v>
      </c>
      <c r="E54" s="1">
        <f t="shared" si="3"/>
        <v>-0.24858642735909131</v>
      </c>
      <c r="F54" s="2">
        <f t="shared" si="4"/>
        <v>31738.43466909643</v>
      </c>
      <c r="G54" s="2">
        <f t="shared" si="5"/>
        <v>-8145.4314652753446</v>
      </c>
      <c r="H54" s="2">
        <f t="shared" si="6"/>
        <v>7934.8508197039082</v>
      </c>
      <c r="I54" s="3">
        <f t="shared" si="10"/>
        <v>0.38627267571964191</v>
      </c>
      <c r="J54" s="3">
        <f t="shared" si="11"/>
        <v>0.14920658000761164</v>
      </c>
      <c r="K54" s="3">
        <f t="shared" si="12"/>
        <v>0.95023277978261622</v>
      </c>
      <c r="L54" s="3">
        <f t="shared" si="13"/>
        <v>0.92040470600190616</v>
      </c>
      <c r="M54" s="3">
        <f t="shared" si="14"/>
        <v>-0.23621497188565874</v>
      </c>
      <c r="N54" s="3">
        <f t="shared" si="15"/>
        <v>0.1373304384054557</v>
      </c>
      <c r="O54" s="3">
        <f t="shared" si="16"/>
        <v>-3.5244828101653275E-2</v>
      </c>
      <c r="P54" s="3">
        <f t="shared" si="17"/>
        <v>0.99468106829552383</v>
      </c>
      <c r="Q54" s="3">
        <f t="shared" si="18"/>
        <v>0.96345775025740921</v>
      </c>
      <c r="R54" s="3">
        <f t="shared" si="19"/>
        <v>-0.24726421312930857</v>
      </c>
      <c r="S54" s="3">
        <f t="shared" si="20"/>
        <v>0.14375423589773564</v>
      </c>
      <c r="T54" s="3">
        <f t="shared" si="21"/>
        <v>-3.6893447599297316E-2</v>
      </c>
      <c r="U54" s="3">
        <f t="shared" si="22"/>
        <v>0.99390742254133091</v>
      </c>
      <c r="V54" s="3">
        <f t="shared" si="23"/>
        <v>0.96270838946067849</v>
      </c>
      <c r="W54" s="3">
        <f t="shared" si="24"/>
        <v>-0.24707189529523224</v>
      </c>
      <c r="X54" s="3">
        <f t="shared" si="25"/>
        <v>0.14364242633606367</v>
      </c>
      <c r="Y54" s="3">
        <f t="shared" si="26"/>
        <v>-3.686475251300031E-2</v>
      </c>
      <c r="Z54" s="3">
        <f t="shared" si="27"/>
        <v>0.94794701535940562</v>
      </c>
      <c r="AA54" s="3">
        <f t="shared" si="28"/>
        <v>0.91819069236577799</v>
      </c>
      <c r="AB54" s="3">
        <f t="shared" si="29"/>
        <v>-0.23564676187390829</v>
      </c>
      <c r="AC54" s="3">
        <f t="shared" si="30"/>
        <v>0.13700009300271879</v>
      </c>
      <c r="AD54" s="3">
        <f t="shared" si="31"/>
        <v>-3.5160047429073908E-2</v>
      </c>
      <c r="AE54" s="3">
        <f t="shared" si="7"/>
        <v>0.85888937934338472</v>
      </c>
      <c r="AF54" s="3">
        <f t="shared" si="32"/>
        <v>0.83192860055149376</v>
      </c>
      <c r="AG54" s="3">
        <f t="shared" si="33"/>
        <v>-0.21350824230763932</v>
      </c>
      <c r="AH54" s="3">
        <f t="shared" si="34"/>
        <v>0.12412922129880684</v>
      </c>
      <c r="AI54" s="3">
        <f t="shared" si="35"/>
        <v>-3.1856834638159318E-2</v>
      </c>
      <c r="AJ54" s="3">
        <f t="shared" si="8"/>
        <v>0.73078340884771165</v>
      </c>
      <c r="AK54" s="3">
        <f t="shared" si="36"/>
        <v>0.70784391244156264</v>
      </c>
      <c r="AL54" s="3">
        <f t="shared" si="37"/>
        <v>-0.18166283677875081</v>
      </c>
      <c r="AM54" s="3">
        <f t="shared" si="38"/>
        <v>0.10561496935461286</v>
      </c>
      <c r="AN54" s="3">
        <f t="shared" si="39"/>
        <v>-2.7105290590238376E-2</v>
      </c>
      <c r="AO54" s="3">
        <f t="shared" si="9"/>
        <v>0.56945328205535706</v>
      </c>
      <c r="AP54" s="3">
        <f t="shared" si="40"/>
        <v>0.5515779836303748</v>
      </c>
      <c r="AQ54" s="3">
        <f t="shared" si="41"/>
        <v>-0.14155835693405014</v>
      </c>
      <c r="AR54" s="3"/>
      <c r="AS54" s="2"/>
      <c r="AT54" s="2"/>
    </row>
    <row r="55" spans="1:46">
      <c r="A55">
        <f t="shared" si="42"/>
        <v>52</v>
      </c>
      <c r="B55" s="1">
        <f t="shared" si="0"/>
        <v>6.413316</v>
      </c>
      <c r="C55" s="1">
        <f t="shared" si="1"/>
        <v>40.296052861499753</v>
      </c>
      <c r="D55" s="1">
        <f t="shared" si="2"/>
        <v>0.51812016277806838</v>
      </c>
      <c r="E55" s="1">
        <f t="shared" si="3"/>
        <v>-0.85530783751981831</v>
      </c>
      <c r="F55" s="2">
        <f t="shared" si="4"/>
        <v>16977.243373748966</v>
      </c>
      <c r="G55" s="2">
        <f t="shared" si="5"/>
        <v>-28025.871912011888</v>
      </c>
      <c r="H55" s="2">
        <f t="shared" si="6"/>
        <v>4244.4403734779362</v>
      </c>
      <c r="I55" s="3">
        <f t="shared" si="10"/>
        <v>0.39343358996675237</v>
      </c>
      <c r="J55" s="3">
        <f t="shared" si="11"/>
        <v>0.15478998971412664</v>
      </c>
      <c r="K55" s="3">
        <f t="shared" si="12"/>
        <v>0.90595423181372992</v>
      </c>
      <c r="L55" s="3">
        <f t="shared" si="13"/>
        <v>0.46939315405680965</v>
      </c>
      <c r="M55" s="3">
        <f t="shared" si="14"/>
        <v>-0.77486975490452947</v>
      </c>
      <c r="N55" s="3">
        <f t="shared" si="15"/>
        <v>7.2657361488335029E-2</v>
      </c>
      <c r="O55" s="3">
        <f t="shared" si="16"/>
        <v>-0.11994208139145997</v>
      </c>
      <c r="P55" s="3">
        <f t="shared" si="17"/>
        <v>0.79305692068161204</v>
      </c>
      <c r="Q55" s="3">
        <f t="shared" si="18"/>
        <v>0.41089878083583048</v>
      </c>
      <c r="R55" s="3">
        <f t="shared" si="19"/>
        <v>-0.67830779985831569</v>
      </c>
      <c r="S55" s="3">
        <f t="shared" si="20"/>
        <v>6.3603018059125382E-2</v>
      </c>
      <c r="T55" s="3">
        <f t="shared" si="21"/>
        <v>-0.10499525736308055</v>
      </c>
      <c r="U55" s="3">
        <f t="shared" si="22"/>
        <v>0.6426821175654398</v>
      </c>
      <c r="V55" s="3">
        <f t="shared" si="23"/>
        <v>0.33298656336755933</v>
      </c>
      <c r="W55" s="3">
        <f t="shared" si="24"/>
        <v>-0.54969105218755399</v>
      </c>
      <c r="X55" s="3">
        <f t="shared" si="25"/>
        <v>5.1542986718606888E-2</v>
      </c>
      <c r="Y55" s="3">
        <f t="shared" si="26"/>
        <v>-8.508667231405892E-2</v>
      </c>
      <c r="Z55" s="3">
        <f t="shared" si="27"/>
        <v>0.46193608474150277</v>
      </c>
      <c r="AA55" s="3">
        <f t="shared" si="28"/>
        <v>0.23933839941933099</v>
      </c>
      <c r="AB55" s="3">
        <f t="shared" si="29"/>
        <v>-0.39509755371262628</v>
      </c>
      <c r="AC55" s="3">
        <f t="shared" si="30"/>
        <v>3.7047188384313777E-2</v>
      </c>
      <c r="AD55" s="3">
        <f t="shared" si="31"/>
        <v>-6.115714627525401E-2</v>
      </c>
      <c r="AE55" s="3">
        <f t="shared" si="7"/>
        <v>0.25936033772988076</v>
      </c>
      <c r="AF55" s="3">
        <f t="shared" si="32"/>
        <v>0.13437982040278063</v>
      </c>
      <c r="AG55" s="3">
        <f t="shared" si="33"/>
        <v>-0.22183292960215406</v>
      </c>
      <c r="AH55" s="3">
        <f t="shared" si="34"/>
        <v>2.0800651017932596E-2</v>
      </c>
      <c r="AI55" s="3">
        <f t="shared" si="35"/>
        <v>-3.4337516891372002E-2</v>
      </c>
      <c r="AJ55" s="3">
        <f t="shared" si="8"/>
        <v>4.4527998883842901E-2</v>
      </c>
      <c r="AK55" s="3">
        <f t="shared" si="36"/>
        <v>2.3070854029878331E-2</v>
      </c>
      <c r="AL55" s="3">
        <f t="shared" si="37"/>
        <v>-3.8085146434424552E-2</v>
      </c>
      <c r="AM55" s="3">
        <f t="shared" si="38"/>
        <v>3.5711372579809841E-3</v>
      </c>
      <c r="AN55" s="3">
        <f t="shared" si="39"/>
        <v>-5.8951994248455835E-3</v>
      </c>
      <c r="AO55" s="3">
        <f t="shared" si="9"/>
        <v>-0.17240859966627892</v>
      </c>
      <c r="AP55" s="3">
        <f t="shared" si="40"/>
        <v>-8.9328371723431263E-2</v>
      </c>
      <c r="AQ55" s="3">
        <f t="shared" si="41"/>
        <v>0.14746242655038508</v>
      </c>
      <c r="AR55" s="3"/>
      <c r="AS55" s="2"/>
      <c r="AT55" s="2"/>
    </row>
    <row r="56" spans="1:46">
      <c r="A56">
        <f t="shared" si="42"/>
        <v>53</v>
      </c>
      <c r="B56" s="1">
        <f t="shared" si="0"/>
        <v>6.5366489999999997</v>
      </c>
      <c r="C56" s="1">
        <f t="shared" si="1"/>
        <v>41.070976954990137</v>
      </c>
      <c r="D56" s="1">
        <f t="shared" si="2"/>
        <v>-0.22824279858309107</v>
      </c>
      <c r="E56" s="1">
        <f t="shared" si="3"/>
        <v>-0.97360424449308891</v>
      </c>
      <c r="F56" s="2">
        <f t="shared" si="4"/>
        <v>-7478.8317811721454</v>
      </c>
      <c r="G56" s="2">
        <f t="shared" si="5"/>
        <v>-31902.090279305045</v>
      </c>
      <c r="H56" s="2">
        <f t="shared" si="6"/>
        <v>-1869.7650059926821</v>
      </c>
      <c r="I56" s="3">
        <f t="shared" si="10"/>
        <v>0.40057071356635271</v>
      </c>
      <c r="J56" s="3">
        <f t="shared" si="11"/>
        <v>0.160456896567057</v>
      </c>
      <c r="K56" s="3">
        <f t="shared" si="12"/>
        <v>0.37059164596113042</v>
      </c>
      <c r="L56" s="3">
        <f t="shared" si="13"/>
        <v>-8.4584874405682492E-2</v>
      </c>
      <c r="M56" s="3">
        <f t="shared" si="14"/>
        <v>-0.36080959948143665</v>
      </c>
      <c r="N56" s="3">
        <f t="shared" si="15"/>
        <v>-1.3572226443650101E-2</v>
      </c>
      <c r="O56" s="3">
        <f t="shared" si="16"/>
        <v>-5.7894388584394142E-2</v>
      </c>
      <c r="P56" s="3">
        <f t="shared" si="17"/>
        <v>0.15698797009988835</v>
      </c>
      <c r="Q56" s="3">
        <f t="shared" si="18"/>
        <v>-3.5831373639477138E-2</v>
      </c>
      <c r="R56" s="3">
        <f t="shared" si="19"/>
        <v>-0.15284415402360543</v>
      </c>
      <c r="S56" s="3">
        <f t="shared" si="20"/>
        <v>-5.7493910139251566E-3</v>
      </c>
      <c r="T56" s="3">
        <f t="shared" si="21"/>
        <v>-2.4524898613044986E-2</v>
      </c>
      <c r="U56" s="3">
        <f t="shared" si="22"/>
        <v>-6.4321383753941003E-2</v>
      </c>
      <c r="V56" s="3">
        <f t="shared" si="23"/>
        <v>1.4680892636736463E-2</v>
      </c>
      <c r="W56" s="3">
        <f t="shared" si="24"/>
        <v>6.2623572234505778E-2</v>
      </c>
      <c r="X56" s="3">
        <f t="shared" si="25"/>
        <v>2.3556504713248914E-3</v>
      </c>
      <c r="Y56" s="3">
        <f t="shared" si="26"/>
        <v>1.0048384052691716E-2</v>
      </c>
      <c r="Z56" s="3">
        <f t="shared" si="27"/>
        <v>-0.28247355383803041</v>
      </c>
      <c r="AA56" s="3">
        <f t="shared" si="28"/>
        <v>6.4472554453703507E-2</v>
      </c>
      <c r="AB56" s="3">
        <f t="shared" si="29"/>
        <v>0.27501745097375346</v>
      </c>
      <c r="AC56" s="3">
        <f t="shared" si="30"/>
        <v>1.0345066001391854E-2</v>
      </c>
      <c r="AD56" s="3">
        <f t="shared" si="31"/>
        <v>4.4128446685031228E-2</v>
      </c>
      <c r="AE56" s="3">
        <f t="shared" si="7"/>
        <v>-0.48676064721645401</v>
      </c>
      <c r="AF56" s="3">
        <f t="shared" si="32"/>
        <v>0.11109961236080017</v>
      </c>
      <c r="AG56" s="3">
        <f t="shared" si="33"/>
        <v>0.47391223218214268</v>
      </c>
      <c r="AH56" s="3">
        <f t="shared" si="34"/>
        <v>1.7826699009217038E-2</v>
      </c>
      <c r="AI56" s="3">
        <f t="shared" si="35"/>
        <v>7.6042486021113173E-2</v>
      </c>
      <c r="AJ56" s="3">
        <f t="shared" si="8"/>
        <v>-0.66715533148526029</v>
      </c>
      <c r="AK56" s="3">
        <f t="shared" si="36"/>
        <v>0.15227339994782563</v>
      </c>
      <c r="AL56" s="3">
        <f t="shared" si="37"/>
        <v>0.64954526247024313</v>
      </c>
      <c r="AM56" s="3">
        <f t="shared" si="38"/>
        <v>2.4433317185342359E-2</v>
      </c>
      <c r="AN56" s="3">
        <f t="shared" si="39"/>
        <v>0.10422401699580969</v>
      </c>
      <c r="AO56" s="3">
        <f t="shared" si="9"/>
        <v>-0.81480302149585748</v>
      </c>
      <c r="AP56" s="3">
        <f t="shared" si="40"/>
        <v>0.18597292192017303</v>
      </c>
      <c r="AQ56" s="3">
        <f t="shared" si="41"/>
        <v>0.79329568015416041</v>
      </c>
      <c r="AR56" s="3"/>
      <c r="AS56" s="2"/>
      <c r="AT56" s="2"/>
    </row>
    <row r="57" spans="1:46">
      <c r="A57">
        <f t="shared" si="42"/>
        <v>54</v>
      </c>
      <c r="B57" s="1">
        <f t="shared" si="0"/>
        <v>6.6599820000000003</v>
      </c>
      <c r="C57" s="1">
        <f t="shared" si="1"/>
        <v>41.845901048480513</v>
      </c>
      <c r="D57" s="1">
        <f t="shared" si="2"/>
        <v>-0.84426731951942291</v>
      </c>
      <c r="E57" s="1">
        <f t="shared" si="3"/>
        <v>-0.53592228279060083</v>
      </c>
      <c r="F57" s="2">
        <f t="shared" si="4"/>
        <v>-27664.107258692929</v>
      </c>
      <c r="G57" s="2">
        <f t="shared" si="5"/>
        <v>-17560.565440199618</v>
      </c>
      <c r="H57" s="2">
        <f t="shared" si="6"/>
        <v>-6916.2378815031125</v>
      </c>
      <c r="I57" s="3">
        <f t="shared" si="10"/>
        <v>0.40768361494168881</v>
      </c>
      <c r="J57" s="3">
        <f t="shared" si="11"/>
        <v>0.1662059298919232</v>
      </c>
      <c r="K57" s="3">
        <f t="shared" si="12"/>
        <v>-0.36565486483347742</v>
      </c>
      <c r="L57" s="3">
        <f t="shared" si="13"/>
        <v>0.30871045260219687</v>
      </c>
      <c r="M57" s="3">
        <f t="shared" si="14"/>
        <v>0.19596258987504581</v>
      </c>
      <c r="N57" s="3">
        <f t="shared" si="15"/>
        <v>5.1309507842104619E-2</v>
      </c>
      <c r="O57" s="3">
        <f t="shared" si="16"/>
        <v>3.2570144474211568E-2</v>
      </c>
      <c r="P57" s="3">
        <f t="shared" si="17"/>
        <v>-0.56508061803589604</v>
      </c>
      <c r="Q57" s="3">
        <f t="shared" si="18"/>
        <v>0.4770790987015448</v>
      </c>
      <c r="R57" s="3">
        <f t="shared" si="19"/>
        <v>0.30283929477852095</v>
      </c>
      <c r="S57" s="3">
        <f t="shared" si="20"/>
        <v>7.9293375231690874E-2</v>
      </c>
      <c r="T57" s="3">
        <f t="shared" si="21"/>
        <v>5.0333686596478321E-2</v>
      </c>
      <c r="U57" s="3">
        <f t="shared" si="22"/>
        <v>-0.73571763030018522</v>
      </c>
      <c r="V57" s="3">
        <f t="shared" si="23"/>
        <v>0.62114235165671916</v>
      </c>
      <c r="W57" s="3">
        <f t="shared" si="24"/>
        <v>0.3942874719197666</v>
      </c>
      <c r="X57" s="3">
        <f t="shared" si="25"/>
        <v>0.10323754215236097</v>
      </c>
      <c r="Y57" s="3">
        <f t="shared" si="26"/>
        <v>6.5532915915160361E-2</v>
      </c>
      <c r="Z57" s="3">
        <f t="shared" si="27"/>
        <v>-0.86887258498488518</v>
      </c>
      <c r="AA57" s="3">
        <f t="shared" si="28"/>
        <v>0.73356072832910102</v>
      </c>
      <c r="AB57" s="3">
        <f t="shared" si="29"/>
        <v>0.46564817919926998</v>
      </c>
      <c r="AC57" s="3">
        <f t="shared" si="30"/>
        <v>0.12192214298413469</v>
      </c>
      <c r="AD57" s="3">
        <f t="shared" si="31"/>
        <v>7.7393488626295567E-2</v>
      </c>
      <c r="AE57" s="3">
        <f t="shared" si="7"/>
        <v>-0.9577617358904339</v>
      </c>
      <c r="AF57" s="3">
        <f t="shared" si="32"/>
        <v>0.80860693349848611</v>
      </c>
      <c r="AG57" s="3">
        <f t="shared" si="33"/>
        <v>0.51328585586788988</v>
      </c>
      <c r="AH57" s="3">
        <f t="shared" si="34"/>
        <v>0.13439526729917239</v>
      </c>
      <c r="AI57" s="3">
        <f t="shared" si="35"/>
        <v>8.5311152974894305E-2</v>
      </c>
      <c r="AJ57" s="3">
        <f t="shared" si="8"/>
        <v>-0.99785651371901118</v>
      </c>
      <c r="AK57" s="3">
        <f t="shared" si="36"/>
        <v>0.84245764410254587</v>
      </c>
      <c r="AL57" s="3">
        <f t="shared" si="37"/>
        <v>0.53477354072976302</v>
      </c>
      <c r="AM57" s="3">
        <f t="shared" si="38"/>
        <v>0.14002145613262251</v>
      </c>
      <c r="AN57" s="3">
        <f t="shared" si="39"/>
        <v>8.8882533618586529E-2</v>
      </c>
      <c r="AO57" s="3">
        <f t="shared" si="9"/>
        <v>-0.98711423971817447</v>
      </c>
      <c r="AP57" s="3">
        <f t="shared" si="40"/>
        <v>0.83338829322631625</v>
      </c>
      <c r="AQ57" s="3">
        <f t="shared" si="41"/>
        <v>0.52901651672487249</v>
      </c>
      <c r="AR57" s="3"/>
      <c r="AS57" s="2"/>
      <c r="AT57" s="2"/>
    </row>
    <row r="58" spans="1:46">
      <c r="A58">
        <f t="shared" si="42"/>
        <v>55</v>
      </c>
      <c r="B58" s="1">
        <f t="shared" si="0"/>
        <v>6.783315</v>
      </c>
      <c r="C58" s="1">
        <f t="shared" si="1"/>
        <v>42.620825141970897</v>
      </c>
      <c r="D58" s="1">
        <f t="shared" si="2"/>
        <v>-0.97817154395165018</v>
      </c>
      <c r="E58" s="1">
        <f t="shared" si="3"/>
        <v>0.20779901492366326</v>
      </c>
      <c r="F58" s="2">
        <f t="shared" si="4"/>
        <v>-32051.74698066372</v>
      </c>
      <c r="G58" s="2">
        <f t="shared" si="5"/>
        <v>6808.950322003674</v>
      </c>
      <c r="H58" s="2">
        <f t="shared" si="6"/>
        <v>-8013.1812880519183</v>
      </c>
      <c r="I58" s="3">
        <f t="shared" si="10"/>
        <v>0.41477186398070687</v>
      </c>
      <c r="J58" s="3">
        <f t="shared" si="11"/>
        <v>0.17203569915003</v>
      </c>
      <c r="K58" s="3">
        <f t="shared" si="12"/>
        <v>-0.9036934958163696</v>
      </c>
      <c r="L58" s="3">
        <f t="shared" si="13"/>
        <v>0.88396726206176235</v>
      </c>
      <c r="M58" s="3">
        <f t="shared" si="14"/>
        <v>-0.18778661822356321</v>
      </c>
      <c r="N58" s="3">
        <f t="shared" si="15"/>
        <v>0.15207392595453306</v>
      </c>
      <c r="O58" s="3">
        <f t="shared" si="16"/>
        <v>-3.2306002157110464E-2</v>
      </c>
      <c r="P58" s="3">
        <f t="shared" si="17"/>
        <v>-0.97759218528025327</v>
      </c>
      <c r="Q58" s="3">
        <f t="shared" si="18"/>
        <v>0.95625285723065301</v>
      </c>
      <c r="R58" s="3">
        <f t="shared" si="19"/>
        <v>-0.20314269309830793</v>
      </c>
      <c r="S58" s="3">
        <f t="shared" si="20"/>
        <v>0.16450962885788922</v>
      </c>
      <c r="T58" s="3">
        <f t="shared" si="21"/>
        <v>-3.4947795234387381E-2</v>
      </c>
      <c r="U58" s="3">
        <f t="shared" si="22"/>
        <v>-0.99983275858867882</v>
      </c>
      <c r="V58" s="3">
        <f t="shared" si="23"/>
        <v>0.97800795316212552</v>
      </c>
      <c r="W58" s="3">
        <f t="shared" si="24"/>
        <v>-0.20776426232313627</v>
      </c>
      <c r="X58" s="3">
        <f t="shared" si="25"/>
        <v>0.16825228199653605</v>
      </c>
      <c r="Y58" s="3">
        <f t="shared" si="26"/>
        <v>-3.5742870127150987E-2</v>
      </c>
      <c r="Z58" s="3">
        <f t="shared" si="27"/>
        <v>-0.96923997504656922</v>
      </c>
      <c r="AA58" s="3">
        <f t="shared" si="28"/>
        <v>0.9480829628509615</v>
      </c>
      <c r="AB58" s="3">
        <f t="shared" si="29"/>
        <v>-0.20140711203931305</v>
      </c>
      <c r="AC58" s="3">
        <f t="shared" si="30"/>
        <v>0.1631041153662971</v>
      </c>
      <c r="AD58" s="3">
        <f t="shared" si="31"/>
        <v>-3.4649213333471644E-2</v>
      </c>
      <c r="AE58" s="3">
        <f t="shared" si="7"/>
        <v>-0.88743042446461751</v>
      </c>
      <c r="AF58" s="3">
        <f t="shared" si="32"/>
        <v>0.86805918844822316</v>
      </c>
      <c r="AG58" s="3">
        <f t="shared" si="33"/>
        <v>-0.18440716801703588</v>
      </c>
      <c r="AH58" s="3">
        <f t="shared" si="34"/>
        <v>0.14933716938829772</v>
      </c>
      <c r="AI58" s="3">
        <f t="shared" si="35"/>
        <v>-3.1724616078087818E-2</v>
      </c>
      <c r="AJ58" s="3">
        <f t="shared" si="8"/>
        <v>-0.75872710300648127</v>
      </c>
      <c r="AK58" s="3">
        <f t="shared" si="36"/>
        <v>0.74216526178581255</v>
      </c>
      <c r="AL58" s="3">
        <f t="shared" si="37"/>
        <v>-0.15766274460063159</v>
      </c>
      <c r="AM58" s="3">
        <f t="shared" si="38"/>
        <v>0.1276789196961873</v>
      </c>
      <c r="AN58" s="3">
        <f t="shared" si="39"/>
        <v>-2.7123620497282275E-2</v>
      </c>
      <c r="AO58" s="3">
        <f t="shared" si="9"/>
        <v>-0.58993097658574511</v>
      </c>
      <c r="AP58" s="3">
        <f t="shared" si="40"/>
        <v>0.5770536941917831</v>
      </c>
      <c r="AQ58" s="3">
        <f t="shared" si="41"/>
        <v>-0.1225870758074725</v>
      </c>
      <c r="AR58" s="3"/>
      <c r="AS58" s="2"/>
      <c r="AT58" s="2"/>
    </row>
    <row r="59" spans="1:46">
      <c r="A59">
        <f t="shared" si="42"/>
        <v>56</v>
      </c>
      <c r="B59" s="1">
        <f t="shared" si="0"/>
        <v>6.9066479999999997</v>
      </c>
      <c r="C59" s="1">
        <f t="shared" si="1"/>
        <v>43.395749235461274</v>
      </c>
      <c r="D59" s="1">
        <f t="shared" si="2"/>
        <v>-0.55348923554224994</v>
      </c>
      <c r="E59" s="1">
        <f t="shared" si="3"/>
        <v>0.83285632983057512</v>
      </c>
      <c r="F59" s="2">
        <f t="shared" si="4"/>
        <v>-18136.181781012903</v>
      </c>
      <c r="G59" s="2">
        <f t="shared" si="5"/>
        <v>27290.203359558454</v>
      </c>
      <c r="H59" s="2">
        <f t="shared" si="6"/>
        <v>-4534.1838175621115</v>
      </c>
      <c r="I59" s="3">
        <f t="shared" si="10"/>
        <v>0.42183503206206224</v>
      </c>
      <c r="J59" s="3">
        <f t="shared" si="11"/>
        <v>0.17794479427480109</v>
      </c>
      <c r="K59" s="3">
        <f t="shared" si="12"/>
        <v>-0.95187354967635995</v>
      </c>
      <c r="L59" s="3">
        <f t="shared" si="13"/>
        <v>0.52685176334325634</v>
      </c>
      <c r="M59" s="3">
        <f t="shared" si="14"/>
        <v>-0.79277391104625472</v>
      </c>
      <c r="N59" s="3">
        <f t="shared" si="15"/>
        <v>9.3750528641431935E-2</v>
      </c>
      <c r="O59" s="3">
        <f t="shared" si="16"/>
        <v>-0.14106999050755525</v>
      </c>
      <c r="P59" s="3">
        <f t="shared" si="17"/>
        <v>-0.85456861848665877</v>
      </c>
      <c r="Q59" s="3">
        <f t="shared" si="18"/>
        <v>0.47299453136457742</v>
      </c>
      <c r="R59" s="3">
        <f t="shared" si="19"/>
        <v>-0.71173288318118355</v>
      </c>
      <c r="S59" s="3">
        <f t="shared" si="20"/>
        <v>8.4166914576775664E-2</v>
      </c>
      <c r="T59" s="3">
        <f t="shared" si="21"/>
        <v>-0.12664916147628674</v>
      </c>
      <c r="U59" s="3">
        <f t="shared" si="22"/>
        <v>-0.71045699958855457</v>
      </c>
      <c r="V59" s="3">
        <f t="shared" si="23"/>
        <v>0.39323030158790967</v>
      </c>
      <c r="W59" s="3">
        <f t="shared" si="24"/>
        <v>-0.59170860917976598</v>
      </c>
      <c r="X59" s="3">
        <f t="shared" si="25"/>
        <v>6.9973285118678563E-2</v>
      </c>
      <c r="Y59" s="3">
        <f t="shared" si="26"/>
        <v>-0.10529146673112212</v>
      </c>
      <c r="Z59" s="3">
        <f t="shared" si="27"/>
        <v>-0.52743201763145908</v>
      </c>
      <c r="AA59" s="3">
        <f t="shared" si="28"/>
        <v>0.29192794423934276</v>
      </c>
      <c r="AB59" s="3">
        <f t="shared" si="29"/>
        <v>-0.43927509443967222</v>
      </c>
      <c r="AC59" s="3">
        <f t="shared" si="30"/>
        <v>5.1947057980735456E-2</v>
      </c>
      <c r="AD59" s="3">
        <f t="shared" si="31"/>
        <v>-7.8166716310111295E-2</v>
      </c>
      <c r="AE59" s="3">
        <f t="shared" si="7"/>
        <v>-0.3155183716131813</v>
      </c>
      <c r="AF59" s="3">
        <f t="shared" si="32"/>
        <v>0.17463602230371525</v>
      </c>
      <c r="AG59" s="3">
        <f t="shared" si="33"/>
        <v>-0.26278147297587368</v>
      </c>
      <c r="AH59" s="3">
        <f t="shared" si="34"/>
        <v>3.1075571061804187E-2</v>
      </c>
      <c r="AI59" s="3">
        <f t="shared" si="35"/>
        <v>-4.6760595147921045E-2</v>
      </c>
      <c r="AJ59" s="3">
        <f t="shared" si="8"/>
        <v>-8.6323059071136521E-2</v>
      </c>
      <c r="AK59" s="3">
        <f t="shared" si="36"/>
        <v>4.7778883974951836E-2</v>
      </c>
      <c r="AL59" s="3">
        <f t="shared" si="37"/>
        <v>-7.1894706157734703E-2</v>
      </c>
      <c r="AM59" s="3">
        <f t="shared" si="38"/>
        <v>8.5020036796023945E-3</v>
      </c>
      <c r="AN59" s="3">
        <f t="shared" si="39"/>
        <v>-1.2793288696685376E-2</v>
      </c>
      <c r="AO59" s="3">
        <f t="shared" si="9"/>
        <v>0.14760036585482911</v>
      </c>
      <c r="AP59" s="3">
        <f t="shared" si="40"/>
        <v>-8.1695213662745778E-2</v>
      </c>
      <c r="AQ59" s="3">
        <f t="shared" si="41"/>
        <v>0.1229298989875031</v>
      </c>
      <c r="AR59" s="3"/>
      <c r="AS59" s="2"/>
      <c r="AT59" s="2"/>
    </row>
    <row r="60" spans="1:46">
      <c r="A60">
        <f t="shared" si="42"/>
        <v>57</v>
      </c>
      <c r="B60" s="1">
        <f t="shared" si="0"/>
        <v>7.0299810000000003</v>
      </c>
      <c r="C60" s="1">
        <f t="shared" si="1"/>
        <v>44.170673328951658</v>
      </c>
      <c r="D60" s="1">
        <f t="shared" si="2"/>
        <v>0.18726404728714949</v>
      </c>
      <c r="E60" s="1">
        <f t="shared" si="3"/>
        <v>0.98230961340792966</v>
      </c>
      <c r="F60" s="2">
        <f t="shared" si="4"/>
        <v>6136.0810374580269</v>
      </c>
      <c r="G60" s="2">
        <f t="shared" si="5"/>
        <v>32187.33910253763</v>
      </c>
      <c r="H60" s="2">
        <f t="shared" si="6"/>
        <v>1534.0670753763286</v>
      </c>
      <c r="I60" s="3">
        <f t="shared" si="10"/>
        <v>0.4288726920810379</v>
      </c>
      <c r="J60" s="3">
        <f t="shared" si="11"/>
        <v>0.18393178601283675</v>
      </c>
      <c r="K60" s="3">
        <f t="shared" si="12"/>
        <v>-0.48407841415627556</v>
      </c>
      <c r="L60" s="3">
        <f t="shared" si="13"/>
        <v>-9.0650483039249122E-2</v>
      </c>
      <c r="M60" s="3">
        <f t="shared" si="14"/>
        <v>-0.47551487986897473</v>
      </c>
      <c r="N60" s="3">
        <f t="shared" si="15"/>
        <v>-1.6673505248335455E-2</v>
      </c>
      <c r="O60" s="3">
        <f t="shared" si="16"/>
        <v>-8.7462301129980033E-2</v>
      </c>
      <c r="P60" s="3">
        <f t="shared" si="17"/>
        <v>-0.26340350296057813</v>
      </c>
      <c r="Q60" s="3">
        <f t="shared" si="18"/>
        <v>-4.9326006034010522E-2</v>
      </c>
      <c r="R60" s="3">
        <f t="shared" si="19"/>
        <v>-0.25874379316349994</v>
      </c>
      <c r="S60" s="3">
        <f t="shared" si="20"/>
        <v>-9.0726203867155172E-3</v>
      </c>
      <c r="T60" s="3">
        <f t="shared" si="21"/>
        <v>-4.7591207996298568E-2</v>
      </c>
      <c r="U60" s="3">
        <f t="shared" si="22"/>
        <v>-2.778398991848139E-2</v>
      </c>
      <c r="V60" s="3">
        <f t="shared" si="23"/>
        <v>-5.2029424019201841E-3</v>
      </c>
      <c r="W60" s="3">
        <f t="shared" si="24"/>
        <v>-2.7292480395753268E-2</v>
      </c>
      <c r="X60" s="3">
        <f t="shared" si="25"/>
        <v>-9.56986488507098E-4</v>
      </c>
      <c r="Y60" s="3">
        <f t="shared" si="26"/>
        <v>-5.0199546639112316E-3</v>
      </c>
      <c r="Z60" s="3">
        <f t="shared" si="27"/>
        <v>0.20941189041700853</v>
      </c>
      <c r="AA60" s="3">
        <f t="shared" si="28"/>
        <v>3.9215318149542051E-2</v>
      </c>
      <c r="AB60" s="3">
        <f t="shared" si="29"/>
        <v>0.20570731311855539</v>
      </c>
      <c r="AC60" s="3">
        <f t="shared" si="30"/>
        <v>7.2129435063068821E-3</v>
      </c>
      <c r="AD60" s="3">
        <f t="shared" si="31"/>
        <v>3.7836113497797731E-2</v>
      </c>
      <c r="AE60" s="3">
        <f t="shared" si="7"/>
        <v>0.43472646587612651</v>
      </c>
      <c r="AF60" s="3">
        <f t="shared" si="32"/>
        <v>8.140863746280233E-2</v>
      </c>
      <c r="AG60" s="3">
        <f t="shared" si="33"/>
        <v>0.42703598663297337</v>
      </c>
      <c r="AH60" s="3">
        <f t="shared" si="34"/>
        <v>1.4973636085404763E-2</v>
      </c>
      <c r="AI60" s="3">
        <f t="shared" si="35"/>
        <v>7.8545491713156668E-2</v>
      </c>
      <c r="AJ60" s="3">
        <f t="shared" si="8"/>
        <v>0.63537616834916999</v>
      </c>
      <c r="AK60" s="3">
        <f t="shared" si="36"/>
        <v>0.11898311283486682</v>
      </c>
      <c r="AL60" s="3">
        <f t="shared" si="37"/>
        <v>0.62413611829968485</v>
      </c>
      <c r="AM60" s="3">
        <f t="shared" si="38"/>
        <v>2.1884776449083935E-2</v>
      </c>
      <c r="AN60" s="3">
        <f t="shared" si="39"/>
        <v>0.11479847095398019</v>
      </c>
      <c r="AO60" s="3">
        <f t="shared" si="9"/>
        <v>0.79997682913544876</v>
      </c>
      <c r="AP60" s="3">
        <f t="shared" si="40"/>
        <v>0.14980689875984457</v>
      </c>
      <c r="AQ60" s="3">
        <f t="shared" si="41"/>
        <v>0.78582492976334406</v>
      </c>
      <c r="AR60" s="3"/>
      <c r="AS60" s="2"/>
      <c r="AT60" s="2"/>
    </row>
    <row r="61" spans="1:46">
      <c r="A61">
        <f t="shared" si="42"/>
        <v>58</v>
      </c>
      <c r="B61" s="1">
        <f t="shared" si="0"/>
        <v>7.153314</v>
      </c>
      <c r="C61" s="1">
        <f t="shared" si="1"/>
        <v>44.945597422442034</v>
      </c>
      <c r="D61" s="1">
        <f t="shared" si="2"/>
        <v>0.82107987569271124</v>
      </c>
      <c r="E61" s="1">
        <f t="shared" si="3"/>
        <v>0.57081331250457179</v>
      </c>
      <c r="F61" s="2">
        <f t="shared" si="4"/>
        <v>26904.32428682307</v>
      </c>
      <c r="G61" s="2">
        <f t="shared" si="5"/>
        <v>18703.839810837304</v>
      </c>
      <c r="H61" s="2">
        <f t="shared" si="6"/>
        <v>6726.2863416746904</v>
      </c>
      <c r="I61" s="3">
        <f t="shared" si="10"/>
        <v>0.43588441847537107</v>
      </c>
      <c r="J61" s="3">
        <f t="shared" si="11"/>
        <v>0.18999522626961241</v>
      </c>
      <c r="K61" s="3">
        <f t="shared" si="12"/>
        <v>0.24611759541269426</v>
      </c>
      <c r="L61" s="3">
        <f t="shared" si="13"/>
        <v>0.202082204647244</v>
      </c>
      <c r="M61" s="3">
        <f t="shared" si="14"/>
        <v>0.14048719990318001</v>
      </c>
      <c r="N61" s="3">
        <f t="shared" si="15"/>
        <v>3.8394654197015245E-2</v>
      </c>
      <c r="O61" s="3">
        <f t="shared" si="16"/>
        <v>2.6691897333588958E-2</v>
      </c>
      <c r="P61" s="3">
        <f t="shared" si="17"/>
        <v>0.47205678225696607</v>
      </c>
      <c r="Q61" s="3">
        <f t="shared" si="18"/>
        <v>0.38759632409545097</v>
      </c>
      <c r="R61" s="3">
        <f t="shared" si="19"/>
        <v>0.26945629557034817</v>
      </c>
      <c r="S61" s="3">
        <f t="shared" si="20"/>
        <v>7.3641451297785224E-2</v>
      </c>
      <c r="T61" s="3">
        <f t="shared" si="21"/>
        <v>5.1195409846659864E-2</v>
      </c>
      <c r="U61" s="3">
        <f t="shared" si="22"/>
        <v>0.67026977728358161</v>
      </c>
      <c r="V61" s="3">
        <f t="shared" si="23"/>
        <v>0.55034502541258445</v>
      </c>
      <c r="W61" s="3">
        <f t="shared" si="24"/>
        <v>0.38259891184294281</v>
      </c>
      <c r="X61" s="3">
        <f t="shared" si="25"/>
        <v>0.10456292762961958</v>
      </c>
      <c r="Y61" s="3">
        <f t="shared" si="26"/>
        <v>7.2691966826107415E-2</v>
      </c>
      <c r="Z61" s="3">
        <f t="shared" si="27"/>
        <v>0.82911456680388185</v>
      </c>
      <c r="AA61" s="3">
        <f t="shared" si="28"/>
        <v>0.68076928544634741</v>
      </c>
      <c r="AB61" s="3">
        <f t="shared" si="29"/>
        <v>0.47326963232311686</v>
      </c>
      <c r="AC61" s="3">
        <f t="shared" si="30"/>
        <v>0.12934291442578114</v>
      </c>
      <c r="AD61" s="3">
        <f t="shared" si="31"/>
        <v>8.9918970879766857E-2</v>
      </c>
      <c r="AE61" s="3">
        <f t="shared" si="7"/>
        <v>0.93926142340156249</v>
      </c>
      <c r="AF61" s="3">
        <f t="shared" si="32"/>
        <v>0.77120865276951389</v>
      </c>
      <c r="AG61" s="3">
        <f t="shared" si="33"/>
        <v>0.53614292439960498</v>
      </c>
      <c r="AH61" s="3">
        <f t="shared" si="34"/>
        <v>0.14652596248402674</v>
      </c>
      <c r="AI61" s="3">
        <f t="shared" si="35"/>
        <v>0.10186459623415466</v>
      </c>
      <c r="AJ61" s="3">
        <f t="shared" si="8"/>
        <v>0.99424088622164386</v>
      </c>
      <c r="AK61" s="3">
        <f t="shared" si="36"/>
        <v>0.81635118326747835</v>
      </c>
      <c r="AL61" s="3">
        <f t="shared" si="37"/>
        <v>0.5675259336916576</v>
      </c>
      <c r="AM61" s="3">
        <f t="shared" si="38"/>
        <v>0.15510282778037038</v>
      </c>
      <c r="AN61" s="3">
        <f t="shared" si="39"/>
        <v>0.10782721818561954</v>
      </c>
      <c r="AO61" s="3">
        <f t="shared" si="9"/>
        <v>0.99082374388643213</v>
      </c>
      <c r="AP61" s="3">
        <f t="shared" si="40"/>
        <v>0.8135454364636584</v>
      </c>
      <c r="AQ61" s="3">
        <f t="shared" si="41"/>
        <v>0.56557538335599578</v>
      </c>
      <c r="AR61" s="3"/>
      <c r="AS61" s="2"/>
      <c r="AT61" s="2"/>
    </row>
    <row r="62" spans="1:46">
      <c r="A62">
        <f t="shared" si="42"/>
        <v>59</v>
      </c>
      <c r="B62" s="1">
        <f t="shared" si="0"/>
        <v>7.2766469999999996</v>
      </c>
      <c r="C62" s="1">
        <f t="shared" si="1"/>
        <v>45.720521515932411</v>
      </c>
      <c r="D62" s="1">
        <f t="shared" si="2"/>
        <v>0.98601663704181686</v>
      </c>
      <c r="E62" s="1">
        <f t="shared" si="3"/>
        <v>-0.16664690659218984</v>
      </c>
      <c r="F62" s="2">
        <f t="shared" si="4"/>
        <v>32308.807145949213</v>
      </c>
      <c r="G62" s="2">
        <f t="shared" si="5"/>
        <v>-5460.5191883062844</v>
      </c>
      <c r="H62" s="2">
        <f t="shared" si="6"/>
        <v>8077.4482906465637</v>
      </c>
      <c r="I62" s="3">
        <f t="shared" si="10"/>
        <v>0.44286978725098664</v>
      </c>
      <c r="J62" s="3">
        <f t="shared" si="11"/>
        <v>0.19613364845973416</v>
      </c>
      <c r="K62" s="3">
        <f t="shared" si="12"/>
        <v>0.84290242558077078</v>
      </c>
      <c r="L62" s="3">
        <f t="shared" si="13"/>
        <v>0.83111581502554188</v>
      </c>
      <c r="M62" s="3">
        <f t="shared" si="14"/>
        <v>-0.14046708178208894</v>
      </c>
      <c r="N62" s="3">
        <f t="shared" si="15"/>
        <v>0.16300977709354508</v>
      </c>
      <c r="O62" s="3">
        <f t="shared" si="16"/>
        <v>-2.7550321238412966E-2</v>
      </c>
      <c r="P62" s="3">
        <f t="shared" si="17"/>
        <v>0.94891946822402551</v>
      </c>
      <c r="Q62" s="3">
        <f t="shared" si="18"/>
        <v>0.93565038288176283</v>
      </c>
      <c r="R62" s="3">
        <f t="shared" si="19"/>
        <v>-0.15813449398463963</v>
      </c>
      <c r="S62" s="3">
        <f t="shared" si="20"/>
        <v>0.18351252327734735</v>
      </c>
      <c r="T62" s="3">
        <f t="shared" si="21"/>
        <v>-3.1015495252541256E-2</v>
      </c>
      <c r="U62" s="3">
        <f t="shared" si="22"/>
        <v>0.9972732757636058</v>
      </c>
      <c r="V62" s="3">
        <f t="shared" si="23"/>
        <v>0.983328041580107</v>
      </c>
      <c r="W62" s="3">
        <f t="shared" si="24"/>
        <v>-0.1661925064330648</v>
      </c>
      <c r="X62" s="3">
        <f t="shared" si="25"/>
        <v>0.19286371642787156</v>
      </c>
      <c r="Y62" s="3">
        <f t="shared" si="26"/>
        <v>-3.259594263338484E-2</v>
      </c>
      <c r="Z62" s="3">
        <f t="shared" si="27"/>
        <v>0.98502551985271602</v>
      </c>
      <c r="AA62" s="3">
        <f t="shared" si="28"/>
        <v>0.97125155048554246</v>
      </c>
      <c r="AB62" s="3">
        <f t="shared" si="29"/>
        <v>-0.16415145579781881</v>
      </c>
      <c r="AC62" s="3">
        <f t="shared" si="30"/>
        <v>0.19049511016890314</v>
      </c>
      <c r="AD62" s="3">
        <f t="shared" si="31"/>
        <v>-3.2195623925602983E-2</v>
      </c>
      <c r="AE62" s="3">
        <f t="shared" si="7"/>
        <v>0.91292046304706476</v>
      </c>
      <c r="AF62" s="3">
        <f t="shared" si="32"/>
        <v>0.90015476486032497</v>
      </c>
      <c r="AG62" s="3">
        <f t="shared" si="33"/>
        <v>-0.15213537113150288</v>
      </c>
      <c r="AH62" s="3">
        <f t="shared" si="34"/>
        <v>0.17655063821046965</v>
      </c>
      <c r="AI62" s="3">
        <f t="shared" si="35"/>
        <v>-2.9838865399797378E-2</v>
      </c>
      <c r="AJ62" s="3">
        <f t="shared" si="8"/>
        <v>0.78533973200937546</v>
      </c>
      <c r="AK62" s="3">
        <f t="shared" si="36"/>
        <v>0.77435804149120613</v>
      </c>
      <c r="AL62" s="3">
        <f t="shared" si="37"/>
        <v>-0.13087443696330178</v>
      </c>
      <c r="AM62" s="3">
        <f t="shared" si="38"/>
        <v>0.15187766789180446</v>
      </c>
      <c r="AN62" s="3">
        <f t="shared" si="39"/>
        <v>-2.5668880811725876E-2</v>
      </c>
      <c r="AO62" s="3">
        <f t="shared" si="9"/>
        <v>0.61003605806709482</v>
      </c>
      <c r="AP62" s="3">
        <f t="shared" si="40"/>
        <v>0.60150570244956336</v>
      </c>
      <c r="AQ62" s="3">
        <f t="shared" si="41"/>
        <v>-0.10166062198657484</v>
      </c>
      <c r="AR62" s="3"/>
      <c r="AS62" s="2"/>
      <c r="AT62" s="2"/>
    </row>
    <row r="63" spans="1:46">
      <c r="A63">
        <f t="shared" si="42"/>
        <v>60</v>
      </c>
      <c r="B63" s="1">
        <f t="shared" si="0"/>
        <v>7.3999800000000002</v>
      </c>
      <c r="C63" s="1">
        <f t="shared" si="1"/>
        <v>46.495445609422795</v>
      </c>
      <c r="D63" s="1">
        <f t="shared" si="2"/>
        <v>0.58788691172508656</v>
      </c>
      <c r="E63" s="1">
        <f t="shared" si="3"/>
        <v>-0.80894312471417928</v>
      </c>
      <c r="F63" s="2">
        <f t="shared" si="4"/>
        <v>19263.29043649591</v>
      </c>
      <c r="G63" s="2">
        <f t="shared" si="5"/>
        <v>-26506.639367509513</v>
      </c>
      <c r="H63" s="2">
        <f t="shared" si="6"/>
        <v>4815.9695808519091</v>
      </c>
      <c r="I63" s="3">
        <f t="shared" si="10"/>
        <v>0.44982837600763581</v>
      </c>
      <c r="J63" s="3">
        <f t="shared" si="11"/>
        <v>0.20234556786166699</v>
      </c>
      <c r="K63" s="3">
        <f t="shared" si="12"/>
        <v>0.9827812530388953</v>
      </c>
      <c r="L63" s="3">
        <f t="shared" si="13"/>
        <v>0.57776423575034697</v>
      </c>
      <c r="M63" s="3">
        <f t="shared" si="14"/>
        <v>-0.79501413774380048</v>
      </c>
      <c r="N63" s="3">
        <f t="shared" si="15"/>
        <v>0.116908032373066</v>
      </c>
      <c r="O63" s="3">
        <f t="shared" si="16"/>
        <v>-0.16086758715982286</v>
      </c>
      <c r="P63" s="3">
        <f t="shared" si="17"/>
        <v>0.90595423181373003</v>
      </c>
      <c r="Q63" s="3">
        <f t="shared" si="18"/>
        <v>0.53259863550524689</v>
      </c>
      <c r="R63" s="3">
        <f t="shared" si="19"/>
        <v>-0.73286544713143265</v>
      </c>
      <c r="S63" s="3">
        <f t="shared" si="20"/>
        <v>0.10776897334365818</v>
      </c>
      <c r="T63" s="3">
        <f t="shared" si="21"/>
        <v>-0.14829207506600423</v>
      </c>
      <c r="U63" s="3">
        <f t="shared" si="22"/>
        <v>0.77220277433710727</v>
      </c>
      <c r="V63" s="3">
        <f t="shared" si="23"/>
        <v>0.45396790423058592</v>
      </c>
      <c r="W63" s="3">
        <f t="shared" si="24"/>
        <v>-0.62466812518521786</v>
      </c>
      <c r="X63" s="3">
        <f t="shared" si="25"/>
        <v>9.1858393372508756E-2</v>
      </c>
      <c r="Y63" s="3">
        <f t="shared" si="26"/>
        <v>-0.12639882651568576</v>
      </c>
      <c r="Z63" s="3">
        <f t="shared" si="27"/>
        <v>0.58993097658574234</v>
      </c>
      <c r="AA63" s="3">
        <f t="shared" si="28"/>
        <v>0.34681269995595643</v>
      </c>
      <c r="AB63" s="3">
        <f t="shared" si="29"/>
        <v>-0.47722060756495777</v>
      </c>
      <c r="AC63" s="3">
        <f t="shared" si="30"/>
        <v>7.0176012714225924E-2</v>
      </c>
      <c r="AD63" s="3">
        <f t="shared" si="31"/>
        <v>-9.6563474833021107E-2</v>
      </c>
      <c r="AE63" s="3">
        <f t="shared" si="7"/>
        <v>0.37059164596113064</v>
      </c>
      <c r="AF63" s="3">
        <f t="shared" si="32"/>
        <v>0.21786597825520573</v>
      </c>
      <c r="AG63" s="3">
        <f t="shared" si="33"/>
        <v>-0.29978756407676788</v>
      </c>
      <c r="AH63" s="3">
        <f t="shared" si="34"/>
        <v>4.4084215087787197E-2</v>
      </c>
      <c r="AI63" s="3">
        <f t="shared" si="35"/>
        <v>-6.0660684890979477E-2</v>
      </c>
      <c r="AJ63" s="3">
        <f t="shared" si="8"/>
        <v>0.12796667928004679</v>
      </c>
      <c r="AK63" s="3">
        <f t="shared" si="36"/>
        <v>7.5229935885661334E-2</v>
      </c>
      <c r="AL63" s="3">
        <f t="shared" si="37"/>
        <v>-0.10351776539609828</v>
      </c>
      <c r="AM63" s="3">
        <f t="shared" si="38"/>
        <v>1.5222444096980942E-2</v>
      </c>
      <c r="AN63" s="3">
        <f t="shared" si="39"/>
        <v>-2.0946361022844327E-2</v>
      </c>
      <c r="AO63" s="3">
        <f t="shared" si="9"/>
        <v>-0.12269890448873474</v>
      </c>
      <c r="AP63" s="3">
        <f t="shared" si="40"/>
        <v>-7.2133080031933625E-2</v>
      </c>
      <c r="AQ63" s="3">
        <f t="shared" si="41"/>
        <v>9.9256435196123718E-2</v>
      </c>
      <c r="AR63" s="3"/>
      <c r="AS63" s="2"/>
      <c r="AT63" s="2"/>
    </row>
    <row r="64" spans="1:46">
      <c r="A64">
        <f t="shared" si="42"/>
        <v>61</v>
      </c>
      <c r="B64" s="1">
        <f t="shared" si="0"/>
        <v>7.5233129999999999</v>
      </c>
      <c r="C64" s="1">
        <f t="shared" si="1"/>
        <v>47.270369702913172</v>
      </c>
      <c r="D64" s="1">
        <f t="shared" si="2"/>
        <v>-0.14595663981568316</v>
      </c>
      <c r="E64" s="1">
        <f t="shared" si="3"/>
        <v>-0.98929098817977457</v>
      </c>
      <c r="F64" s="2">
        <f t="shared" si="4"/>
        <v>-4782.5612168404905</v>
      </c>
      <c r="G64" s="2">
        <f t="shared" si="5"/>
        <v>-32416.097809686675</v>
      </c>
      <c r="H64" s="2">
        <f t="shared" si="6"/>
        <v>-1195.6767933700764</v>
      </c>
      <c r="I64" s="3">
        <f t="shared" si="10"/>
        <v>0.45675976396443846</v>
      </c>
      <c r="J64" s="3">
        <f t="shared" si="11"/>
        <v>0.20862948197684952</v>
      </c>
      <c r="K64" s="3">
        <f t="shared" si="12"/>
        <v>0.58993097658574234</v>
      </c>
      <c r="L64" s="3">
        <f t="shared" si="13"/>
        <v>-8.610434306563941E-2</v>
      </c>
      <c r="M64" s="3">
        <f t="shared" si="14"/>
        <v>-0.58361339878436846</v>
      </c>
      <c r="N64" s="3">
        <f t="shared" si="15"/>
        <v>-1.7963904489741285E-2</v>
      </c>
      <c r="O64" s="3">
        <f t="shared" si="16"/>
        <v>-0.12175896106313129</v>
      </c>
      <c r="P64" s="3">
        <f t="shared" si="17"/>
        <v>0.36669787496293493</v>
      </c>
      <c r="Q64" s="3">
        <f t="shared" si="18"/>
        <v>-5.3521989657141514E-2</v>
      </c>
      <c r="R64" s="3">
        <f t="shared" si="19"/>
        <v>-0.3627709030855053</v>
      </c>
      <c r="S64" s="3">
        <f t="shared" si="20"/>
        <v>-1.1166264976539733E-2</v>
      </c>
      <c r="T64" s="3">
        <f t="shared" si="21"/>
        <v>-7.5684705587002854E-2</v>
      </c>
      <c r="U64" s="3">
        <f t="shared" si="22"/>
        <v>0.1196535820364665</v>
      </c>
      <c r="V64" s="3">
        <f t="shared" si="23"/>
        <v>-1.7464234775952839E-2</v>
      </c>
      <c r="W64" s="3">
        <f t="shared" si="24"/>
        <v>-0.11837221041210567</v>
      </c>
      <c r="X64" s="3">
        <f t="shared" si="25"/>
        <v>-3.6435542544291217E-3</v>
      </c>
      <c r="Y64" s="3">
        <f t="shared" si="26"/>
        <v>-2.4695932938732242E-2</v>
      </c>
      <c r="Z64" s="3">
        <f t="shared" si="27"/>
        <v>-0.13516030686141728</v>
      </c>
      <c r="AA64" s="3">
        <f t="shared" si="28"/>
        <v>1.9727544225949092E-2</v>
      </c>
      <c r="AB64" s="3">
        <f t="shared" si="29"/>
        <v>0.13371287353761308</v>
      </c>
      <c r="AC64" s="3">
        <f t="shared" si="30"/>
        <v>4.1157473325351473E-3</v>
      </c>
      <c r="AD64" s="3">
        <f t="shared" si="31"/>
        <v>2.7896447539788202E-2</v>
      </c>
      <c r="AE64" s="3">
        <f t="shared" si="7"/>
        <v>-0.38119768478644195</v>
      </c>
      <c r="AF64" s="3">
        <f t="shared" si="32"/>
        <v>5.5638333176947032E-2</v>
      </c>
      <c r="AG64" s="3">
        <f t="shared" si="33"/>
        <v>0.37711543427422139</v>
      </c>
      <c r="AH64" s="3">
        <f t="shared" si="34"/>
        <v>1.160779662876182E-2</v>
      </c>
      <c r="AI64" s="3">
        <f t="shared" si="35"/>
        <v>7.8677397698105458E-2</v>
      </c>
      <c r="AJ64" s="3">
        <f t="shared" si="8"/>
        <v>-0.60248233951152252</v>
      </c>
      <c r="AK64" s="3">
        <f t="shared" si="36"/>
        <v>8.7936297823393433E-2</v>
      </c>
      <c r="AL64" s="3">
        <f t="shared" si="37"/>
        <v>0.59603034901621654</v>
      </c>
      <c r="AM64" s="3">
        <f t="shared" si="38"/>
        <v>1.8346104261856531E-2</v>
      </c>
      <c r="AN64" s="3">
        <f t="shared" si="39"/>
        <v>0.12434950295773409</v>
      </c>
      <c r="AO64" s="3">
        <f t="shared" si="9"/>
        <v>-0.7846453542635432</v>
      </c>
      <c r="AP64" s="3">
        <f t="shared" si="40"/>
        <v>0.11452419935529309</v>
      </c>
      <c r="AQ64" s="3">
        <f t="shared" si="41"/>
        <v>0.77624257789004991</v>
      </c>
      <c r="AR64" s="3"/>
      <c r="AS64" s="2"/>
      <c r="AT64" s="2"/>
    </row>
    <row r="65" spans="1:46">
      <c r="A65">
        <f t="shared" si="42"/>
        <v>62</v>
      </c>
      <c r="B65" s="1">
        <f t="shared" si="0"/>
        <v>7.6466459999999996</v>
      </c>
      <c r="C65" s="1">
        <f t="shared" si="1"/>
        <v>48.045293796403548</v>
      </c>
      <c r="D65" s="1">
        <f t="shared" si="2"/>
        <v>-0.79645140260464475</v>
      </c>
      <c r="E65" s="1">
        <f t="shared" si="3"/>
        <v>-0.6047025411630863</v>
      </c>
      <c r="F65" s="2">
        <f t="shared" si="4"/>
        <v>-26097.323109146393</v>
      </c>
      <c r="G65" s="2">
        <f t="shared" si="5"/>
        <v>-19814.288166290848</v>
      </c>
      <c r="H65" s="2">
        <f t="shared" si="6"/>
        <v>-6524.5298901372498</v>
      </c>
      <c r="I65" s="3">
        <f t="shared" si="10"/>
        <v>0.46366353198532728</v>
      </c>
      <c r="J65" s="3">
        <f t="shared" si="11"/>
        <v>0.21498387089310861</v>
      </c>
      <c r="K65" s="3">
        <f t="shared" si="12"/>
        <v>-0.12269890448873474</v>
      </c>
      <c r="L65" s="3">
        <f t="shared" si="13"/>
        <v>9.7723714578106136E-2</v>
      </c>
      <c r="M65" s="3">
        <f t="shared" si="14"/>
        <v>7.4196339342264717E-2</v>
      </c>
      <c r="N65" s="3">
        <f t="shared" si="15"/>
        <v>2.1009022438054564E-2</v>
      </c>
      <c r="O65" s="3">
        <f t="shared" si="16"/>
        <v>1.5951016237898713E-2</v>
      </c>
      <c r="P65" s="3">
        <f t="shared" si="17"/>
        <v>-0.3734393794406673</v>
      </c>
      <c r="Q65" s="3">
        <f t="shared" si="18"/>
        <v>0.2974263175433276</v>
      </c>
      <c r="R65" s="3">
        <f t="shared" si="19"/>
        <v>0.22581974171813751</v>
      </c>
      <c r="S65" s="3">
        <f t="shared" si="20"/>
        <v>6.3941861050947457E-2</v>
      </c>
      <c r="T65" s="3">
        <f t="shared" si="21"/>
        <v>4.8547602198647205E-2</v>
      </c>
      <c r="U65" s="3">
        <f t="shared" si="22"/>
        <v>-0.59913385533039232</v>
      </c>
      <c r="V65" s="3">
        <f t="shared" si="23"/>
        <v>0.47718099942581926</v>
      </c>
      <c r="W65" s="3">
        <f t="shared" si="24"/>
        <v>0.36229776481512516</v>
      </c>
      <c r="X65" s="3">
        <f t="shared" si="25"/>
        <v>0.10258621837320488</v>
      </c>
      <c r="Y65" s="3">
        <f t="shared" si="26"/>
        <v>7.7888175895876696E-2</v>
      </c>
      <c r="Z65" s="3">
        <f t="shared" si="27"/>
        <v>-0.7846453542635432</v>
      </c>
      <c r="AA65" s="3">
        <f t="shared" si="28"/>
        <v>0.6249318929504174</v>
      </c>
      <c r="AB65" s="3">
        <f t="shared" si="29"/>
        <v>0.47447703963497467</v>
      </c>
      <c r="AC65" s="3">
        <f t="shared" si="30"/>
        <v>0.1343502773910385</v>
      </c>
      <c r="AD65" s="3">
        <f t="shared" si="31"/>
        <v>0.10200491063062976</v>
      </c>
      <c r="AE65" s="3">
        <f t="shared" si="7"/>
        <v>-0.91753190818825658</v>
      </c>
      <c r="AF65" s="3">
        <f t="shared" si="32"/>
        <v>0.73076957521105312</v>
      </c>
      <c r="AG65" s="3">
        <f t="shared" si="33"/>
        <v>0.55483387647965432</v>
      </c>
      <c r="AH65" s="3">
        <f t="shared" si="34"/>
        <v>0.15710367200978487</v>
      </c>
      <c r="AI65" s="3">
        <f t="shared" si="35"/>
        <v>0.11928033446822497</v>
      </c>
      <c r="AJ65" s="3">
        <f t="shared" si="8"/>
        <v>-0.98888102236452036</v>
      </c>
      <c r="AK65" s="3">
        <f t="shared" si="36"/>
        <v>0.78759567727133728</v>
      </c>
      <c r="AL65" s="3">
        <f t="shared" si="37"/>
        <v>0.59797886713177628</v>
      </c>
      <c r="AM65" s="3">
        <f t="shared" si="38"/>
        <v>0.16932036739847162</v>
      </c>
      <c r="AN65" s="3">
        <f t="shared" si="39"/>
        <v>0.12855581156826512</v>
      </c>
      <c r="AO65" s="3">
        <f t="shared" si="9"/>
        <v>-0.99390742254133058</v>
      </c>
      <c r="AP65" s="3">
        <f t="shared" si="40"/>
        <v>0.79159896074221003</v>
      </c>
      <c r="AQ65" s="3">
        <f t="shared" si="41"/>
        <v>0.60101834409159594</v>
      </c>
      <c r="AR65" s="3"/>
      <c r="AS65" s="2"/>
      <c r="AT65" s="2"/>
    </row>
    <row r="66" spans="1:46">
      <c r="A66">
        <f t="shared" si="42"/>
        <v>63</v>
      </c>
      <c r="B66" s="1">
        <f t="shared" si="0"/>
        <v>7.7699790000000002</v>
      </c>
      <c r="C66" s="1">
        <f t="shared" si="1"/>
        <v>48.820217889893932</v>
      </c>
      <c r="D66" s="1">
        <f t="shared" si="2"/>
        <v>-0.992131230008645</v>
      </c>
      <c r="E66" s="1">
        <f t="shared" si="3"/>
        <v>0.12520232602285453</v>
      </c>
      <c r="F66" s="2">
        <f t="shared" si="4"/>
        <v>-32509.164013693269</v>
      </c>
      <c r="G66" s="2">
        <f t="shared" si="5"/>
        <v>4102.504616790874</v>
      </c>
      <c r="H66" s="2">
        <f t="shared" si="6"/>
        <v>-8127.5390362308199</v>
      </c>
      <c r="I66" s="3">
        <f t="shared" si="10"/>
        <v>0.47053926260439283</v>
      </c>
      <c r="J66" s="3">
        <f t="shared" si="11"/>
        <v>0.22140719765228575</v>
      </c>
      <c r="K66" s="3">
        <f t="shared" si="12"/>
        <v>-0.7688182805682604</v>
      </c>
      <c r="L66" s="3">
        <f t="shared" si="13"/>
        <v>0.76276862635331977</v>
      </c>
      <c r="M66" s="3">
        <f t="shared" si="14"/>
        <v>-9.6257837016037781E-2</v>
      </c>
      <c r="N66" s="3">
        <f t="shared" si="15"/>
        <v>0.16888246401797197</v>
      </c>
      <c r="O66" s="3">
        <f t="shared" si="16"/>
        <v>-2.1312177945791388E-2</v>
      </c>
      <c r="P66" s="3">
        <f t="shared" si="17"/>
        <v>-0.9090026702477032</v>
      </c>
      <c r="Q66" s="3">
        <f t="shared" si="18"/>
        <v>0.90184993731399654</v>
      </c>
      <c r="R66" s="3">
        <f t="shared" si="19"/>
        <v>-0.11380924867599826</v>
      </c>
      <c r="S66" s="3">
        <f t="shared" si="20"/>
        <v>0.19967606732358156</v>
      </c>
      <c r="T66" s="3">
        <f t="shared" si="21"/>
        <v>-2.519818681626489E-2</v>
      </c>
      <c r="U66" s="3">
        <f t="shared" si="22"/>
        <v>-0.98625069444683688</v>
      </c>
      <c r="V66" s="3">
        <f t="shared" si="23"/>
        <v>0.97849011457842061</v>
      </c>
      <c r="W66" s="3">
        <f t="shared" si="24"/>
        <v>-0.12348088098639956</v>
      </c>
      <c r="X66" s="3">
        <f t="shared" si="25"/>
        <v>0.21664475419927212</v>
      </c>
      <c r="Y66" s="3">
        <f t="shared" si="26"/>
        <v>-2.7339555822834139E-2</v>
      </c>
      <c r="Z66" s="3">
        <f t="shared" si="27"/>
        <v>-0.99521395316337857</v>
      </c>
      <c r="AA66" s="3">
        <f t="shared" si="28"/>
        <v>0.98738284347374883</v>
      </c>
      <c r="AB66" s="3">
        <f t="shared" si="29"/>
        <v>-0.1246031018264552</v>
      </c>
      <c r="AC66" s="3">
        <f t="shared" si="30"/>
        <v>0.21861366838346821</v>
      </c>
      <c r="AD66" s="3">
        <f t="shared" si="31"/>
        <v>-2.7588023594177852E-2</v>
      </c>
      <c r="AE66" s="3">
        <f t="shared" si="7"/>
        <v>-0.93527185974237126</v>
      </c>
      <c r="AF66" s="3">
        <f t="shared" si="32"/>
        <v>0.92791242059867174</v>
      </c>
      <c r="AG66" s="3">
        <f t="shared" si="33"/>
        <v>-0.11709821230346584</v>
      </c>
      <c r="AH66" s="3">
        <f t="shared" si="34"/>
        <v>0.20544648871150101</v>
      </c>
      <c r="AI66" s="3">
        <f t="shared" si="35"/>
        <v>-2.5926387036202779E-2</v>
      </c>
      <c r="AJ66" s="3">
        <f t="shared" si="8"/>
        <v>-0.81057460826209105</v>
      </c>
      <c r="AK66" s="3">
        <f t="shared" si="36"/>
        <v>0.804196383108844</v>
      </c>
      <c r="AL66" s="3">
        <f t="shared" si="37"/>
        <v>-0.10148582636947792</v>
      </c>
      <c r="AM66" s="3">
        <f t="shared" si="38"/>
        <v>0.17805486754623312</v>
      </c>
      <c r="AN66" s="3">
        <f t="shared" si="39"/>
        <v>-2.246969241789255E-2</v>
      </c>
      <c r="AO66" s="3">
        <f t="shared" si="9"/>
        <v>-0.62975582769901695</v>
      </c>
      <c r="AP66" s="3">
        <f t="shared" si="40"/>
        <v>0.62480042394013802</v>
      </c>
      <c r="AQ66" s="3">
        <f t="shared" si="41"/>
        <v>-7.8846894454364921E-2</v>
      </c>
      <c r="AR66" s="3"/>
      <c r="AS66" s="2"/>
      <c r="AT66" s="2"/>
    </row>
    <row r="67" spans="1:46">
      <c r="A67">
        <f t="shared" si="42"/>
        <v>64</v>
      </c>
      <c r="B67" s="1">
        <f t="shared" ref="B67:B130" si="43">A67*0.123333</f>
        <v>7.8933119999999999</v>
      </c>
      <c r="C67" s="1">
        <f t="shared" ref="C67:C130" si="44">2*PI() * B67</f>
        <v>49.595141983384316</v>
      </c>
      <c r="D67" s="1">
        <f t="shared" ref="D67:D130" si="45">SIN(C67)</f>
        <v>-0.62125282197717735</v>
      </c>
      <c r="E67" s="1">
        <f t="shared" ref="E67:E130" si="46">COS(C67)</f>
        <v>0.78361019083814476</v>
      </c>
      <c r="F67" s="2">
        <f t="shared" ref="F67:F130" si="47">32767*D67</f>
        <v>-20356.591217726171</v>
      </c>
      <c r="G67" s="2">
        <f t="shared" ref="G67:G130" si="48">32767*E67</f>
        <v>25676.555123193488</v>
      </c>
      <c r="H67" s="2">
        <f t="shared" ref="H67:H130" si="49">8192*SIN(C67)</f>
        <v>-5089.3031176370368</v>
      </c>
      <c r="I67" s="3">
        <f t="shared" si="10"/>
        <v>0.47738654005112702</v>
      </c>
      <c r="J67" s="3">
        <f t="shared" si="11"/>
        <v>0.22789790862198631</v>
      </c>
      <c r="K67" s="3">
        <f t="shared" si="12"/>
        <v>-0.99818990895594528</v>
      </c>
      <c r="L67" s="3">
        <f t="shared" si="13"/>
        <v>0.6201282978080227</v>
      </c>
      <c r="M67" s="3">
        <f t="shared" si="14"/>
        <v>-0.78219178504967868</v>
      </c>
      <c r="N67" s="3">
        <f t="shared" si="15"/>
        <v>0.14132594214776067</v>
      </c>
      <c r="O67" s="3">
        <f t="shared" si="16"/>
        <v>-0.17825987195412002</v>
      </c>
      <c r="P67" s="3">
        <f t="shared" si="17"/>
        <v>-0.94660487443619379</v>
      </c>
      <c r="Q67" s="3">
        <f t="shared" si="18"/>
        <v>0.58808094954083701</v>
      </c>
      <c r="R67" s="3">
        <f t="shared" si="19"/>
        <v>-0.74176922630526387</v>
      </c>
      <c r="S67" s="3">
        <f t="shared" si="20"/>
        <v>0.13402241850078861</v>
      </c>
      <c r="T67" s="3">
        <f t="shared" si="21"/>
        <v>-0.16904765535511851</v>
      </c>
      <c r="U67" s="3">
        <f t="shared" si="22"/>
        <v>-0.8273954524635051</v>
      </c>
      <c r="V67" s="3">
        <f t="shared" si="23"/>
        <v>0.51402175973403608</v>
      </c>
      <c r="W67" s="3">
        <f t="shared" si="24"/>
        <v>-0.64835550840354039</v>
      </c>
      <c r="X67" s="3">
        <f t="shared" si="25"/>
        <v>0.11714448402957994</v>
      </c>
      <c r="Y67" s="3">
        <f t="shared" si="26"/>
        <v>-0.1477588644087115</v>
      </c>
      <c r="Z67" s="3">
        <f t="shared" si="27"/>
        <v>-0.64907783005236397</v>
      </c>
      <c r="AA67" s="3">
        <f t="shared" si="28"/>
        <v>0.40324143360285386</v>
      </c>
      <c r="AB67" s="3">
        <f t="shared" si="29"/>
        <v>-0.5086240022761418</v>
      </c>
      <c r="AC67" s="3">
        <f t="shared" si="30"/>
        <v>9.1897879387821943E-2</v>
      </c>
      <c r="AD67" s="3">
        <f t="shared" si="31"/>
        <v>-0.11591434639367713</v>
      </c>
      <c r="AE67" s="3">
        <f t="shared" ref="AE67:AE130" si="50">SIN(0.5+A67*92/750*2*PI())</f>
        <v>-0.42439081756945041</v>
      </c>
      <c r="AF67" s="3">
        <f t="shared" si="32"/>
        <v>0.2636539930362225</v>
      </c>
      <c r="AG67" s="3">
        <f t="shared" si="33"/>
        <v>-0.3325569695455533</v>
      </c>
      <c r="AH67" s="3">
        <f t="shared" si="34"/>
        <v>6.0086193612790856E-2</v>
      </c>
      <c r="AI67" s="3">
        <f t="shared" si="35"/>
        <v>-7.5789037857097188E-2</v>
      </c>
      <c r="AJ67" s="3">
        <f t="shared" ref="AJ67:AJ130" si="51">SIN(0.5+A67*92.5/750*2*PI())</f>
        <v>-0.16938580245013005</v>
      </c>
      <c r="AK67" s="3">
        <f t="shared" si="36"/>
        <v>0.10523140777501197</v>
      </c>
      <c r="AL67" s="3">
        <f t="shared" si="37"/>
        <v>-0.13273244098321868</v>
      </c>
      <c r="AM67" s="3">
        <f t="shared" si="38"/>
        <v>2.3982017753272657E-2</v>
      </c>
      <c r="AN67" s="3">
        <f t="shared" si="39"/>
        <v>-3.0249445706366763E-2</v>
      </c>
      <c r="AO67" s="3">
        <f t="shared" ref="AO67:AO130" si="52">SIN(0.5+A67*93/750*2*PI())</f>
        <v>9.7719943864696485E-2</v>
      </c>
      <c r="AP67" s="3">
        <f t="shared" si="40"/>
        <v>-6.070879088939405E-2</v>
      </c>
      <c r="AQ67" s="3">
        <f t="shared" si="41"/>
        <v>7.6574343860507599E-2</v>
      </c>
      <c r="AR67" s="3"/>
      <c r="AS67" s="2"/>
      <c r="AT67" s="2"/>
    </row>
    <row r="68" spans="1:46">
      <c r="A68">
        <f t="shared" si="42"/>
        <v>65</v>
      </c>
      <c r="B68" s="1">
        <f t="shared" si="43"/>
        <v>8.0166450000000005</v>
      </c>
      <c r="C68" s="1">
        <f t="shared" si="44"/>
        <v>50.3700660768747</v>
      </c>
      <c r="D68" s="1">
        <f t="shared" si="45"/>
        <v>0.1043930723833192</v>
      </c>
      <c r="E68" s="1">
        <f t="shared" si="46"/>
        <v>0.99453611620612903</v>
      </c>
      <c r="F68" s="2">
        <f t="shared" si="47"/>
        <v>3420.6478027842204</v>
      </c>
      <c r="G68" s="2">
        <f t="shared" si="48"/>
        <v>32587.96491972623</v>
      </c>
      <c r="H68" s="2">
        <f t="shared" si="49"/>
        <v>855.18804896415088</v>
      </c>
      <c r="I68" s="3">
        <f t="shared" ref="I68:I131" si="53">SIN(PI()*A68/404)</f>
        <v>0.48420495027556509</v>
      </c>
      <c r="J68" s="3">
        <f t="shared" ref="J68:J131" si="54">I68*I68</f>
        <v>0.23445443387136247</v>
      </c>
      <c r="K68" s="3">
        <f t="shared" ref="K68:K131" si="55">SIN(0.5+A68*90/750*2*PI())</f>
        <v>-0.68647997510677417</v>
      </c>
      <c r="L68" s="3">
        <f t="shared" ref="L68:L131" si="56">K68*D68</f>
        <v>-7.1663753731020644E-2</v>
      </c>
      <c r="M68" s="3">
        <f t="shared" ref="M68:M131" si="57">K68*E68</f>
        <v>-0.68272912829597132</v>
      </c>
      <c r="N68" s="3">
        <f t="shared" ref="N68:N131" si="58">K68*J68*D68</f>
        <v>-1.6801884810103182E-2</v>
      </c>
      <c r="O68" s="3">
        <f t="shared" ref="O68:O131" si="59">K68*J68*E68</f>
        <v>-0.16006887126212074</v>
      </c>
      <c r="P68" s="3">
        <f t="shared" ref="P68:P131" si="60">SIN(0.5+A68*90.5/750*2*PI())</f>
        <v>-0.46564711472027015</v>
      </c>
      <c r="Q68" s="3">
        <f t="shared" ref="Q68:Q131" si="61">P68*D68</f>
        <v>-4.8610332952076903E-2</v>
      </c>
      <c r="R68" s="3">
        <f t="shared" ref="R68:R131" si="62">P68*E68</f>
        <v>-0.46310287299648728</v>
      </c>
      <c r="S68" s="3">
        <f t="shared" ref="S68:S131" si="63">P68*J68*D68</f>
        <v>-1.1396908092577625E-2</v>
      </c>
      <c r="T68" s="3">
        <f t="shared" ref="T68:T131" si="64">P68*J68*E68</f>
        <v>-0.1085765219125929</v>
      </c>
      <c r="U68" s="3">
        <f t="shared" ref="U68:U131" si="65">SIN(0.5+A68*91/750*2*PI())</f>
        <v>-0.21050776536502974</v>
      </c>
      <c r="V68" s="3">
        <f t="shared" ref="V68:V131" si="66">U68*D68</f>
        <v>-2.1975552387002325E-2</v>
      </c>
      <c r="W68" s="3">
        <f t="shared" ref="W68:W131" si="67">U68*E68</f>
        <v>-0.20935757539736777</v>
      </c>
      <c r="X68" s="3">
        <f t="shared" ref="X68:X131" si="68">U68*J68*D68</f>
        <v>-5.1522656939050988E-3</v>
      </c>
      <c r="Y68" s="3">
        <f t="shared" ref="Y68:Y131" si="69">U68*J68*E68</f>
        <v>-4.9084811816470945E-2</v>
      </c>
      <c r="Z68" s="3">
        <f t="shared" ref="Z68:Z131" si="70">SIN(0.5+A68*91.5/750*2*PI())</f>
        <v>6.0140715480627438E-2</v>
      </c>
      <c r="AA68" s="3">
        <f t="shared" ref="AA68:AA131" si="71">Z68*D68</f>
        <v>6.2782740643537458E-3</v>
      </c>
      <c r="AB68" s="3">
        <f t="shared" ref="AB68:AB131" si="72">Z68*E68</f>
        <v>5.9812113599961032E-2</v>
      </c>
      <c r="AC68" s="3">
        <f t="shared" ref="AC68:AC131" si="73">Z68*J68*D68</f>
        <v>1.4719691914473153E-3</v>
      </c>
      <c r="AD68" s="3">
        <f t="shared" ref="AD68:AD131" si="74">Z68*J68*E68</f>
        <v>1.4023215232728484E-2</v>
      </c>
      <c r="AE68" s="3">
        <f t="shared" si="50"/>
        <v>0.32635833714777412</v>
      </c>
      <c r="AF68" s="3">
        <f t="shared" ref="AF68:AF131" si="75">AE68*D68</f>
        <v>3.4069549512767278E-2</v>
      </c>
      <c r="AG68" s="3">
        <f t="shared" ref="AG68:AG131" si="76">AE68*E68</f>
        <v>0.32457515311843771</v>
      </c>
      <c r="AH68" s="3">
        <f t="shared" ref="AH68:AH131" si="77">AE68*J68*D68</f>
        <v>7.9877569432682035E-3</v>
      </c>
      <c r="AI68" s="3">
        <f t="shared" ref="AI68:AI131" si="78">AE68*J68*E68</f>
        <v>7.60980837730941E-2</v>
      </c>
      <c r="AJ68" s="3">
        <f t="shared" si="51"/>
        <v>0.56853155192550309</v>
      </c>
      <c r="AK68" s="3">
        <f t="shared" ref="AK68:AK131" si="79">AJ68*D68</f>
        <v>5.9350755452359842E-2</v>
      </c>
      <c r="AL68" s="3">
        <f t="shared" ref="AL68:AL131" si="80">AJ68*E68</f>
        <v>0.56542516159263301</v>
      </c>
      <c r="AM68" s="3">
        <f t="shared" ref="AM68:AM131" si="81">AJ68*J68*D68</f>
        <v>1.3915047769420706E-2</v>
      </c>
      <c r="AN68" s="3">
        <f t="shared" ref="AN68:AN131" si="82">AJ68*J68*E68</f>
        <v>0.1325664361578244</v>
      </c>
      <c r="AO68" s="3">
        <f t="shared" si="52"/>
        <v>0.76881828056826718</v>
      </c>
      <c r="AP68" s="3">
        <f t="shared" ref="AP68:AP131" si="83">AO68*D68</f>
        <v>8.0259302412982125E-2</v>
      </c>
      <c r="AQ68" s="3">
        <f t="shared" ref="AQ68:AQ131" si="84">AO68*E68</f>
        <v>0.76461754682463845</v>
      </c>
      <c r="AR68" s="3"/>
      <c r="AS68" s="2"/>
      <c r="AT68" s="2"/>
    </row>
    <row r="69" spans="1:46">
      <c r="A69">
        <f t="shared" ref="A69:A132" si="85">A68+1</f>
        <v>66</v>
      </c>
      <c r="B69" s="1">
        <f t="shared" si="43"/>
        <v>8.1399779999999993</v>
      </c>
      <c r="C69" s="1">
        <f t="shared" si="44"/>
        <v>51.14499017036507</v>
      </c>
      <c r="D69" s="1">
        <f t="shared" si="45"/>
        <v>0.77042512424772369</v>
      </c>
      <c r="E69" s="1">
        <f t="shared" si="46"/>
        <v>0.63753049176324073</v>
      </c>
      <c r="F69" s="2">
        <f t="shared" si="47"/>
        <v>25244.520046225163</v>
      </c>
      <c r="G69" s="2">
        <f t="shared" si="48"/>
        <v>20889.961623606108</v>
      </c>
      <c r="H69" s="2">
        <f t="shared" si="49"/>
        <v>6311.3226178373525</v>
      </c>
      <c r="I69" s="3">
        <f t="shared" si="53"/>
        <v>0.49099408097332226</v>
      </c>
      <c r="J69" s="3">
        <f t="shared" si="54"/>
        <v>0.24107518755083734</v>
      </c>
      <c r="K69" s="3">
        <f t="shared" si="55"/>
        <v>-2.6548214557918022E-3</v>
      </c>
      <c r="L69" s="3">
        <f t="shared" si="56"/>
        <v>-2.045341149933922E-3</v>
      </c>
      <c r="M69" s="3">
        <f t="shared" si="57"/>
        <v>-1.6925296282545503E-3</v>
      </c>
      <c r="N69" s="3">
        <f t="shared" si="58"/>
        <v>-4.9308100132576548E-4</v>
      </c>
      <c r="O69" s="3">
        <f t="shared" si="59"/>
        <v>-4.0802689756681468E-4</v>
      </c>
      <c r="P69" s="3">
        <f t="shared" si="60"/>
        <v>0.27039696191891105</v>
      </c>
      <c r="Q69" s="3">
        <f t="shared" si="61"/>
        <v>0.20832061298258406</v>
      </c>
      <c r="R69" s="3">
        <f t="shared" si="62"/>
        <v>0.17238630810344963</v>
      </c>
      <c r="S69" s="3">
        <f t="shared" si="63"/>
        <v>5.0220930845481855E-2</v>
      </c>
      <c r="T69" s="3">
        <f t="shared" si="64"/>
        <v>4.155806155723555E-2</v>
      </c>
      <c r="U69" s="3">
        <f t="shared" si="65"/>
        <v>0.52291354081339536</v>
      </c>
      <c r="V69" s="3">
        <f t="shared" si="66"/>
        <v>0.40286572965197726</v>
      </c>
      <c r="W69" s="3">
        <f t="shared" si="67"/>
        <v>0.33337332682442139</v>
      </c>
      <c r="X69" s="3">
        <f t="shared" si="68"/>
        <v>9.7120931333655361E-2</v>
      </c>
      <c r="Y69" s="3">
        <f t="shared" si="69"/>
        <v>8.0368037288643987E-2</v>
      </c>
      <c r="Z69" s="3">
        <f t="shared" si="70"/>
        <v>0.73571763030018744</v>
      </c>
      <c r="AA69" s="3">
        <f t="shared" si="71"/>
        <v>0.56681534673526279</v>
      </c>
      <c r="AB69" s="3">
        <f t="shared" si="72"/>
        <v>0.46904242264416462</v>
      </c>
      <c r="AC69" s="3">
        <f t="shared" si="73"/>
        <v>0.13664511602089635</v>
      </c>
      <c r="AD69" s="3">
        <f t="shared" si="74"/>
        <v>0.1130744900082411</v>
      </c>
      <c r="AE69" s="3">
        <f t="shared" si="50"/>
        <v>0.89264789683164392</v>
      </c>
      <c r="AF69" s="3">
        <f t="shared" si="75"/>
        <v>0.68771836682598853</v>
      </c>
      <c r="AG69" s="3">
        <f t="shared" si="76"/>
        <v>0.56909025263850055</v>
      </c>
      <c r="AH69" s="3">
        <f t="shared" si="77"/>
        <v>0.16579183426473074</v>
      </c>
      <c r="AI69" s="3">
        <f t="shared" si="78"/>
        <v>0.13719353938817994</v>
      </c>
      <c r="AJ69" s="3">
        <f t="shared" si="51"/>
        <v>0.98178632517014142</v>
      </c>
      <c r="AK69" s="3">
        <f t="shared" si="79"/>
        <v>0.75639285155392222</v>
      </c>
      <c r="AL69" s="3">
        <f t="shared" si="80"/>
        <v>0.62591871869214522</v>
      </c>
      <c r="AM69" s="3">
        <f t="shared" si="81"/>
        <v>0.18234754855047447</v>
      </c>
      <c r="AN69" s="3">
        <f t="shared" si="82"/>
        <v>0.1508934725002887</v>
      </c>
      <c r="AO69" s="3">
        <f t="shared" si="52"/>
        <v>0.996363327965337</v>
      </c>
      <c r="AP69" s="3">
        <f t="shared" si="83"/>
        <v>0.76762334074357019</v>
      </c>
      <c r="AQ69" s="3">
        <f t="shared" si="84"/>
        <v>0.63521200245260034</v>
      </c>
      <c r="AR69" s="3"/>
      <c r="AS69" s="2"/>
      <c r="AT69" s="2"/>
    </row>
    <row r="70" spans="1:46">
      <c r="A70">
        <f t="shared" si="85"/>
        <v>67</v>
      </c>
      <c r="B70" s="1">
        <f t="shared" si="43"/>
        <v>8.2633109999999999</v>
      </c>
      <c r="C70" s="1">
        <f t="shared" si="44"/>
        <v>51.919914263855453</v>
      </c>
      <c r="D70" s="1">
        <f t="shared" si="45"/>
        <v>0.99650459148768877</v>
      </c>
      <c r="E70" s="1">
        <f t="shared" si="46"/>
        <v>-8.3538010174736665E-2</v>
      </c>
      <c r="F70" s="2">
        <f t="shared" si="47"/>
        <v>32652.465949277099</v>
      </c>
      <c r="G70" s="2">
        <f t="shared" si="48"/>
        <v>-2737.2899793955962</v>
      </c>
      <c r="H70" s="2">
        <f t="shared" si="49"/>
        <v>8163.3656134671464</v>
      </c>
      <c r="I70" s="3">
        <f t="shared" si="53"/>
        <v>0.49775352161052572</v>
      </c>
      <c r="J70" s="3">
        <f t="shared" si="54"/>
        <v>0.2477585682756801</v>
      </c>
      <c r="K70" s="3">
        <f t="shared" si="55"/>
        <v>0.68260941200140879</v>
      </c>
      <c r="L70" s="3">
        <f t="shared" si="56"/>
        <v>0.68022341325211533</v>
      </c>
      <c r="M70" s="3">
        <f t="shared" si="57"/>
        <v>-5.7023832005144701E-2</v>
      </c>
      <c r="N70" s="3">
        <f t="shared" si="58"/>
        <v>0.16853117897494038</v>
      </c>
      <c r="O70" s="3">
        <f t="shared" si="59"/>
        <v>-1.4128142975187555E-2</v>
      </c>
      <c r="P70" s="3">
        <f t="shared" si="60"/>
        <v>0.85831477954633484</v>
      </c>
      <c r="Q70" s="3">
        <f t="shared" si="61"/>
        <v>0.85531461875966608</v>
      </c>
      <c r="R70" s="3">
        <f t="shared" si="62"/>
        <v>-7.1701908786868579E-2</v>
      </c>
      <c r="S70" s="3">
        <f t="shared" si="63"/>
        <v>0.211911525369154</v>
      </c>
      <c r="T70" s="3">
        <f t="shared" si="64"/>
        <v>-1.7764762263667966E-2</v>
      </c>
      <c r="U70" s="3">
        <f t="shared" si="65"/>
        <v>0.96685855488815287</v>
      </c>
      <c r="V70" s="3">
        <f t="shared" si="66"/>
        <v>0.96347898926519593</v>
      </c>
      <c r="W70" s="3">
        <f t="shared" si="67"/>
        <v>-8.0769439795777706E-2</v>
      </c>
      <c r="X70" s="3">
        <f t="shared" si="68"/>
        <v>0.23871017494404428</v>
      </c>
      <c r="Y70" s="3">
        <f t="shared" si="69"/>
        <v>-2.0011320764230622E-2</v>
      </c>
      <c r="Z70" s="3">
        <f t="shared" si="70"/>
        <v>0.99974738226810977</v>
      </c>
      <c r="AA70" s="3">
        <f t="shared" si="71"/>
        <v>0.99625285675796893</v>
      </c>
      <c r="AB70" s="3">
        <f t="shared" si="72"/>
        <v>-8.3516906992079698E-2</v>
      </c>
      <c r="AC70" s="3">
        <f t="shared" si="73"/>
        <v>0.24683018143091059</v>
      </c>
      <c r="AD70" s="3">
        <f t="shared" si="74"/>
        <v>-2.0692029303170802E-2</v>
      </c>
      <c r="AE70" s="3">
        <f t="shared" si="50"/>
        <v>0.95440776992633869</v>
      </c>
      <c r="AF70" s="3">
        <f t="shared" si="75"/>
        <v>0.95107172488312219</v>
      </c>
      <c r="AG70" s="3">
        <f t="shared" si="76"/>
        <v>-7.9729325994954206E-2</v>
      </c>
      <c r="AH70" s="3">
        <f t="shared" si="77"/>
        <v>0.23563616888452388</v>
      </c>
      <c r="AI70" s="3">
        <f t="shared" si="78"/>
        <v>-1.975362365809482E-2</v>
      </c>
      <c r="AJ70" s="3">
        <f t="shared" si="51"/>
        <v>0.83438746121680818</v>
      </c>
      <c r="AK70" s="3">
        <f t="shared" si="79"/>
        <v>0.83147093618230516</v>
      </c>
      <c r="AL70" s="3">
        <f t="shared" si="80"/>
        <v>-6.970306822480242E-2</v>
      </c>
      <c r="AM70" s="3">
        <f t="shared" si="81"/>
        <v>0.20600404871136732</v>
      </c>
      <c r="AN70" s="3">
        <f t="shared" si="82"/>
        <v>-1.7269532387799099E-2</v>
      </c>
      <c r="AO70" s="3">
        <f t="shared" si="52"/>
        <v>0.64907783005236142</v>
      </c>
      <c r="AP70" s="3">
        <f t="shared" si="83"/>
        <v>0.64680903788004385</v>
      </c>
      <c r="AQ70" s="3">
        <f t="shared" si="84"/>
        <v>-5.4222670371110164E-2</v>
      </c>
      <c r="AR70" s="3"/>
      <c r="AS70" s="2"/>
      <c r="AT70" s="2"/>
    </row>
    <row r="71" spans="1:46">
      <c r="A71">
        <f t="shared" si="85"/>
        <v>68</v>
      </c>
      <c r="B71" s="1">
        <f t="shared" si="43"/>
        <v>8.3866440000000004</v>
      </c>
      <c r="C71" s="1">
        <f t="shared" si="44"/>
        <v>52.694838357345837</v>
      </c>
      <c r="D71" s="1">
        <f t="shared" si="45"/>
        <v>0.65352840774115351</v>
      </c>
      <c r="E71" s="1">
        <f t="shared" si="46"/>
        <v>-0.7569019885528856</v>
      </c>
      <c r="F71" s="2">
        <f t="shared" si="47"/>
        <v>21414.165336454378</v>
      </c>
      <c r="G71" s="2">
        <f t="shared" si="48"/>
        <v>-24801.407458912403</v>
      </c>
      <c r="H71" s="2">
        <f t="shared" si="49"/>
        <v>5353.7047162155295</v>
      </c>
      <c r="I71" s="3">
        <f t="shared" si="53"/>
        <v>0.5044828634486398</v>
      </c>
      <c r="J71" s="3">
        <f t="shared" si="54"/>
        <v>0.25450295951333896</v>
      </c>
      <c r="K71" s="3">
        <f t="shared" si="55"/>
        <v>0.99785651371901141</v>
      </c>
      <c r="L71" s="3">
        <f t="shared" si="56"/>
        <v>0.65212757856492398</v>
      </c>
      <c r="M71" s="3">
        <f t="shared" si="57"/>
        <v>-0.75527957952436953</v>
      </c>
      <c r="N71" s="3">
        <f t="shared" si="58"/>
        <v>0.16596839872504063</v>
      </c>
      <c r="O71" s="3">
        <f t="shared" si="59"/>
        <v>-0.19222088824894226</v>
      </c>
      <c r="P71" s="3">
        <f t="shared" si="60"/>
        <v>0.97603886257539119</v>
      </c>
      <c r="Q71" s="3">
        <f t="shared" si="61"/>
        <v>0.63786912375238192</v>
      </c>
      <c r="R71" s="3">
        <f t="shared" si="62"/>
        <v>-0.73876575598821026</v>
      </c>
      <c r="S71" s="3">
        <f t="shared" si="63"/>
        <v>0.16233957977716146</v>
      </c>
      <c r="T71" s="3">
        <f t="shared" si="64"/>
        <v>-0.1880180712861087</v>
      </c>
      <c r="U71" s="3">
        <f t="shared" si="65"/>
        <v>0.875566655758517</v>
      </c>
      <c r="V71" s="3">
        <f t="shared" si="66"/>
        <v>0.57220768240911024</v>
      </c>
      <c r="W71" s="3">
        <f t="shared" si="67"/>
        <v>-0.66271814285422137</v>
      </c>
      <c r="X71" s="3">
        <f t="shared" si="68"/>
        <v>0.14562854862938732</v>
      </c>
      <c r="Y71" s="3">
        <f t="shared" si="69"/>
        <v>-0.16866372867958307</v>
      </c>
      <c r="Z71" s="3">
        <f t="shared" si="70"/>
        <v>0.70453649381137395</v>
      </c>
      <c r="AA71" s="3">
        <f t="shared" si="71"/>
        <v>0.46043461299608229</v>
      </c>
      <c r="AB71" s="3">
        <f t="shared" si="72"/>
        <v>-0.5332650731739067</v>
      </c>
      <c r="AC71" s="3">
        <f t="shared" si="73"/>
        <v>0.11718197166988181</v>
      </c>
      <c r="AD71" s="3">
        <f t="shared" si="74"/>
        <v>-0.13571753932785652</v>
      </c>
      <c r="AE71" s="3">
        <f t="shared" si="50"/>
        <v>0.47673092362883157</v>
      </c>
      <c r="AF71" s="3">
        <f t="shared" si="75"/>
        <v>0.31155720144011972</v>
      </c>
      <c r="AG71" s="3">
        <f t="shared" si="76"/>
        <v>-0.36083858409931646</v>
      </c>
      <c r="AH71" s="3">
        <f t="shared" si="77"/>
        <v>7.9292229824203989E-2</v>
      </c>
      <c r="AI71" s="3">
        <f t="shared" si="78"/>
        <v>-9.1834487559878886E-2</v>
      </c>
      <c r="AJ71" s="3">
        <f t="shared" si="51"/>
        <v>0.21050776536503335</v>
      </c>
      <c r="AK71" s="3">
        <f t="shared" si="79"/>
        <v>0.1375728047161586</v>
      </c>
      <c r="AL71" s="3">
        <f t="shared" si="80"/>
        <v>-0.15933374621061799</v>
      </c>
      <c r="AM71" s="3">
        <f t="shared" si="81"/>
        <v>3.5012685948812995E-2</v>
      </c>
      <c r="AN71" s="3">
        <f t="shared" si="82"/>
        <v>-4.0550909960949531E-2</v>
      </c>
      <c r="AO71" s="3">
        <f t="shared" si="52"/>
        <v>-7.2679261229656747E-2</v>
      </c>
      <c r="AP71" s="3">
        <f t="shared" si="83"/>
        <v>-4.7497961867220925E-2</v>
      </c>
      <c r="AQ71" s="3">
        <f t="shared" si="84"/>
        <v>5.5011077351281835E-2</v>
      </c>
      <c r="AR71" s="3"/>
      <c r="AS71" s="2"/>
      <c r="AT71" s="2"/>
    </row>
    <row r="72" spans="1:46">
      <c r="A72">
        <f t="shared" si="85"/>
        <v>69</v>
      </c>
      <c r="B72" s="1">
        <f t="shared" si="43"/>
        <v>8.5099769999999992</v>
      </c>
      <c r="C72" s="1">
        <f t="shared" si="44"/>
        <v>53.469762450836207</v>
      </c>
      <c r="D72" s="1">
        <f t="shared" si="45"/>
        <v>-6.2646290775991875E-2</v>
      </c>
      <c r="E72" s="1">
        <f t="shared" si="46"/>
        <v>-0.99803579206960802</v>
      </c>
      <c r="F72" s="2">
        <f t="shared" si="47"/>
        <v>-2052.731009856926</v>
      </c>
      <c r="G72" s="2">
        <f t="shared" si="48"/>
        <v>-32702.638798744847</v>
      </c>
      <c r="H72" s="2">
        <f t="shared" si="49"/>
        <v>-513.19841403692544</v>
      </c>
      <c r="I72" s="3">
        <f t="shared" si="53"/>
        <v>0.51118169956918103</v>
      </c>
      <c r="J72" s="3">
        <f t="shared" si="54"/>
        <v>0.26130672997443644</v>
      </c>
      <c r="K72" s="3">
        <f t="shared" si="55"/>
        <v>0.77220277433711193</v>
      </c>
      <c r="L72" s="3">
        <f t="shared" si="56"/>
        <v>-4.8375639539150347E-2</v>
      </c>
      <c r="M72" s="3">
        <f t="shared" si="57"/>
        <v>-0.77068600752388827</v>
      </c>
      <c r="N72" s="3">
        <f t="shared" si="58"/>
        <v>-1.2640880178397431E-2</v>
      </c>
      <c r="O72" s="3">
        <f t="shared" si="59"/>
        <v>-0.20138544046312115</v>
      </c>
      <c r="P72" s="3">
        <f t="shared" si="60"/>
        <v>0.55907873784790818</v>
      </c>
      <c r="Q72" s="3">
        <f t="shared" si="61"/>
        <v>-3.5024209177894589E-2</v>
      </c>
      <c r="R72" s="3">
        <f t="shared" si="62"/>
        <v>-0.55798059095731378</v>
      </c>
      <c r="S72" s="3">
        <f t="shared" si="63"/>
        <v>-9.15206157021628E-3</v>
      </c>
      <c r="T72" s="3">
        <f t="shared" si="64"/>
        <v>-0.14580408361225927</v>
      </c>
      <c r="U72" s="3">
        <f t="shared" si="65"/>
        <v>0.29957552967000067</v>
      </c>
      <c r="V72" s="3">
        <f t="shared" si="66"/>
        <v>-1.8767295741078643E-2</v>
      </c>
      <c r="W72" s="3">
        <f t="shared" si="67"/>
        <v>-0.29898710103887149</v>
      </c>
      <c r="X72" s="3">
        <f t="shared" si="68"/>
        <v>-4.904020680564428E-3</v>
      </c>
      <c r="Y72" s="3">
        <f t="shared" si="69"/>
        <v>-7.8127341677003942E-2</v>
      </c>
      <c r="Z72" s="3">
        <f t="shared" si="70"/>
        <v>1.5220607442326508E-2</v>
      </c>
      <c r="AA72" s="3">
        <f t="shared" si="71"/>
        <v>-9.5351459961921239E-4</v>
      </c>
      <c r="AB72" s="3">
        <f t="shared" si="72"/>
        <v>-1.5190711004482906E-2</v>
      </c>
      <c r="AC72" s="3">
        <f t="shared" si="73"/>
        <v>-2.4915978200938042E-4</v>
      </c>
      <c r="AD72" s="3">
        <f t="shared" si="74"/>
        <v>-3.9694350185681153E-3</v>
      </c>
      <c r="AE72" s="3">
        <f t="shared" si="50"/>
        <v>-0.27039696191891438</v>
      </c>
      <c r="AF72" s="3">
        <f t="shared" si="75"/>
        <v>1.6939366701317113E-2</v>
      </c>
      <c r="AG72" s="3">
        <f t="shared" si="76"/>
        <v>0.26986584606195935</v>
      </c>
      <c r="AH72" s="3">
        <f t="shared" si="77"/>
        <v>4.4263705205590314E-3</v>
      </c>
      <c r="AI72" s="3">
        <f t="shared" si="78"/>
        <v>7.0517761766235254E-2</v>
      </c>
      <c r="AJ72" s="3">
        <f t="shared" si="51"/>
        <v>-0.53358336680907503</v>
      </c>
      <c r="AK72" s="3">
        <f t="shared" si="79"/>
        <v>3.3427018750354046E-2</v>
      </c>
      <c r="AL72" s="3">
        <f t="shared" si="80"/>
        <v>0.53253529812846334</v>
      </c>
      <c r="AM72" s="3">
        <f t="shared" si="81"/>
        <v>8.7347049624491892E-3</v>
      </c>
      <c r="AN72" s="3">
        <f t="shared" si="82"/>
        <v>0.1391550573499104</v>
      </c>
      <c r="AO72" s="3">
        <f t="shared" si="52"/>
        <v>-0.7525056047685853</v>
      </c>
      <c r="AP72" s="3">
        <f t="shared" si="83"/>
        <v>4.714168492689641E-2</v>
      </c>
      <c r="AQ72" s="3">
        <f t="shared" si="84"/>
        <v>0.75102752729203448</v>
      </c>
      <c r="AR72" s="3"/>
      <c r="AS72" s="2"/>
      <c r="AT72" s="2"/>
    </row>
    <row r="73" spans="1:46">
      <c r="A73">
        <f t="shared" si="85"/>
        <v>70</v>
      </c>
      <c r="B73" s="1">
        <f t="shared" si="43"/>
        <v>8.6333099999999998</v>
      </c>
      <c r="C73" s="1">
        <f t="shared" si="44"/>
        <v>54.244686544326591</v>
      </c>
      <c r="D73" s="1">
        <f t="shared" si="45"/>
        <v>-0.74304671782069986</v>
      </c>
      <c r="E73" s="1">
        <f t="shared" si="46"/>
        <v>-0.66923954988918966</v>
      </c>
      <c r="F73" s="2">
        <f t="shared" si="47"/>
        <v>-24347.411802830873</v>
      </c>
      <c r="G73" s="2">
        <f t="shared" si="48"/>
        <v>-21928.972331219076</v>
      </c>
      <c r="H73" s="2">
        <f t="shared" si="49"/>
        <v>-6087.0387123871733</v>
      </c>
      <c r="I73" s="3">
        <f t="shared" si="53"/>
        <v>0.51784962489832542</v>
      </c>
      <c r="J73" s="3">
        <f t="shared" si="54"/>
        <v>0.26816823400733636</v>
      </c>
      <c r="K73" s="3">
        <f t="shared" si="55"/>
        <v>0.12796667928004704</v>
      </c>
      <c r="L73" s="3">
        <f t="shared" si="56"/>
        <v>-9.5085221029453118E-2</v>
      </c>
      <c r="M73" s="3">
        <f t="shared" si="57"/>
        <v>-8.564036284219298E-2</v>
      </c>
      <c r="N73" s="3">
        <f t="shared" si="58"/>
        <v>-2.5498835803665684E-2</v>
      </c>
      <c r="O73" s="3">
        <f t="shared" si="59"/>
        <v>-2.2966024863138403E-2</v>
      </c>
      <c r="P73" s="3">
        <f t="shared" si="60"/>
        <v>-0.16415051558104551</v>
      </c>
      <c r="Q73" s="3">
        <f t="shared" si="61"/>
        <v>0.12197150183107153</v>
      </c>
      <c r="R73" s="3">
        <f t="shared" si="62"/>
        <v>0.10985601716153731</v>
      </c>
      <c r="S73" s="3">
        <f t="shared" si="63"/>
        <v>3.2708882245261042E-2</v>
      </c>
      <c r="T73" s="3">
        <f t="shared" si="64"/>
        <v>2.9459894117289099E-2</v>
      </c>
      <c r="U73" s="3">
        <f t="shared" si="65"/>
        <v>-0.44225565747139928</v>
      </c>
      <c r="V73" s="3">
        <f t="shared" si="66"/>
        <v>0.3286166147217589</v>
      </c>
      <c r="W73" s="3">
        <f t="shared" si="67"/>
        <v>0.29597497714210691</v>
      </c>
      <c r="X73" s="3">
        <f t="shared" si="68"/>
        <v>8.8124537235403338E-2</v>
      </c>
      <c r="Y73" s="3">
        <f t="shared" si="69"/>
        <v>7.9371086930560539E-2</v>
      </c>
      <c r="Z73" s="3">
        <f t="shared" si="70"/>
        <v>-0.68260941200141134</v>
      </c>
      <c r="AA73" s="3">
        <f t="shared" si="71"/>
        <v>0.50721068314116657</v>
      </c>
      <c r="AB73" s="3">
        <f t="shared" si="72"/>
        <v>0.45682921563794893</v>
      </c>
      <c r="AC73" s="3">
        <f t="shared" si="73"/>
        <v>0.13601779316762128</v>
      </c>
      <c r="AD73" s="3">
        <f t="shared" si="74"/>
        <v>0.12250708400058541</v>
      </c>
      <c r="AE73" s="3">
        <f t="shared" si="50"/>
        <v>-0.86469494114431422</v>
      </c>
      <c r="AF73" s="3">
        <f t="shared" si="75"/>
        <v>0.64250873793344587</v>
      </c>
      <c r="AG73" s="3">
        <f t="shared" si="76"/>
        <v>0.57868805320288019</v>
      </c>
      <c r="AH73" s="3">
        <f t="shared" si="77"/>
        <v>0.17230043358589467</v>
      </c>
      <c r="AI73" s="3">
        <f t="shared" si="78"/>
        <v>0.15518575326855988</v>
      </c>
      <c r="AJ73" s="3">
        <f t="shared" si="51"/>
        <v>-0.97296924114817629</v>
      </c>
      <c r="AK73" s="3">
        <f t="shared" si="79"/>
        <v>0.72296160117564945</v>
      </c>
      <c r="AL73" s="3">
        <f t="shared" si="80"/>
        <v>0.65114949700203195</v>
      </c>
      <c r="AM73" s="3">
        <f t="shared" si="81"/>
        <v>0.19387533584239014</v>
      </c>
      <c r="AN73" s="3">
        <f t="shared" si="82"/>
        <v>0.17461761068580028</v>
      </c>
      <c r="AO73" s="3">
        <f t="shared" si="52"/>
        <v>-0.99818990895594539</v>
      </c>
      <c r="AP73" s="3">
        <f t="shared" si="83"/>
        <v>0.74170173561145847</v>
      </c>
      <c r="AQ73" s="3">
        <f t="shared" si="84"/>
        <v>0.6680281653736081</v>
      </c>
      <c r="AR73" s="3"/>
      <c r="AS73" s="2"/>
      <c r="AT73" s="2"/>
    </row>
    <row r="74" spans="1:46">
      <c r="A74">
        <f t="shared" si="85"/>
        <v>71</v>
      </c>
      <c r="B74" s="1">
        <f t="shared" si="43"/>
        <v>8.7566430000000004</v>
      </c>
      <c r="C74" s="1">
        <f t="shared" si="44"/>
        <v>55.019610637816974</v>
      </c>
      <c r="D74" s="1">
        <f t="shared" si="45"/>
        <v>-0.9991290460480331</v>
      </c>
      <c r="E74" s="1">
        <f t="shared" si="46"/>
        <v>4.172708165145704E-2</v>
      </c>
      <c r="F74" s="2">
        <f t="shared" si="47"/>
        <v>-32738.461451855899</v>
      </c>
      <c r="G74" s="2">
        <f t="shared" si="48"/>
        <v>1367.2712844732928</v>
      </c>
      <c r="H74" s="2">
        <f t="shared" si="49"/>
        <v>-8184.8651452254871</v>
      </c>
      <c r="I74" s="3">
        <f t="shared" si="53"/>
        <v>0.52448623623140211</v>
      </c>
      <c r="J74" s="3">
        <f t="shared" si="54"/>
        <v>0.27508581199618215</v>
      </c>
      <c r="K74" s="3">
        <f t="shared" si="55"/>
        <v>-0.58563538523620295</v>
      </c>
      <c r="L74" s="3">
        <f t="shared" si="56"/>
        <v>0.58512532378301985</v>
      </c>
      <c r="M74" s="3">
        <f t="shared" si="57"/>
        <v>-2.4436855537733539E-2</v>
      </c>
      <c r="N74" s="3">
        <f t="shared" si="58"/>
        <v>0.16095967481238099</v>
      </c>
      <c r="O74" s="3">
        <f t="shared" si="59"/>
        <v>-6.7222322482308316E-3</v>
      </c>
      <c r="P74" s="3">
        <f t="shared" si="60"/>
        <v>-0.79745641478546359</v>
      </c>
      <c r="Q74" s="3">
        <f t="shared" si="61"/>
        <v>0.79676186696948481</v>
      </c>
      <c r="R74" s="3">
        <f t="shared" si="62"/>
        <v>-3.3275528933231234E-2</v>
      </c>
      <c r="S74" s="3">
        <f t="shared" si="63"/>
        <v>0.2191778851428948</v>
      </c>
      <c r="T74" s="3">
        <f t="shared" si="64"/>
        <v>-9.153625896200366E-3</v>
      </c>
      <c r="U74" s="3">
        <f t="shared" si="65"/>
        <v>-0.9392614234015636</v>
      </c>
      <c r="V74" s="3">
        <f t="shared" si="66"/>
        <v>0.93844336995292199</v>
      </c>
      <c r="W74" s="3">
        <f t="shared" si="67"/>
        <v>-3.9192638106340806E-2</v>
      </c>
      <c r="X74" s="3">
        <f t="shared" si="68"/>
        <v>0.2581524564359331</v>
      </c>
      <c r="Y74" s="3">
        <f t="shared" si="69"/>
        <v>-1.078133867775527E-2</v>
      </c>
      <c r="Z74" s="3">
        <f t="shared" si="70"/>
        <v>-0.99860004731841312</v>
      </c>
      <c r="AA74" s="3">
        <f t="shared" si="71"/>
        <v>0.99773031266076684</v>
      </c>
      <c r="AB74" s="3">
        <f t="shared" si="72"/>
        <v>-4.166866571160429E-2</v>
      </c>
      <c r="AC74" s="3">
        <f t="shared" si="73"/>
        <v>0.27446145321149173</v>
      </c>
      <c r="AD74" s="3">
        <f t="shared" si="74"/>
        <v>-1.146245874207414E-2</v>
      </c>
      <c r="AE74" s="3">
        <f t="shared" si="50"/>
        <v>-0.97026240389254981</v>
      </c>
      <c r="AF74" s="3">
        <f t="shared" si="75"/>
        <v>0.96941735001743468</v>
      </c>
      <c r="AG74" s="3">
        <f t="shared" si="76"/>
        <v>-4.0486218550563412E-2</v>
      </c>
      <c r="AH74" s="3">
        <f t="shared" si="77"/>
        <v>0.26667295889273318</v>
      </c>
      <c r="AI74" s="3">
        <f t="shared" si="78"/>
        <v>-1.1137184304636632E-2</v>
      </c>
      <c r="AJ74" s="3">
        <f t="shared" si="51"/>
        <v>-0.85673651503779447</v>
      </c>
      <c r="AK74" s="3">
        <f t="shared" si="79"/>
        <v>0.855990336984228</v>
      </c>
      <c r="AL74" s="3">
        <f t="shared" si="80"/>
        <v>-3.5749114516766801E-2</v>
      </c>
      <c r="AM74" s="3">
        <f t="shared" si="81"/>
        <v>0.23547079691019193</v>
      </c>
      <c r="AN74" s="3">
        <f t="shared" si="82"/>
        <v>-9.834074194989299E-3</v>
      </c>
      <c r="AO74" s="3">
        <f t="shared" si="52"/>
        <v>-0.66798986093629986</v>
      </c>
      <c r="AP74" s="3">
        <f t="shared" si="83"/>
        <v>0.66740807252704359</v>
      </c>
      <c r="AQ74" s="3">
        <f t="shared" si="84"/>
        <v>-2.7873267469634418E-2</v>
      </c>
      <c r="AR74" s="3"/>
      <c r="AS74" s="2"/>
      <c r="AT74" s="2"/>
    </row>
    <row r="75" spans="1:46">
      <c r="A75">
        <f t="shared" si="85"/>
        <v>72</v>
      </c>
      <c r="B75" s="1">
        <f t="shared" si="43"/>
        <v>8.8799759999999992</v>
      </c>
      <c r="C75" s="1">
        <f t="shared" si="44"/>
        <v>55.794534731307351</v>
      </c>
      <c r="D75" s="1">
        <f t="shared" si="45"/>
        <v>-0.68465702402438344</v>
      </c>
      <c r="E75" s="1">
        <f t="shared" si="46"/>
        <v>0.72886539186195065</v>
      </c>
      <c r="F75" s="2">
        <f t="shared" si="47"/>
        <v>-22434.156706206973</v>
      </c>
      <c r="G75" s="2">
        <f t="shared" si="48"/>
        <v>23882.732295140537</v>
      </c>
      <c r="H75" s="2">
        <f t="shared" si="49"/>
        <v>-5608.7103408077492</v>
      </c>
      <c r="I75" s="3">
        <f t="shared" si="53"/>
        <v>0.531091132257275</v>
      </c>
      <c r="J75" s="3">
        <f t="shared" si="54"/>
        <v>0.28205779076231435</v>
      </c>
      <c r="K75" s="3">
        <f t="shared" si="55"/>
        <v>-0.98178632517014208</v>
      </c>
      <c r="L75" s="3">
        <f t="shared" si="56"/>
        <v>0.67218690361882505</v>
      </c>
      <c r="M75" s="3">
        <f t="shared" si="57"/>
        <v>-0.71559007461984014</v>
      </c>
      <c r="N75" s="3">
        <f t="shared" si="58"/>
        <v>0.18959555301408654</v>
      </c>
      <c r="O75" s="3">
        <f t="shared" si="59"/>
        <v>-0.20183775553871178</v>
      </c>
      <c r="P75" s="3">
        <f t="shared" si="60"/>
        <v>-0.99390742254133058</v>
      </c>
      <c r="Q75" s="3">
        <f t="shared" si="61"/>
        <v>0.68048569807289283</v>
      </c>
      <c r="R75" s="3">
        <f t="shared" si="62"/>
        <v>-0.72442472300508831</v>
      </c>
      <c r="S75" s="3">
        <f t="shared" si="63"/>
        <v>0.19193629264379142</v>
      </c>
      <c r="T75" s="3">
        <f t="shared" si="64"/>
        <v>-0.20432963694441672</v>
      </c>
      <c r="U75" s="3">
        <f t="shared" si="65"/>
        <v>-0.91630759192033162</v>
      </c>
      <c r="V75" s="3">
        <f t="shared" si="66"/>
        <v>0.62735642897512345</v>
      </c>
      <c r="W75" s="3">
        <f t="shared" si="67"/>
        <v>-0.6678648920510929</v>
      </c>
      <c r="X75" s="3">
        <f t="shared" si="68"/>
        <v>0.17695076837725809</v>
      </c>
      <c r="Y75" s="3">
        <f t="shared" si="69"/>
        <v>-0.18837649597964282</v>
      </c>
      <c r="Z75" s="3">
        <f t="shared" si="70"/>
        <v>-0.75599184067246838</v>
      </c>
      <c r="AA75" s="3">
        <f t="shared" si="71"/>
        <v>0.51759512382152806</v>
      </c>
      <c r="AB75" s="3">
        <f t="shared" si="72"/>
        <v>-0.55101628919617607</v>
      </c>
      <c r="AC75" s="3">
        <f t="shared" si="73"/>
        <v>0.14599173713444674</v>
      </c>
      <c r="AD75" s="3">
        <f t="shared" si="74"/>
        <v>-0.1554184372047219</v>
      </c>
      <c r="AE75" s="3">
        <f t="shared" si="50"/>
        <v>-0.52743201763145953</v>
      </c>
      <c r="AF75" s="3">
        <f t="shared" si="75"/>
        <v>0.36111003556673121</v>
      </c>
      <c r="AG75" s="3">
        <f t="shared" si="76"/>
        <v>-0.38442694421149304</v>
      </c>
      <c r="AH75" s="3">
        <f t="shared" si="77"/>
        <v>0.10185389885405297</v>
      </c>
      <c r="AI75" s="3">
        <f t="shared" si="78"/>
        <v>-0.10843061459380118</v>
      </c>
      <c r="AJ75" s="3">
        <f t="shared" si="51"/>
        <v>-0.25126042612846011</v>
      </c>
      <c r="AK75" s="3">
        <f t="shared" si="79"/>
        <v>0.17202721560820994</v>
      </c>
      <c r="AL75" s="3">
        <f t="shared" si="80"/>
        <v>-0.18313502894952077</v>
      </c>
      <c r="AM75" s="3">
        <f t="shared" si="81"/>
        <v>4.8521616385444021E-2</v>
      </c>
      <c r="AN75" s="3">
        <f t="shared" si="82"/>
        <v>-5.1654661676694323E-2</v>
      </c>
      <c r="AO75" s="3">
        <f t="shared" si="52"/>
        <v>4.7592672815460715E-2</v>
      </c>
      <c r="AP75" s="3">
        <f t="shared" si="83"/>
        <v>-3.2584657735199508E-2</v>
      </c>
      <c r="AQ75" s="3">
        <f t="shared" si="84"/>
        <v>3.4688652121398378E-2</v>
      </c>
      <c r="AR75" s="3"/>
      <c r="AS75" s="2"/>
      <c r="AT75" s="2"/>
    </row>
    <row r="76" spans="1:46">
      <c r="A76">
        <f t="shared" si="85"/>
        <v>73</v>
      </c>
      <c r="B76" s="1">
        <f t="shared" si="43"/>
        <v>9.0033089999999998</v>
      </c>
      <c r="C76" s="1">
        <f t="shared" si="44"/>
        <v>56.569458824797735</v>
      </c>
      <c r="D76" s="1">
        <f t="shared" si="45"/>
        <v>2.0789562328194636E-2</v>
      </c>
      <c r="E76" s="1">
        <f t="shared" si="46"/>
        <v>0.99978387369381094</v>
      </c>
      <c r="F76" s="2">
        <f t="shared" si="47"/>
        <v>681.2115888079536</v>
      </c>
      <c r="G76" s="2">
        <f t="shared" si="48"/>
        <v>32759.918189325104</v>
      </c>
      <c r="H76" s="2">
        <f t="shared" si="49"/>
        <v>170.30809459257046</v>
      </c>
      <c r="I76" s="3">
        <f t="shared" si="53"/>
        <v>0.53766391358261045</v>
      </c>
      <c r="J76" s="3">
        <f t="shared" si="54"/>
        <v>0.2890824839689688</v>
      </c>
      <c r="K76" s="3">
        <f t="shared" si="55"/>
        <v>-0.84574747452457144</v>
      </c>
      <c r="L76" s="3">
        <f t="shared" si="56"/>
        <v>-1.7582719835541782E-2</v>
      </c>
      <c r="M76" s="3">
        <f t="shared" si="57"/>
        <v>-0.84556468624693371</v>
      </c>
      <c r="N76" s="3">
        <f t="shared" si="58"/>
        <v>-5.0828563249888771E-3</v>
      </c>
      <c r="O76" s="3">
        <f t="shared" si="59"/>
        <v>-0.24443793985670534</v>
      </c>
      <c r="P76" s="3">
        <f t="shared" si="60"/>
        <v>-0.6458856401435078</v>
      </c>
      <c r="Q76" s="3">
        <f t="shared" si="61"/>
        <v>-1.3427679772649347E-2</v>
      </c>
      <c r="R76" s="3">
        <f t="shared" si="62"/>
        <v>-0.64574604726588303</v>
      </c>
      <c r="S76" s="3">
        <f t="shared" si="63"/>
        <v>-3.8817070226173514E-3</v>
      </c>
      <c r="T76" s="3">
        <f t="shared" si="64"/>
        <v>-0.18667387135676461</v>
      </c>
      <c r="U76" s="3">
        <f t="shared" si="65"/>
        <v>-0.38610102469440272</v>
      </c>
      <c r="V76" s="3">
        <f t="shared" si="66"/>
        <v>-8.026871317864101E-3</v>
      </c>
      <c r="W76" s="3">
        <f t="shared" si="67"/>
        <v>-0.3860175781061197</v>
      </c>
      <c r="X76" s="3">
        <f t="shared" si="68"/>
        <v>-2.3204278990674246E-3</v>
      </c>
      <c r="Y76" s="3">
        <f t="shared" si="69"/>
        <v>-0.11159092033460251</v>
      </c>
      <c r="Z76" s="3">
        <f t="shared" si="70"/>
        <v>-9.0495443837590908E-2</v>
      </c>
      <c r="AA76" s="3">
        <f t="shared" si="71"/>
        <v>-1.8813606700792333E-3</v>
      </c>
      <c r="AB76" s="3">
        <f t="shared" si="72"/>
        <v>-9.0475885391587352E-2</v>
      </c>
      <c r="AC76" s="3">
        <f t="shared" si="73"/>
        <v>-5.4386841574802832E-4</v>
      </c>
      <c r="AD76" s="3">
        <f t="shared" si="74"/>
        <v>-2.6154993688291807E-2</v>
      </c>
      <c r="AE76" s="3">
        <f t="shared" si="50"/>
        <v>0.21350595561572425</v>
      </c>
      <c r="AF76" s="3">
        <f t="shared" si="75"/>
        <v>4.4386953717138571E-3</v>
      </c>
      <c r="AG76" s="3">
        <f t="shared" si="76"/>
        <v>0.21345981136218767</v>
      </c>
      <c r="AH76" s="3">
        <f t="shared" si="77"/>
        <v>1.2831490836366069E-3</v>
      </c>
      <c r="AI76" s="3">
        <f t="shared" si="78"/>
        <v>6.1707492496128717E-2</v>
      </c>
      <c r="AJ76" s="3">
        <f t="shared" si="51"/>
        <v>0.49769909515442939</v>
      </c>
      <c r="AK76" s="3">
        <f t="shared" si="79"/>
        <v>1.0346946359399083E-2</v>
      </c>
      <c r="AL76" s="3">
        <f t="shared" si="80"/>
        <v>0.49759152928740003</v>
      </c>
      <c r="AM76" s="3">
        <f t="shared" si="81"/>
        <v>2.9911209550687653E-3</v>
      </c>
      <c r="AN76" s="3">
        <f t="shared" si="82"/>
        <v>0.14384499528831948</v>
      </c>
      <c r="AO76" s="3">
        <f t="shared" si="52"/>
        <v>0.73571763030018722</v>
      </c>
      <c r="AP76" s="3">
        <f t="shared" si="83"/>
        <v>1.52952475310774E-2</v>
      </c>
      <c r="AQ76" s="3">
        <f t="shared" si="84"/>
        <v>0.73555862236635228</v>
      </c>
      <c r="AR76" s="3"/>
      <c r="AS76" s="2"/>
      <c r="AT76" s="2"/>
    </row>
    <row r="77" spans="1:46">
      <c r="A77">
        <f t="shared" si="85"/>
        <v>74</v>
      </c>
      <c r="B77" s="1">
        <f t="shared" si="43"/>
        <v>9.1266420000000004</v>
      </c>
      <c r="C77" s="1">
        <f t="shared" si="44"/>
        <v>57.344382918288119</v>
      </c>
      <c r="D77" s="1">
        <f t="shared" si="45"/>
        <v>0.7143642335632181</v>
      </c>
      <c r="E77" s="1">
        <f t="shared" si="46"/>
        <v>0.69977406482780991</v>
      </c>
      <c r="F77" s="2">
        <f t="shared" si="47"/>
        <v>23407.572841165966</v>
      </c>
      <c r="G77" s="2">
        <f t="shared" si="48"/>
        <v>22929.496782212846</v>
      </c>
      <c r="H77" s="2">
        <f t="shared" si="49"/>
        <v>5852.0718013498827</v>
      </c>
      <c r="I77" s="3">
        <f t="shared" si="53"/>
        <v>0.54420418275602733</v>
      </c>
      <c r="J77" s="3">
        <f t="shared" si="54"/>
        <v>0.2961581925291556</v>
      </c>
      <c r="K77" s="3">
        <f t="shared" si="55"/>
        <v>-0.25126042612846011</v>
      </c>
      <c r="L77" s="3">
        <f t="shared" si="56"/>
        <v>-0.17949146173602498</v>
      </c>
      <c r="M77" s="3">
        <f t="shared" si="57"/>
        <v>-0.17582552972228019</v>
      </c>
      <c r="N77" s="3">
        <f t="shared" si="58"/>
        <v>-5.3157866882157255E-2</v>
      </c>
      <c r="O77" s="3">
        <f t="shared" si="59"/>
        <v>-5.2072171083031825E-2</v>
      </c>
      <c r="P77" s="3">
        <f t="shared" si="60"/>
        <v>5.5958991982069009E-2</v>
      </c>
      <c r="Q77" s="3">
        <f t="shared" si="61"/>
        <v>3.9975102418240996E-2</v>
      </c>
      <c r="R77" s="3">
        <f t="shared" si="62"/>
        <v>3.9158651282959256E-2</v>
      </c>
      <c r="S77" s="3">
        <f t="shared" si="63"/>
        <v>1.1838954078354131E-2</v>
      </c>
      <c r="T77" s="3">
        <f t="shared" si="64"/>
        <v>1.1597155385840713E-2</v>
      </c>
      <c r="U77" s="3">
        <f t="shared" si="65"/>
        <v>0.35784468730890562</v>
      </c>
      <c r="V77" s="3">
        <f t="shared" si="66"/>
        <v>0.2556314457840958</v>
      </c>
      <c r="W77" s="3">
        <f t="shared" si="67"/>
        <v>0.25041043141518948</v>
      </c>
      <c r="X77" s="3">
        <f t="shared" si="68"/>
        <v>7.5707346937032641E-2</v>
      </c>
      <c r="Y77" s="3">
        <f t="shared" si="69"/>
        <v>7.4161100758368598E-2</v>
      </c>
      <c r="Z77" s="3">
        <f t="shared" si="70"/>
        <v>0.62562247085756639</v>
      </c>
      <c r="AA77" s="3">
        <f t="shared" si="71"/>
        <v>0.44692231689409218</v>
      </c>
      <c r="AB77" s="3">
        <f t="shared" si="72"/>
        <v>0.4377943794796173</v>
      </c>
      <c r="AC77" s="3">
        <f t="shared" si="73"/>
        <v>0.13235970557229682</v>
      </c>
      <c r="AD77" s="3">
        <f t="shared" si="74"/>
        <v>0.12965639212610669</v>
      </c>
      <c r="AE77" s="3">
        <f t="shared" si="50"/>
        <v>0.83376914404119229</v>
      </c>
      <c r="AF77" s="3">
        <f t="shared" si="75"/>
        <v>0.59561485555164673</v>
      </c>
      <c r="AG77" s="3">
        <f t="shared" si="76"/>
        <v>0.58345002305370885</v>
      </c>
      <c r="AH77" s="3">
        <f t="shared" si="77"/>
        <v>0.1763962190636898</v>
      </c>
      <c r="AI77" s="3">
        <f t="shared" si="78"/>
        <v>0.17279350425868059</v>
      </c>
      <c r="AJ77" s="3">
        <f t="shared" si="51"/>
        <v>0.96244523846007068</v>
      </c>
      <c r="AK77" s="3">
        <f t="shared" si="79"/>
        <v>0.68753645511909711</v>
      </c>
      <c r="AL77" s="3">
        <f t="shared" si="80"/>
        <v>0.67349421669137444</v>
      </c>
      <c r="AM77" s="3">
        <f t="shared" si="81"/>
        <v>0.20361955384597469</v>
      </c>
      <c r="AN77" s="3">
        <f t="shared" si="82"/>
        <v>0.19946082989415692</v>
      </c>
      <c r="AO77" s="3">
        <f t="shared" si="52"/>
        <v>0.99938601180545383</v>
      </c>
      <c r="AP77" s="3">
        <f t="shared" si="83"/>
        <v>0.71392562235720425</v>
      </c>
      <c r="AQ77" s="3">
        <f t="shared" si="84"/>
        <v>0.6993444118131561</v>
      </c>
      <c r="AR77" s="3"/>
      <c r="AS77" s="2"/>
      <c r="AT77" s="2"/>
    </row>
    <row r="78" spans="1:46">
      <c r="A78">
        <f t="shared" si="85"/>
        <v>75</v>
      </c>
      <c r="B78" s="1">
        <f t="shared" si="43"/>
        <v>9.2499749999999992</v>
      </c>
      <c r="C78" s="1">
        <f t="shared" si="44"/>
        <v>58.119307011778488</v>
      </c>
      <c r="D78" s="1">
        <f t="shared" si="45"/>
        <v>0.99999998766299447</v>
      </c>
      <c r="E78" s="1">
        <f t="shared" si="46"/>
        <v>1.5707963204048965E-4</v>
      </c>
      <c r="F78" s="2">
        <f t="shared" si="47"/>
        <v>32766.999595753339</v>
      </c>
      <c r="G78" s="2">
        <f t="shared" si="48"/>
        <v>5.1470283030707247</v>
      </c>
      <c r="H78" s="2">
        <f t="shared" si="49"/>
        <v>8191.9998989352507</v>
      </c>
      <c r="I78" s="3">
        <f t="shared" si="53"/>
        <v>0.55071154429213098</v>
      </c>
      <c r="J78" s="3">
        <f t="shared" si="54"/>
        <v>0.30328320501662376</v>
      </c>
      <c r="K78" s="3">
        <f t="shared" si="55"/>
        <v>0.47942553860420106</v>
      </c>
      <c r="L78" s="3">
        <f t="shared" si="56"/>
        <v>0.47942553268952554</v>
      </c>
      <c r="M78" s="3">
        <f t="shared" si="57"/>
        <v>7.5307987194761473E-5</v>
      </c>
      <c r="N78" s="3">
        <f t="shared" si="58"/>
        <v>0.14540171212088143</v>
      </c>
      <c r="O78" s="3">
        <f t="shared" si="59"/>
        <v>2.2839647719778122E-5</v>
      </c>
      <c r="P78" s="3">
        <f t="shared" si="60"/>
        <v>0.72714870815906996</v>
      </c>
      <c r="Q78" s="3">
        <f t="shared" si="61"/>
        <v>0.72714869918823233</v>
      </c>
      <c r="R78" s="3">
        <f t="shared" si="62"/>
        <v>1.142202515163441E-4</v>
      </c>
      <c r="S78" s="3">
        <f t="shared" si="63"/>
        <v>0.22053198801347595</v>
      </c>
      <c r="T78" s="3">
        <f t="shared" si="64"/>
        <v>3.4641083957681718E-5</v>
      </c>
      <c r="U78" s="3">
        <f t="shared" si="65"/>
        <v>0.90369349581636782</v>
      </c>
      <c r="V78" s="3">
        <f t="shared" si="66"/>
        <v>0.90369348466749622</v>
      </c>
      <c r="W78" s="3">
        <f t="shared" si="67"/>
        <v>1.4195184180021883E-4</v>
      </c>
      <c r="X78" s="3">
        <f t="shared" si="68"/>
        <v>0.27407505638259938</v>
      </c>
      <c r="Y78" s="3">
        <f t="shared" si="69"/>
        <v>4.3051609539183116E-5</v>
      </c>
      <c r="Z78" s="3">
        <f t="shared" si="70"/>
        <v>0.99177846770034228</v>
      </c>
      <c r="AA78" s="3">
        <f t="shared" si="71"/>
        <v>0.99177845546476584</v>
      </c>
      <c r="AB78" s="3">
        <f t="shared" si="72"/>
        <v>1.5578819677205042E-4</v>
      </c>
      <c r="AC78" s="3">
        <f t="shared" si="73"/>
        <v>0.30078974863979102</v>
      </c>
      <c r="AD78" s="3">
        <f t="shared" si="74"/>
        <v>4.7247943620787889E-5</v>
      </c>
      <c r="AE78" s="3">
        <f t="shared" si="50"/>
        <v>0.98278125303889674</v>
      </c>
      <c r="AF78" s="3">
        <f t="shared" si="75"/>
        <v>0.98278124091431895</v>
      </c>
      <c r="AG78" s="3">
        <f t="shared" si="76"/>
        <v>1.5437491760364125E-4</v>
      </c>
      <c r="AH78" s="3">
        <f t="shared" si="77"/>
        <v>0.29806104457470933</v>
      </c>
      <c r="AI78" s="3">
        <f t="shared" si="78"/>
        <v>4.6819319785009528E-5</v>
      </c>
      <c r="AJ78" s="3">
        <f t="shared" si="51"/>
        <v>0.87758256189037298</v>
      </c>
      <c r="AK78" s="3">
        <f t="shared" si="79"/>
        <v>0.87758255106363203</v>
      </c>
      <c r="AL78" s="3">
        <f t="shared" si="80"/>
        <v>1.3785034590689004E-4</v>
      </c>
      <c r="AM78" s="3">
        <f t="shared" si="81"/>
        <v>0.26615604875324322</v>
      </c>
      <c r="AN78" s="3">
        <f t="shared" si="82"/>
        <v>4.1807694719291834E-5</v>
      </c>
      <c r="AO78" s="3">
        <f t="shared" si="52"/>
        <v>0.68647997510677183</v>
      </c>
      <c r="AP78" s="3">
        <f t="shared" si="83"/>
        <v>0.68647996663766464</v>
      </c>
      <c r="AQ78" s="3">
        <f t="shared" si="84"/>
        <v>1.0783202189293621E-4</v>
      </c>
      <c r="AR78" s="3"/>
      <c r="AS78" s="2"/>
      <c r="AT78" s="2"/>
    </row>
    <row r="79" spans="1:46">
      <c r="A79">
        <f t="shared" si="85"/>
        <v>76</v>
      </c>
      <c r="B79" s="1">
        <f t="shared" si="43"/>
        <v>9.3733079999999998</v>
      </c>
      <c r="C79" s="1">
        <f t="shared" si="44"/>
        <v>58.894231105268872</v>
      </c>
      <c r="D79" s="1">
        <f t="shared" si="45"/>
        <v>0.7145840388132636</v>
      </c>
      <c r="E79" s="1">
        <f t="shared" si="46"/>
        <v>-0.69954960615622119</v>
      </c>
      <c r="F79" s="2">
        <f t="shared" si="47"/>
        <v>23414.775199794207</v>
      </c>
      <c r="G79" s="2">
        <f t="shared" si="48"/>
        <v>-22922.141944920899</v>
      </c>
      <c r="H79" s="2">
        <f t="shared" si="49"/>
        <v>5853.8724459582554</v>
      </c>
      <c r="I79" s="3">
        <f t="shared" si="53"/>
        <v>0.55718560469542855</v>
      </c>
      <c r="J79" s="3">
        <f t="shared" si="54"/>
        <v>0.31045579807981039</v>
      </c>
      <c r="K79" s="3">
        <f t="shared" si="55"/>
        <v>0.95023277978261378</v>
      </c>
      <c r="L79" s="3">
        <f t="shared" si="56"/>
        <v>0.67902117758981462</v>
      </c>
      <c r="M79" s="3">
        <f t="shared" si="57"/>
        <v>-0.66473496685365874</v>
      </c>
      <c r="N79" s="3">
        <f t="shared" si="58"/>
        <v>0.21080606160173856</v>
      </c>
      <c r="O79" s="3">
        <f t="shared" si="59"/>
        <v>-0.20637082464610892</v>
      </c>
      <c r="P79" s="3">
        <f t="shared" si="60"/>
        <v>0.99999882347495306</v>
      </c>
      <c r="Q79" s="3">
        <f t="shared" si="61"/>
        <v>0.7145831980872438</v>
      </c>
      <c r="R79" s="3">
        <f t="shared" si="62"/>
        <v>-0.69954878311858792</v>
      </c>
      <c r="S79" s="3">
        <f t="shared" si="63"/>
        <v>0.22184649705659851</v>
      </c>
      <c r="T79" s="3">
        <f t="shared" si="64"/>
        <v>-0.2171789757588414</v>
      </c>
      <c r="U79" s="3">
        <f t="shared" si="65"/>
        <v>0.94927252366332115</v>
      </c>
      <c r="V79" s="3">
        <f t="shared" si="66"/>
        <v>0.67833499389379537</v>
      </c>
      <c r="W79" s="3">
        <f t="shared" si="67"/>
        <v>-0.66406322006359852</v>
      </c>
      <c r="X79" s="3">
        <f t="shared" si="68"/>
        <v>0.21059303189476156</v>
      </c>
      <c r="Y79" s="3">
        <f t="shared" si="69"/>
        <v>-0.20616227696029324</v>
      </c>
      <c r="Z79" s="3">
        <f t="shared" si="70"/>
        <v>0.80315149109054706</v>
      </c>
      <c r="AA79" s="3">
        <f t="shared" si="71"/>
        <v>0.57391923628237806</v>
      </c>
      <c r="AB79" s="3">
        <f t="shared" si="72"/>
        <v>-0.56184430927617401</v>
      </c>
      <c r="AC79" s="3">
        <f t="shared" si="73"/>
        <v>0.17817655453340095</v>
      </c>
      <c r="AD79" s="3">
        <f t="shared" si="74"/>
        <v>-0.17442782343293442</v>
      </c>
      <c r="AE79" s="3">
        <f t="shared" si="50"/>
        <v>0.57631978803124928</v>
      </c>
      <c r="AF79" s="3">
        <f t="shared" si="75"/>
        <v>0.41182892177937408</v>
      </c>
      <c r="AG79" s="3">
        <f t="shared" si="76"/>
        <v>-0.40316428073729732</v>
      </c>
      <c r="AH79" s="3">
        <f t="shared" si="77"/>
        <v>0.12785467658336339</v>
      </c>
      <c r="AI79" s="3">
        <f t="shared" si="78"/>
        <v>-0.12516468853357038</v>
      </c>
      <c r="AJ79" s="3">
        <f t="shared" si="51"/>
        <v>0.29157229072560481</v>
      </c>
      <c r="AK79" s="3">
        <f t="shared" si="79"/>
        <v>0.20835290511273777</v>
      </c>
      <c r="AL79" s="3">
        <f t="shared" si="80"/>
        <v>-0.20396928114316407</v>
      </c>
      <c r="AM79" s="3">
        <f t="shared" si="81"/>
        <v>6.4684367439022006E-2</v>
      </c>
      <c r="AN79" s="3">
        <f t="shared" si="82"/>
        <v>-6.3323445961066219E-2</v>
      </c>
      <c r="AO79" s="3">
        <f t="shared" si="52"/>
        <v>-2.247602384902744E-2</v>
      </c>
      <c r="AP79" s="3">
        <f t="shared" si="83"/>
        <v>-1.6061007898501262E-2</v>
      </c>
      <c r="AQ79" s="3">
        <f t="shared" si="84"/>
        <v>1.572309363154498E-2</v>
      </c>
      <c r="AR79" s="3"/>
      <c r="AS79" s="2"/>
      <c r="AT79" s="2"/>
    </row>
    <row r="80" spans="1:46">
      <c r="A80">
        <f t="shared" si="85"/>
        <v>77</v>
      </c>
      <c r="B80" s="1">
        <f t="shared" si="43"/>
        <v>9.4966410000000003</v>
      </c>
      <c r="C80" s="1">
        <f t="shared" si="44"/>
        <v>59.669155198759256</v>
      </c>
      <c r="D80" s="1">
        <f t="shared" si="45"/>
        <v>2.1103652664381387E-2</v>
      </c>
      <c r="E80" s="1">
        <f t="shared" si="46"/>
        <v>-0.99977729312293406</v>
      </c>
      <c r="F80" s="2">
        <f t="shared" si="47"/>
        <v>691.50338685378495</v>
      </c>
      <c r="G80" s="2">
        <f t="shared" si="48"/>
        <v>-32759.70256375918</v>
      </c>
      <c r="H80" s="2">
        <f t="shared" si="49"/>
        <v>172.88112262661232</v>
      </c>
      <c r="I80" s="3">
        <f t="shared" si="53"/>
        <v>0.56362597248412216</v>
      </c>
      <c r="J80" s="3">
        <f t="shared" si="54"/>
        <v>0.31767423685867241</v>
      </c>
      <c r="K80" s="3">
        <f t="shared" si="55"/>
        <v>0.90595423181373014</v>
      </c>
      <c r="L80" s="3">
        <f t="shared" si="56"/>
        <v>1.9118943438023419E-2</v>
      </c>
      <c r="M80" s="3">
        <f t="shared" si="57"/>
        <v>-0.9057524695759982</v>
      </c>
      <c r="N80" s="3">
        <f t="shared" si="58"/>
        <v>6.0735957662182124E-3</v>
      </c>
      <c r="O80" s="3">
        <f t="shared" si="59"/>
        <v>-0.28773422455541314</v>
      </c>
      <c r="P80" s="3">
        <f t="shared" si="60"/>
        <v>0.72503921605463451</v>
      </c>
      <c r="Q80" s="3">
        <f t="shared" si="61"/>
        <v>1.530097578367238E-2</v>
      </c>
      <c r="R80" s="3">
        <f t="shared" si="62"/>
        <v>-0.72487774483507661</v>
      </c>
      <c r="S80" s="3">
        <f t="shared" si="63"/>
        <v>4.8607258052711499E-3</v>
      </c>
      <c r="T80" s="3">
        <f t="shared" si="64"/>
        <v>-0.23027498440631844</v>
      </c>
      <c r="U80" s="3">
        <f t="shared" si="65"/>
        <v>0.46934997448377358</v>
      </c>
      <c r="V80" s="3">
        <f t="shared" si="66"/>
        <v>9.9049988395418249E-3</v>
      </c>
      <c r="W80" s="3">
        <f t="shared" si="67"/>
        <v>-0.46924544701670534</v>
      </c>
      <c r="X80" s="3">
        <f t="shared" si="68"/>
        <v>3.1465629474374851E-3</v>
      </c>
      <c r="Y80" s="3">
        <f t="shared" si="69"/>
        <v>-0.14906718928043847</v>
      </c>
      <c r="Z80" s="3">
        <f t="shared" si="70"/>
        <v>0.16525606706905721</v>
      </c>
      <c r="AA80" s="3">
        <f t="shared" si="71"/>
        <v>3.4875066401070984E-3</v>
      </c>
      <c r="AB80" s="3">
        <f t="shared" si="72"/>
        <v>-0.16521926340644405</v>
      </c>
      <c r="AC80" s="3">
        <f t="shared" si="73"/>
        <v>1.1078910104355753E-3</v>
      </c>
      <c r="AD80" s="3">
        <f t="shared" si="74"/>
        <v>-5.2485903416994099E-2</v>
      </c>
      <c r="AE80" s="3">
        <f t="shared" si="50"/>
        <v>-0.15588091084745229</v>
      </c>
      <c r="AF80" s="3">
        <f t="shared" si="75"/>
        <v>-3.289656599532034E-3</v>
      </c>
      <c r="AG80" s="3">
        <f t="shared" si="76"/>
        <v>0.15584619509660325</v>
      </c>
      <c r="AH80" s="3">
        <f t="shared" si="77"/>
        <v>-1.0450391497834341E-3</v>
      </c>
      <c r="AI80" s="3">
        <f t="shared" si="78"/>
        <v>4.9508321094641213E-2</v>
      </c>
      <c r="AJ80" s="3">
        <f t="shared" si="51"/>
        <v>-0.46094169016758163</v>
      </c>
      <c r="AK80" s="3">
        <f t="shared" si="79"/>
        <v>-9.7275533278295447E-3</v>
      </c>
      <c r="AL80" s="3">
        <f t="shared" si="80"/>
        <v>0.46083903528325493</v>
      </c>
      <c r="AM80" s="3">
        <f t="shared" si="81"/>
        <v>-3.0901930799202893E-3</v>
      </c>
      <c r="AN80" s="3">
        <f t="shared" si="82"/>
        <v>0.14639668884829479</v>
      </c>
      <c r="AO80" s="3">
        <f t="shared" si="52"/>
        <v>-0.71846496080755651</v>
      </c>
      <c r="AP80" s="3">
        <f t="shared" si="83"/>
        <v>-1.5162234984411058E-2</v>
      </c>
      <c r="AQ80" s="3">
        <f t="shared" si="84"/>
        <v>0.7183049537198537</v>
      </c>
      <c r="AR80" s="3"/>
      <c r="AS80" s="2"/>
      <c r="AT80" s="2"/>
    </row>
    <row r="81" spans="1:46">
      <c r="A81">
        <f t="shared" si="85"/>
        <v>78</v>
      </c>
      <c r="B81" s="1">
        <f t="shared" si="43"/>
        <v>9.6199739999999991</v>
      </c>
      <c r="C81" s="1">
        <f t="shared" si="44"/>
        <v>60.444079292249626</v>
      </c>
      <c r="D81" s="1">
        <f t="shared" si="45"/>
        <v>-0.68442801042561729</v>
      </c>
      <c r="E81" s="1">
        <f t="shared" si="46"/>
        <v>-0.72908044723804732</v>
      </c>
      <c r="F81" s="2">
        <f t="shared" si="47"/>
        <v>-22426.652617616201</v>
      </c>
      <c r="G81" s="2">
        <f t="shared" si="48"/>
        <v>-23889.779014649095</v>
      </c>
      <c r="H81" s="2">
        <f t="shared" si="49"/>
        <v>-5606.8342614066569</v>
      </c>
      <c r="I81" s="3">
        <f t="shared" si="53"/>
        <v>0.57003225821378267</v>
      </c>
      <c r="J81" s="3">
        <f t="shared" si="54"/>
        <v>0.3249367754043046</v>
      </c>
      <c r="K81" s="3">
        <f t="shared" si="55"/>
        <v>0.37059164596113769</v>
      </c>
      <c r="L81" s="3">
        <f t="shared" si="56"/>
        <v>-0.25364330292553622</v>
      </c>
      <c r="M81" s="3">
        <f t="shared" si="57"/>
        <v>-0.27019112298003034</v>
      </c>
      <c r="N81" s="3">
        <f t="shared" si="58"/>
        <v>-8.2418036955520954E-2</v>
      </c>
      <c r="O81" s="3">
        <f t="shared" si="59"/>
        <v>-8.7795032243998969E-2</v>
      </c>
      <c r="P81" s="3">
        <f t="shared" si="60"/>
        <v>5.2895609417637497E-2</v>
      </c>
      <c r="Q81" s="3">
        <f t="shared" si="61"/>
        <v>-3.6203236713964179E-2</v>
      </c>
      <c r="R81" s="3">
        <f t="shared" si="62"/>
        <v>-3.8565154571140216E-2</v>
      </c>
      <c r="S81" s="3">
        <f t="shared" si="63"/>
        <v>-1.1763762997034253E-2</v>
      </c>
      <c r="T81" s="3">
        <f t="shared" si="64"/>
        <v>-1.253123696931488E-2</v>
      </c>
      <c r="U81" s="3">
        <f t="shared" si="65"/>
        <v>-0.2703969619189141</v>
      </c>
      <c r="V81" s="3">
        <f t="shared" si="66"/>
        <v>0.18506725467129378</v>
      </c>
      <c r="W81" s="3">
        <f t="shared" si="67"/>
        <v>0.19714113792765114</v>
      </c>
      <c r="X81" s="3">
        <f t="shared" si="68"/>
        <v>6.0135156965817435E-2</v>
      </c>
      <c r="Y81" s="3">
        <f t="shared" si="69"/>
        <v>6.4058405657746217E-2</v>
      </c>
      <c r="Z81" s="3">
        <f t="shared" si="70"/>
        <v>-0.56508061803589538</v>
      </c>
      <c r="AA81" s="3">
        <f t="shared" si="71"/>
        <v>0.38675700313238609</v>
      </c>
      <c r="AB81" s="3">
        <f t="shared" si="72"/>
        <v>0.41198922972316282</v>
      </c>
      <c r="AC81" s="3">
        <f t="shared" si="73"/>
        <v>0.12567157346287006</v>
      </c>
      <c r="AD81" s="3">
        <f t="shared" si="74"/>
        <v>0.13387045180754781</v>
      </c>
      <c r="AE81" s="3">
        <f t="shared" si="50"/>
        <v>-0.79997682913545054</v>
      </c>
      <c r="AF81" s="3">
        <f t="shared" si="75"/>
        <v>0.54752654955177038</v>
      </c>
      <c r="AG81" s="3">
        <f t="shared" si="76"/>
        <v>0.58324746436614927</v>
      </c>
      <c r="AH81" s="3">
        <f t="shared" si="77"/>
        <v>0.17791151145959749</v>
      </c>
      <c r="AI81" s="3">
        <f t="shared" si="78"/>
        <v>0.1895185503338736</v>
      </c>
      <c r="AJ81" s="3">
        <f t="shared" si="51"/>
        <v>-0.95023277978261256</v>
      </c>
      <c r="AK81" s="3">
        <f t="shared" si="79"/>
        <v>0.65036593090781725</v>
      </c>
      <c r="AL81" s="3">
        <f t="shared" si="80"/>
        <v>0.69279614006416013</v>
      </c>
      <c r="AM81" s="3">
        <f t="shared" si="81"/>
        <v>0.21132780842200491</v>
      </c>
      <c r="AN81" s="3">
        <f t="shared" si="82"/>
        <v>0.22511494376499716</v>
      </c>
      <c r="AO81" s="3">
        <f t="shared" si="52"/>
        <v>-0.99995088102966601</v>
      </c>
      <c r="AP81" s="3">
        <f t="shared" si="83"/>
        <v>0.68439439202647745</v>
      </c>
      <c r="AQ81" s="3">
        <f t="shared" si="84"/>
        <v>0.72904463555718835</v>
      </c>
      <c r="AR81" s="3"/>
      <c r="AS81" s="2"/>
      <c r="AT81" s="2"/>
    </row>
    <row r="82" spans="1:46">
      <c r="A82">
        <f t="shared" si="85"/>
        <v>79</v>
      </c>
      <c r="B82" s="1">
        <f t="shared" si="43"/>
        <v>9.7433069999999997</v>
      </c>
      <c r="C82" s="1">
        <f t="shared" si="44"/>
        <v>61.21900338574001</v>
      </c>
      <c r="D82" s="1">
        <f t="shared" si="45"/>
        <v>-0.99911588779388949</v>
      </c>
      <c r="E82" s="1">
        <f t="shared" si="46"/>
        <v>-4.2040965234256981E-2</v>
      </c>
      <c r="F82" s="2">
        <f t="shared" si="47"/>
        <v>-32738.030295342378</v>
      </c>
      <c r="G82" s="2">
        <f t="shared" si="48"/>
        <v>-1377.5563078308985</v>
      </c>
      <c r="H82" s="2">
        <f t="shared" si="49"/>
        <v>-8184.7573528075427</v>
      </c>
      <c r="I82" s="3">
        <f t="shared" si="53"/>
        <v>0.57640407450089859</v>
      </c>
      <c r="J82" s="3">
        <f t="shared" si="54"/>
        <v>0.33224165710123743</v>
      </c>
      <c r="K82" s="3">
        <f t="shared" si="55"/>
        <v>-0.36565486483347676</v>
      </c>
      <c r="L82" s="3">
        <f t="shared" si="56"/>
        <v>0.36533158490425377</v>
      </c>
      <c r="M82" s="3">
        <f t="shared" si="57"/>
        <v>1.5372483460201132E-2</v>
      </c>
      <c r="N82" s="3">
        <f t="shared" si="58"/>
        <v>0.1213783711600107</v>
      </c>
      <c r="O82" s="3">
        <f t="shared" si="59"/>
        <v>5.1073793785785882E-3</v>
      </c>
      <c r="P82" s="3">
        <f t="shared" si="60"/>
        <v>-0.64822476044029054</v>
      </c>
      <c r="Q82" s="3">
        <f t="shared" si="61"/>
        <v>0.64765165701728222</v>
      </c>
      <c r="R82" s="3">
        <f t="shared" si="62"/>
        <v>2.7251994617654814E-2</v>
      </c>
      <c r="S82" s="3">
        <f t="shared" si="63"/>
        <v>0.21517685975178411</v>
      </c>
      <c r="T82" s="3">
        <f t="shared" si="64"/>
        <v>9.054247851083639E-3</v>
      </c>
      <c r="U82" s="3">
        <f t="shared" si="65"/>
        <v>-0.86045661003559581</v>
      </c>
      <c r="V82" s="3">
        <f t="shared" si="66"/>
        <v>0.85969586984383484</v>
      </c>
      <c r="W82" s="3">
        <f t="shared" si="67"/>
        <v>3.6174426428093098E-2</v>
      </c>
      <c r="X82" s="3">
        <f t="shared" si="68"/>
        <v>0.28562678040000544</v>
      </c>
      <c r="Y82" s="3">
        <f t="shared" si="69"/>
        <v>1.201865138115645E-2</v>
      </c>
      <c r="Z82" s="3">
        <f t="shared" si="70"/>
        <v>-0.97932140499004583</v>
      </c>
      <c r="AA82" s="3">
        <f t="shared" si="71"/>
        <v>0.97845557498218882</v>
      </c>
      <c r="AB82" s="3">
        <f t="shared" si="72"/>
        <v>4.1171617140350218E-2</v>
      </c>
      <c r="AC82" s="3">
        <f t="shared" si="73"/>
        <v>0.32508370163202649</v>
      </c>
      <c r="AD82" s="3">
        <f t="shared" si="74"/>
        <v>1.3678926304247666E-2</v>
      </c>
      <c r="AE82" s="3">
        <f t="shared" si="50"/>
        <v>-0.9919212772694439</v>
      </c>
      <c r="AF82" s="3">
        <f t="shared" si="75"/>
        <v>0.99104430756070927</v>
      </c>
      <c r="AG82" s="3">
        <f t="shared" si="76"/>
        <v>4.1701327932804469E-2</v>
      </c>
      <c r="AH82" s="3">
        <f t="shared" si="77"/>
        <v>0.32926620300471843</v>
      </c>
      <c r="AI82" s="3">
        <f t="shared" si="78"/>
        <v>1.3854918295717077E-2</v>
      </c>
      <c r="AJ82" s="3">
        <f t="shared" si="51"/>
        <v>-0.89688903072483783</v>
      </c>
      <c r="AK82" s="3">
        <f t="shared" si="79"/>
        <v>0.89609608018524733</v>
      </c>
      <c r="AL82" s="3">
        <f t="shared" si="80"/>
        <v>3.7706080559689346E-2</v>
      </c>
      <c r="AM82" s="3">
        <f t="shared" si="81"/>
        <v>0.29772044660266994</v>
      </c>
      <c r="AN82" s="3">
        <f t="shared" si="82"/>
        <v>1.2527530687943945E-2</v>
      </c>
      <c r="AO82" s="3">
        <f t="shared" si="52"/>
        <v>-0.70453649381137673</v>
      </c>
      <c r="AP82" s="3">
        <f t="shared" si="83"/>
        <v>0.70391360449754781</v>
      </c>
      <c r="AQ82" s="3">
        <f t="shared" si="84"/>
        <v>2.9619394242589397E-2</v>
      </c>
      <c r="AR82" s="3"/>
      <c r="AS82" s="2"/>
      <c r="AT82" s="2"/>
    </row>
    <row r="83" spans="1:46">
      <c r="A83">
        <f t="shared" si="85"/>
        <v>80</v>
      </c>
      <c r="B83" s="1">
        <f t="shared" si="43"/>
        <v>9.8666400000000003</v>
      </c>
      <c r="C83" s="1">
        <f t="shared" si="44"/>
        <v>61.993927479230393</v>
      </c>
      <c r="D83" s="1">
        <f t="shared" si="45"/>
        <v>-0.74325692895470286</v>
      </c>
      <c r="E83" s="1">
        <f t="shared" si="46"/>
        <v>0.66900608185637878</v>
      </c>
      <c r="F83" s="2">
        <f t="shared" si="47"/>
        <v>-24354.299791058747</v>
      </c>
      <c r="G83" s="2">
        <f t="shared" si="48"/>
        <v>21921.322284187965</v>
      </c>
      <c r="H83" s="2">
        <f t="shared" si="49"/>
        <v>-6088.7607619969258</v>
      </c>
      <c r="I83" s="3">
        <f t="shared" si="53"/>
        <v>0.5827410360463009</v>
      </c>
      <c r="J83" s="3">
        <f t="shared" si="54"/>
        <v>0.33958711509231615</v>
      </c>
      <c r="K83" s="3">
        <f t="shared" si="55"/>
        <v>-0.90369349581636926</v>
      </c>
      <c r="L83" s="3">
        <f t="shared" si="56"/>
        <v>0.67167645241681428</v>
      </c>
      <c r="M83" s="3">
        <f t="shared" si="57"/>
        <v>-0.60457644483520301</v>
      </c>
      <c r="N83" s="3">
        <f t="shared" si="58"/>
        <v>0.22809266875166731</v>
      </c>
      <c r="O83" s="3">
        <f t="shared" si="59"/>
        <v>-0.20530637075435543</v>
      </c>
      <c r="P83" s="3">
        <f t="shared" si="60"/>
        <v>-0.99424088622164497</v>
      </c>
      <c r="Q83" s="3">
        <f t="shared" si="61"/>
        <v>0.73897642773430194</v>
      </c>
      <c r="R83" s="3">
        <f t="shared" si="62"/>
        <v>-0.66515319971255638</v>
      </c>
      <c r="S83" s="3">
        <f t="shared" si="63"/>
        <v>0.25094687321551706</v>
      </c>
      <c r="T83" s="3">
        <f t="shared" si="64"/>
        <v>-0.22587745618481023</v>
      </c>
      <c r="U83" s="3">
        <f t="shared" si="65"/>
        <v>-0.97418170272701587</v>
      </c>
      <c r="V83" s="3">
        <f t="shared" si="66"/>
        <v>0.72406730061274505</v>
      </c>
      <c r="W83" s="3">
        <f t="shared" si="67"/>
        <v>-0.65173348395757646</v>
      </c>
      <c r="X83" s="3">
        <f t="shared" si="68"/>
        <v>0.24588392574776294</v>
      </c>
      <c r="Y83" s="3">
        <f t="shared" si="69"/>
        <v>-0.22132029362621766</v>
      </c>
      <c r="Z83" s="3">
        <f t="shared" si="70"/>
        <v>-0.84574747452457155</v>
      </c>
      <c r="AA83" s="3">
        <f t="shared" si="71"/>
        <v>0.62860767058632883</v>
      </c>
      <c r="AB83" s="3">
        <f t="shared" si="72"/>
        <v>-0.5658102041716111</v>
      </c>
      <c r="AC83" s="3">
        <f t="shared" si="73"/>
        <v>0.2134670653793124</v>
      </c>
      <c r="AD83" s="3">
        <f t="shared" si="74"/>
        <v>-0.19214185492443181</v>
      </c>
      <c r="AE83" s="3">
        <f t="shared" si="50"/>
        <v>-0.62322615753105226</v>
      </c>
      <c r="AF83" s="3">
        <f t="shared" si="75"/>
        <v>0.46321715989076978</v>
      </c>
      <c r="AG83" s="3">
        <f t="shared" si="76"/>
        <v>-0.41694208976025554</v>
      </c>
      <c r="AH83" s="3">
        <f t="shared" si="77"/>
        <v>0.15730257898856265</v>
      </c>
      <c r="AI83" s="3">
        <f t="shared" si="78"/>
        <v>-0.14158816142224673</v>
      </c>
      <c r="AJ83" s="3">
        <f t="shared" si="51"/>
        <v>-0.33137263844787307</v>
      </c>
      <c r="AK83" s="3">
        <f t="shared" si="79"/>
        <v>0.24629500959238323</v>
      </c>
      <c r="AL83" s="3">
        <f t="shared" si="80"/>
        <v>-0.22169031048242199</v>
      </c>
      <c r="AM83" s="3">
        <f t="shared" si="81"/>
        <v>8.3638611769111762E-2</v>
      </c>
      <c r="AN83" s="3">
        <f t="shared" si="82"/>
        <v>-7.5283172980645532E-2</v>
      </c>
      <c r="AO83" s="3">
        <f t="shared" si="52"/>
        <v>-2.6548214557922923E-3</v>
      </c>
      <c r="AP83" s="3">
        <f t="shared" si="83"/>
        <v>1.9732144421552326E-3</v>
      </c>
      <c r="AQ83" s="3">
        <f t="shared" si="84"/>
        <v>-1.7760917001678489E-3</v>
      </c>
      <c r="AR83" s="3"/>
      <c r="AS83" s="2"/>
      <c r="AT83" s="2"/>
    </row>
    <row r="84" spans="1:46">
      <c r="A84">
        <f t="shared" si="85"/>
        <v>81</v>
      </c>
      <c r="B84" s="1">
        <f t="shared" si="43"/>
        <v>9.9899729999999991</v>
      </c>
      <c r="C84" s="1">
        <f t="shared" si="44"/>
        <v>62.76885157272077</v>
      </c>
      <c r="D84" s="1">
        <f t="shared" si="45"/>
        <v>-6.2959829870616255E-2</v>
      </c>
      <c r="E84" s="1">
        <f t="shared" si="46"/>
        <v>0.99801606190615144</v>
      </c>
      <c r="F84" s="2">
        <f t="shared" si="47"/>
        <v>-2063.0047453704829</v>
      </c>
      <c r="G84" s="2">
        <f t="shared" si="48"/>
        <v>32701.992300478865</v>
      </c>
      <c r="H84" s="2">
        <f t="shared" si="49"/>
        <v>-515.76692630008836</v>
      </c>
      <c r="I84" s="3">
        <f t="shared" si="53"/>
        <v>0.58904275965846176</v>
      </c>
      <c r="J84" s="3">
        <f t="shared" si="54"/>
        <v>0.34697137270605632</v>
      </c>
      <c r="K84" s="3">
        <f t="shared" si="55"/>
        <v>-0.95187354967635796</v>
      </c>
      <c r="L84" s="3">
        <f t="shared" si="56"/>
        <v>5.9929796745963083E-2</v>
      </c>
      <c r="M84" s="3">
        <f t="shared" si="57"/>
        <v>-0.94998509148062815</v>
      </c>
      <c r="N84" s="3">
        <f t="shared" si="58"/>
        <v>2.079392384294176E-2</v>
      </c>
      <c r="O84" s="3">
        <f t="shared" si="59"/>
        <v>-0.32961763124132204</v>
      </c>
      <c r="P84" s="3">
        <f t="shared" si="60"/>
        <v>-0.79560154698813668</v>
      </c>
      <c r="Q84" s="3">
        <f t="shared" si="61"/>
        <v>5.009093804317219E-2</v>
      </c>
      <c r="R84" s="3">
        <f t="shared" si="62"/>
        <v>-0.79402312277154208</v>
      </c>
      <c r="S84" s="3">
        <f t="shared" si="63"/>
        <v>1.7380121532973473E-2</v>
      </c>
      <c r="T84" s="3">
        <f t="shared" si="64"/>
        <v>-0.27550329286839148</v>
      </c>
      <c r="U84" s="3">
        <f t="shared" si="65"/>
        <v>-0.54861590862670961</v>
      </c>
      <c r="V84" s="3">
        <f t="shared" si="66"/>
        <v>3.4540764271451189E-2</v>
      </c>
      <c r="W84" s="3">
        <f t="shared" si="67"/>
        <v>-0.54752748862669376</v>
      </c>
      <c r="X84" s="3">
        <f t="shared" si="68"/>
        <v>1.1984656393581724E-2</v>
      </c>
      <c r="Y84" s="3">
        <f t="shared" si="69"/>
        <v>-0.18997636432310358</v>
      </c>
      <c r="Z84" s="3">
        <f t="shared" si="70"/>
        <v>-0.23907767236236671</v>
      </c>
      <c r="AA84" s="3">
        <f t="shared" si="71"/>
        <v>1.5052289577797542E-2</v>
      </c>
      <c r="AB84" s="3">
        <f t="shared" si="72"/>
        <v>-0.23860335706077837</v>
      </c>
      <c r="AC84" s="3">
        <f t="shared" si="73"/>
        <v>5.222713577177478E-3</v>
      </c>
      <c r="AD84" s="3">
        <f t="shared" si="74"/>
        <v>-8.2788534331651564E-2</v>
      </c>
      <c r="AE84" s="3">
        <f t="shared" si="50"/>
        <v>9.7719943864695999E-2</v>
      </c>
      <c r="AF84" s="3">
        <f t="shared" si="75"/>
        <v>-6.1524310406874307E-3</v>
      </c>
      <c r="AG84" s="3">
        <f t="shared" si="76"/>
        <v>9.7526073545534081E-2</v>
      </c>
      <c r="AH84" s="3">
        <f t="shared" si="77"/>
        <v>-2.1347174436666685E-3</v>
      </c>
      <c r="AI84" s="3">
        <f t="shared" si="78"/>
        <v>3.3838755612725764E-2</v>
      </c>
      <c r="AJ84" s="3">
        <f t="shared" si="51"/>
        <v>0.42337563682715373</v>
      </c>
      <c r="AK84" s="3">
        <f t="shared" si="79"/>
        <v>-2.6655658066001411E-2</v>
      </c>
      <c r="AL84" s="3">
        <f t="shared" si="80"/>
        <v>0.42253568577324496</v>
      </c>
      <c r="AM84" s="3">
        <f t="shared" si="81"/>
        <v>-9.2487502695437727E-3</v>
      </c>
      <c r="AN84" s="3">
        <f t="shared" si="82"/>
        <v>0.14660778691003767</v>
      </c>
      <c r="AO84" s="3">
        <f t="shared" si="52"/>
        <v>0.70075849344653784</v>
      </c>
      <c r="AP84" s="3">
        <f t="shared" si="83"/>
        <v>-4.4119635527783377E-2</v>
      </c>
      <c r="AQ84" s="3">
        <f t="shared" si="84"/>
        <v>0.69936823197680131</v>
      </c>
      <c r="AR84" s="3"/>
      <c r="AS84" s="2"/>
      <c r="AT84" s="2"/>
    </row>
    <row r="85" spans="1:46">
      <c r="A85">
        <f t="shared" si="85"/>
        <v>82</v>
      </c>
      <c r="B85" s="1">
        <f t="shared" si="43"/>
        <v>10.113306</v>
      </c>
      <c r="C85" s="1">
        <f t="shared" si="44"/>
        <v>63.543775666211154</v>
      </c>
      <c r="D85" s="1">
        <f t="shared" si="45"/>
        <v>0.65329058772205872</v>
      </c>
      <c r="E85" s="1">
        <f t="shared" si="46"/>
        <v>0.75710726320235966</v>
      </c>
      <c r="F85" s="2">
        <f t="shared" si="47"/>
        <v>21406.372687888699</v>
      </c>
      <c r="G85" s="2">
        <f t="shared" si="48"/>
        <v>24808.13369335172</v>
      </c>
      <c r="H85" s="2">
        <f t="shared" si="49"/>
        <v>5351.7564946191051</v>
      </c>
      <c r="I85" s="3">
        <f t="shared" si="53"/>
        <v>0.59530886427666596</v>
      </c>
      <c r="J85" s="3">
        <f t="shared" si="54"/>
        <v>0.35439264388637387</v>
      </c>
      <c r="K85" s="3">
        <f t="shared" si="55"/>
        <v>-0.48407841415627617</v>
      </c>
      <c r="L85" s="3">
        <f t="shared" si="56"/>
        <v>-0.31624387168771584</v>
      </c>
      <c r="M85" s="3">
        <f t="shared" si="57"/>
        <v>-0.36649928331719667</v>
      </c>
      <c r="N85" s="3">
        <f t="shared" si="58"/>
        <v>-0.11207450180027279</v>
      </c>
      <c r="O85" s="3">
        <f t="shared" si="59"/>
        <v>-0.1298846499972425</v>
      </c>
      <c r="P85" s="3">
        <f t="shared" si="60"/>
        <v>-0.16112343211533672</v>
      </c>
      <c r="Q85" s="3">
        <f t="shared" si="61"/>
        <v>-0.10526042166242355</v>
      </c>
      <c r="R85" s="3">
        <f t="shared" si="62"/>
        <v>-0.12198772072661376</v>
      </c>
      <c r="S85" s="3">
        <f t="shared" si="63"/>
        <v>-3.730351912954083E-2</v>
      </c>
      <c r="T85" s="3">
        <f t="shared" si="64"/>
        <v>-4.3231550869977264E-2</v>
      </c>
      <c r="U85" s="3">
        <f t="shared" si="65"/>
        <v>0.18065458352237343</v>
      </c>
      <c r="V85" s="3">
        <f t="shared" si="66"/>
        <v>0.11801993904401509</v>
      </c>
      <c r="W85" s="3">
        <f t="shared" si="67"/>
        <v>0.13677489731558626</v>
      </c>
      <c r="X85" s="3">
        <f t="shared" si="68"/>
        <v>4.182539822911719E-2</v>
      </c>
      <c r="Y85" s="3">
        <f t="shared" si="69"/>
        <v>4.8472017476957917E-2</v>
      </c>
      <c r="Z85" s="3">
        <f t="shared" si="70"/>
        <v>0.50132786442096233</v>
      </c>
      <c r="AA85" s="3">
        <f t="shared" si="71"/>
        <v>0.32751277518901506</v>
      </c>
      <c r="AB85" s="3">
        <f t="shared" si="72"/>
        <v>0.37955896739883843</v>
      </c>
      <c r="AC85" s="3">
        <f t="shared" si="73"/>
        <v>0.11606811830579863</v>
      </c>
      <c r="AD85" s="3">
        <f t="shared" si="74"/>
        <v>0.13451290596725632</v>
      </c>
      <c r="AE85" s="3">
        <f t="shared" si="50"/>
        <v>0.7634341751954864</v>
      </c>
      <c r="AF85" s="3">
        <f t="shared" si="75"/>
        <v>0.49874436100056446</v>
      </c>
      <c r="AG85" s="3">
        <f t="shared" si="76"/>
        <v>0.57800155901740546</v>
      </c>
      <c r="AH85" s="3">
        <f t="shared" si="77"/>
        <v>0.17675133271841015</v>
      </c>
      <c r="AI85" s="3">
        <f t="shared" si="78"/>
        <v>0.20483950067062429</v>
      </c>
      <c r="AJ85" s="3">
        <f t="shared" si="51"/>
        <v>0.93635328991815192</v>
      </c>
      <c r="AK85" s="3">
        <f t="shared" si="79"/>
        <v>0.6117107910861127</v>
      </c>
      <c r="AL85" s="3">
        <f t="shared" si="80"/>
        <v>0.70891987672045764</v>
      </c>
      <c r="AM85" s="3">
        <f t="shared" si="81"/>
        <v>0.2167858045468328</v>
      </c>
      <c r="AN85" s="3">
        <f t="shared" si="82"/>
        <v>0.25123598941456521</v>
      </c>
      <c r="AO85" s="3">
        <f t="shared" si="52"/>
        <v>0.99988415984507273</v>
      </c>
      <c r="AP85" s="3">
        <f t="shared" si="83"/>
        <v>0.65321491043916446</v>
      </c>
      <c r="AQ85" s="3">
        <f t="shared" si="84"/>
        <v>0.75701955977969371</v>
      </c>
      <c r="AR85" s="3"/>
      <c r="AS85" s="2"/>
      <c r="AT85" s="2"/>
    </row>
    <row r="86" spans="1:46">
      <c r="A86">
        <f t="shared" si="85"/>
        <v>83</v>
      </c>
      <c r="B86" s="1">
        <f t="shared" si="43"/>
        <v>10.236639</v>
      </c>
      <c r="C86" s="1">
        <f t="shared" si="44"/>
        <v>64.318699759701531</v>
      </c>
      <c r="D86" s="1">
        <f t="shared" si="45"/>
        <v>0.99647829807268384</v>
      </c>
      <c r="E86" s="1">
        <f t="shared" si="46"/>
        <v>8.3851067197546911E-2</v>
      </c>
      <c r="F86" s="2">
        <f t="shared" si="47"/>
        <v>32651.604392947633</v>
      </c>
      <c r="G86" s="2">
        <f t="shared" si="48"/>
        <v>2747.5479188620197</v>
      </c>
      <c r="H86" s="2">
        <f t="shared" si="49"/>
        <v>8163.150217811426</v>
      </c>
      <c r="I86" s="3">
        <f t="shared" si="53"/>
        <v>0.60153897099405362</v>
      </c>
      <c r="J86" s="3">
        <f t="shared" si="54"/>
        <v>0.36184913362458487</v>
      </c>
      <c r="K86" s="3">
        <f t="shared" si="55"/>
        <v>0.24611759541270042</v>
      </c>
      <c r="L86" s="3">
        <f t="shared" si="56"/>
        <v>0.24525084260258909</v>
      </c>
      <c r="M86" s="3">
        <f t="shared" si="57"/>
        <v>2.0637223031449006E-2</v>
      </c>
      <c r="N86" s="3">
        <f t="shared" si="58"/>
        <v>8.8743804916446289E-2</v>
      </c>
      <c r="O86" s="3">
        <f t="shared" si="59"/>
        <v>7.4675612743471519E-3</v>
      </c>
      <c r="P86" s="3">
        <f t="shared" si="60"/>
        <v>0.56161976927696033</v>
      </c>
      <c r="Q86" s="3">
        <f t="shared" si="61"/>
        <v>0.55964191185307877</v>
      </c>
      <c r="R86" s="3">
        <f t="shared" si="62"/>
        <v>4.7092417013113196E-2</v>
      </c>
      <c r="S86" s="3">
        <f t="shared" si="63"/>
        <v>0.20250594094404287</v>
      </c>
      <c r="T86" s="3">
        <f t="shared" si="64"/>
        <v>1.7040350296482671E-2</v>
      </c>
      <c r="U86" s="3">
        <f t="shared" si="65"/>
        <v>0.80991768456766744</v>
      </c>
      <c r="V86" s="3">
        <f t="shared" si="66"/>
        <v>0.80706539589695803</v>
      </c>
      <c r="W86" s="3">
        <f t="shared" si="67"/>
        <v>6.7912462193165088E-2</v>
      </c>
      <c r="X86" s="3">
        <f t="shared" si="68"/>
        <v>0.29203591428369685</v>
      </c>
      <c r="Y86" s="3">
        <f t="shared" si="69"/>
        <v>2.4574065606909161E-2</v>
      </c>
      <c r="Z86" s="3">
        <f t="shared" si="70"/>
        <v>0.96129964270276169</v>
      </c>
      <c r="AA86" s="3">
        <f t="shared" si="71"/>
        <v>0.95791423189832703</v>
      </c>
      <c r="AB86" s="3">
        <f t="shared" si="72"/>
        <v>8.060600093724711E-2</v>
      </c>
      <c r="AC86" s="3">
        <f t="shared" si="73"/>
        <v>0.3466204348990693</v>
      </c>
      <c r="AD86" s="3">
        <f t="shared" si="74"/>
        <v>2.9167211604085343E-2</v>
      </c>
      <c r="AE86" s="3">
        <f t="shared" si="50"/>
        <v>0.99765105296728596</v>
      </c>
      <c r="AF86" s="3">
        <f t="shared" si="75"/>
        <v>0.9941376233312621</v>
      </c>
      <c r="AG86" s="3">
        <f t="shared" si="76"/>
        <v>8.3654105482063326E-2</v>
      </c>
      <c r="AH86" s="3">
        <f t="shared" si="77"/>
        <v>0.35972783770602107</v>
      </c>
      <c r="AI86" s="3">
        <f t="shared" si="78"/>
        <v>3.0270165592824253E-2</v>
      </c>
      <c r="AJ86" s="3">
        <f t="shared" si="51"/>
        <v>0.91462205143447717</v>
      </c>
      <c r="AK86" s="3">
        <f t="shared" si="79"/>
        <v>0.91140102519317456</v>
      </c>
      <c r="AL86" s="3">
        <f t="shared" si="80"/>
        <v>7.6692035095190556E-2</v>
      </c>
      <c r="AM86" s="3">
        <f t="shared" si="81"/>
        <v>0.32978967135070864</v>
      </c>
      <c r="AN86" s="3">
        <f t="shared" si="82"/>
        <v>2.7750946455100959E-2</v>
      </c>
      <c r="AO86" s="3">
        <f t="shared" si="52"/>
        <v>0.72214801216586766</v>
      </c>
      <c r="AP86" s="3">
        <f t="shared" si="83"/>
        <v>0.71960482211961563</v>
      </c>
      <c r="AQ86" s="3">
        <f t="shared" si="84"/>
        <v>6.0552881494695093E-2</v>
      </c>
      <c r="AR86" s="3"/>
      <c r="AS86" s="2"/>
      <c r="AT86" s="2"/>
    </row>
    <row r="87" spans="1:46">
      <c r="A87">
        <f t="shared" si="85"/>
        <v>84</v>
      </c>
      <c r="B87" s="1">
        <f t="shared" si="43"/>
        <v>10.359971999999999</v>
      </c>
      <c r="C87" s="1">
        <f t="shared" si="44"/>
        <v>65.0936238531919</v>
      </c>
      <c r="D87" s="1">
        <f t="shared" si="45"/>
        <v>0.77062537233642314</v>
      </c>
      <c r="E87" s="1">
        <f t="shared" si="46"/>
        <v>-0.63728842411528963</v>
      </c>
      <c r="F87" s="2">
        <f t="shared" si="47"/>
        <v>25251.081575347576</v>
      </c>
      <c r="G87" s="2">
        <f t="shared" si="48"/>
        <v>-20882.029792985697</v>
      </c>
      <c r="H87" s="2">
        <f t="shared" si="49"/>
        <v>6312.9630501799784</v>
      </c>
      <c r="I87" s="3">
        <f t="shared" si="53"/>
        <v>0.60773270308053162</v>
      </c>
      <c r="J87" s="3">
        <f t="shared" si="54"/>
        <v>0.36933903839356963</v>
      </c>
      <c r="K87" s="3">
        <f t="shared" si="55"/>
        <v>0.84290242558077044</v>
      </c>
      <c r="L87" s="3">
        <f t="shared" si="56"/>
        <v>0.64956199555645544</v>
      </c>
      <c r="M87" s="3">
        <f t="shared" si="57"/>
        <v>-0.53717195848132437</v>
      </c>
      <c r="N87" s="3">
        <f t="shared" si="58"/>
        <v>0.23990860281582937</v>
      </c>
      <c r="O87" s="3">
        <f t="shared" si="59"/>
        <v>-0.19839857459748286</v>
      </c>
      <c r="P87" s="3">
        <f t="shared" si="60"/>
        <v>0.97670183860744697</v>
      </c>
      <c r="Q87" s="3">
        <f t="shared" si="61"/>
        <v>0.75267121803853287</v>
      </c>
      <c r="R87" s="3">
        <f t="shared" si="62"/>
        <v>-0.62244077555664579</v>
      </c>
      <c r="S87" s="3">
        <f t="shared" si="63"/>
        <v>0.2779908638968685</v>
      </c>
      <c r="T87" s="3">
        <f t="shared" si="64"/>
        <v>-0.22989167750103925</v>
      </c>
      <c r="U87" s="3">
        <f t="shared" si="65"/>
        <v>0.99082374388643324</v>
      </c>
      <c r="V87" s="3">
        <f t="shared" si="66"/>
        <v>0.76355391655225135</v>
      </c>
      <c r="W87" s="3">
        <f t="shared" si="67"/>
        <v>-0.63144050231739635</v>
      </c>
      <c r="X87" s="3">
        <f t="shared" si="68"/>
        <v>0.28201026930105244</v>
      </c>
      <c r="Y87" s="3">
        <f t="shared" si="69"/>
        <v>-0.23321562792865977</v>
      </c>
      <c r="Z87" s="3">
        <f t="shared" si="70"/>
        <v>0.88353775209967977</v>
      </c>
      <c r="AA87" s="3">
        <f t="shared" si="71"/>
        <v>0.68087660918510207</v>
      </c>
      <c r="AB87" s="3">
        <f t="shared" si="72"/>
        <v>-0.56306838168197038</v>
      </c>
      <c r="AC87" s="3">
        <f t="shared" si="73"/>
        <v>0.25147431210109988</v>
      </c>
      <c r="AD87" s="3">
        <f t="shared" si="74"/>
        <v>-0.20796313464024235</v>
      </c>
      <c r="AE87" s="3">
        <f t="shared" si="50"/>
        <v>0.66798986093630275</v>
      </c>
      <c r="AF87" s="3">
        <f t="shared" si="75"/>
        <v>0.5147699353009938</v>
      </c>
      <c r="AG87" s="3">
        <f t="shared" si="76"/>
        <v>-0.42570220580108786</v>
      </c>
      <c r="AH87" s="3">
        <f t="shared" si="77"/>
        <v>0.19012463289798912</v>
      </c>
      <c r="AI87" s="3">
        <f t="shared" si="78"/>
        <v>-0.15722844333259528</v>
      </c>
      <c r="AJ87" s="3">
        <f t="shared" si="51"/>
        <v>0.37059164596113131</v>
      </c>
      <c r="AK87" s="3">
        <f t="shared" si="79"/>
        <v>0.28558732515356472</v>
      </c>
      <c r="AL87" s="3">
        <f t="shared" si="80"/>
        <v>-0.23617376604486071</v>
      </c>
      <c r="AM87" s="3">
        <f t="shared" si="81"/>
        <v>0.10547854804960929</v>
      </c>
      <c r="AN87" s="3">
        <f t="shared" si="82"/>
        <v>-8.722819164479674E-2</v>
      </c>
      <c r="AO87" s="3">
        <f t="shared" si="52"/>
        <v>2.7783989918478694E-2</v>
      </c>
      <c r="AP87" s="3">
        <f t="shared" si="83"/>
        <v>2.1411047575919072E-2</v>
      </c>
      <c r="AQ87" s="3">
        <f t="shared" si="84"/>
        <v>-1.7706415150782383E-2</v>
      </c>
      <c r="AR87" s="3"/>
      <c r="AS87" s="2"/>
      <c r="AT87" s="2"/>
    </row>
    <row r="88" spans="1:46">
      <c r="A88">
        <f t="shared" si="85"/>
        <v>85</v>
      </c>
      <c r="B88" s="1">
        <f t="shared" si="43"/>
        <v>10.483305</v>
      </c>
      <c r="C88" s="1">
        <f t="shared" si="44"/>
        <v>65.868547946682284</v>
      </c>
      <c r="D88" s="1">
        <f t="shared" si="45"/>
        <v>0.10470550996223521</v>
      </c>
      <c r="E88" s="1">
        <f t="shared" si="46"/>
        <v>-0.99450327107734959</v>
      </c>
      <c r="F88" s="2">
        <f t="shared" si="47"/>
        <v>3430.8854449325613</v>
      </c>
      <c r="G88" s="2">
        <f t="shared" si="48"/>
        <v>-32586.888683391513</v>
      </c>
      <c r="H88" s="2">
        <f t="shared" si="49"/>
        <v>857.74753761063084</v>
      </c>
      <c r="I88" s="3">
        <f t="shared" si="53"/>
        <v>0.61388968600555538</v>
      </c>
      <c r="J88" s="3">
        <f t="shared" si="54"/>
        <v>0.37686054658399937</v>
      </c>
      <c r="K88" s="3">
        <f t="shared" si="55"/>
        <v>0.98278125303889674</v>
      </c>
      <c r="L88" s="3">
        <f t="shared" si="56"/>
        <v>0.10290261228076221</v>
      </c>
      <c r="M88" s="3">
        <f t="shared" si="57"/>
        <v>-0.97737917090067927</v>
      </c>
      <c r="N88" s="3">
        <f t="shared" si="58"/>
        <v>3.8779934709049411E-2</v>
      </c>
      <c r="O88" s="3">
        <f t="shared" si="59"/>
        <v>-0.36833564856544609</v>
      </c>
      <c r="P88" s="3">
        <f t="shared" si="60"/>
        <v>0.85673651503779646</v>
      </c>
      <c r="Q88" s="3">
        <f t="shared" si="61"/>
        <v>8.9705033710300669E-2</v>
      </c>
      <c r="R88" s="3">
        <f t="shared" si="62"/>
        <v>-0.85202726665649753</v>
      </c>
      <c r="S88" s="3">
        <f t="shared" si="63"/>
        <v>3.3806288035399999E-2</v>
      </c>
      <c r="T88" s="3">
        <f t="shared" si="64"/>
        <v>-0.32109546141663864</v>
      </c>
      <c r="U88" s="3">
        <f t="shared" si="65"/>
        <v>0.62322615753105504</v>
      </c>
      <c r="V88" s="3">
        <f t="shared" si="66"/>
        <v>6.525521264609345E-2</v>
      </c>
      <c r="W88" s="3">
        <f t="shared" si="67"/>
        <v>-0.61980045228560177</v>
      </c>
      <c r="X88" s="3">
        <f t="shared" si="68"/>
        <v>2.4592115105261887E-2</v>
      </c>
      <c r="Y88" s="3">
        <f t="shared" si="69"/>
        <v>-0.23357833722136193</v>
      </c>
      <c r="Z88" s="3">
        <f t="shared" si="70"/>
        <v>0.31154079063039247</v>
      </c>
      <c r="AA88" s="3">
        <f t="shared" si="71"/>
        <v>3.262003735699319E-2</v>
      </c>
      <c r="AB88" s="3">
        <f t="shared" si="72"/>
        <v>-0.309828335355949</v>
      </c>
      <c r="AC88" s="3">
        <f t="shared" si="73"/>
        <v>1.2293205107946932E-2</v>
      </c>
      <c r="AD88" s="3">
        <f t="shared" si="74"/>
        <v>-0.11676207580945359</v>
      </c>
      <c r="AE88" s="3">
        <f t="shared" si="50"/>
        <v>-3.9223013431192701E-2</v>
      </c>
      <c r="AF88" s="3">
        <f t="shared" si="75"/>
        <v>-4.1068656235686328E-3</v>
      </c>
      <c r="AG88" s="3">
        <f t="shared" si="76"/>
        <v>3.9007415158831958E-2</v>
      </c>
      <c r="AH88" s="3">
        <f t="shared" si="77"/>
        <v>-1.5477156236451124E-3</v>
      </c>
      <c r="AI88" s="3">
        <f t="shared" si="78"/>
        <v>1.4700355797586395E-2</v>
      </c>
      <c r="AJ88" s="3">
        <f t="shared" si="51"/>
        <v>-0.38506683875570347</v>
      </c>
      <c r="AK88" s="3">
        <f t="shared" si="79"/>
        <v>-4.0318619721461731E-2</v>
      </c>
      <c r="AL88" s="3">
        <f t="shared" si="80"/>
        <v>0.3829502307259614</v>
      </c>
      <c r="AM88" s="3">
        <f t="shared" si="81"/>
        <v>-1.5194497065742484E-2</v>
      </c>
      <c r="AN88" s="3">
        <f t="shared" si="82"/>
        <v>0.14431883326585448</v>
      </c>
      <c r="AO88" s="3">
        <f t="shared" si="52"/>
        <v>-0.68260941200140579</v>
      </c>
      <c r="AP88" s="3">
        <f t="shared" si="83"/>
        <v>-7.1472966588628714E-2</v>
      </c>
      <c r="AQ88" s="3">
        <f t="shared" si="84"/>
        <v>0.67885729310358423</v>
      </c>
      <c r="AR88" s="3"/>
      <c r="AS88" s="2"/>
      <c r="AT88" s="2"/>
    </row>
    <row r="89" spans="1:46">
      <c r="A89">
        <f t="shared" si="85"/>
        <v>86</v>
      </c>
      <c r="B89" s="1">
        <f t="shared" si="43"/>
        <v>10.606638</v>
      </c>
      <c r="C89" s="1">
        <f t="shared" si="44"/>
        <v>66.643472040172668</v>
      </c>
      <c r="D89" s="1">
        <f t="shared" si="45"/>
        <v>-0.6210066129217422</v>
      </c>
      <c r="E89" s="1">
        <f t="shared" si="46"/>
        <v>-0.78380532449548046</v>
      </c>
      <c r="F89" s="2">
        <f t="shared" si="47"/>
        <v>-20348.523685606728</v>
      </c>
      <c r="G89" s="2">
        <f t="shared" si="48"/>
        <v>-25682.949067743408</v>
      </c>
      <c r="H89" s="2">
        <f t="shared" si="49"/>
        <v>-5087.2861730549121</v>
      </c>
      <c r="I89" s="3">
        <f t="shared" si="53"/>
        <v>0.62000954746077508</v>
      </c>
      <c r="J89" s="3">
        <f t="shared" si="54"/>
        <v>0.38441183894251513</v>
      </c>
      <c r="K89" s="3">
        <f t="shared" si="55"/>
        <v>0.58993097658574289</v>
      </c>
      <c r="L89" s="3">
        <f t="shared" si="56"/>
        <v>-0.36635103762712778</v>
      </c>
      <c r="M89" s="3">
        <f t="shared" si="57"/>
        <v>-0.4623910405327239</v>
      </c>
      <c r="N89" s="3">
        <f t="shared" si="58"/>
        <v>-0.14082967607274274</v>
      </c>
      <c r="O89" s="3">
        <f t="shared" si="59"/>
        <v>-0.17774859020172742</v>
      </c>
      <c r="P89" s="3">
        <f t="shared" si="60"/>
        <v>0.26744204652981679</v>
      </c>
      <c r="Q89" s="3">
        <f t="shared" si="61"/>
        <v>-0.16608327946834051</v>
      </c>
      <c r="R89" s="3">
        <f t="shared" si="62"/>
        <v>-0.20962250006403843</v>
      </c>
      <c r="S89" s="3">
        <f t="shared" si="63"/>
        <v>-6.3844378878028435E-2</v>
      </c>
      <c r="T89" s="3">
        <f t="shared" si="64"/>
        <v>-8.058137073334451E-2</v>
      </c>
      <c r="U89" s="3">
        <f t="shared" si="65"/>
        <v>-8.937912731208239E-2</v>
      </c>
      <c r="V89" s="3">
        <f t="shared" si="66"/>
        <v>5.5505029117977465E-2</v>
      </c>
      <c r="W89" s="3">
        <f t="shared" si="67"/>
        <v>7.00558358859696E-2</v>
      </c>
      <c r="X89" s="3">
        <f t="shared" si="68"/>
        <v>2.1336790313799564E-2</v>
      </c>
      <c r="Y89" s="3">
        <f t="shared" si="69"/>
        <v>2.6930292701580615E-2</v>
      </c>
      <c r="Z89" s="3">
        <f t="shared" si="70"/>
        <v>-0.43472646587612895</v>
      </c>
      <c r="AA89" s="3">
        <f t="shared" si="71"/>
        <v>0.26996801012117416</v>
      </c>
      <c r="AB89" s="3">
        <f t="shared" si="72"/>
        <v>0.34074091865281264</v>
      </c>
      <c r="AC89" s="3">
        <f t="shared" si="73"/>
        <v>0.10377889922633211</v>
      </c>
      <c r="AD89" s="3">
        <f t="shared" si="74"/>
        <v>0.13098484314228967</v>
      </c>
      <c r="AE89" s="3">
        <f t="shared" si="50"/>
        <v>-0.72426681671953896</v>
      </c>
      <c r="AF89" s="3">
        <f t="shared" si="75"/>
        <v>0.44977448270261311</v>
      </c>
      <c r="AG89" s="3">
        <f t="shared" si="76"/>
        <v>0.5676841873001669</v>
      </c>
      <c r="AH89" s="3">
        <f t="shared" si="77"/>
        <v>0.17289863600512997</v>
      </c>
      <c r="AI89" s="3">
        <f t="shared" si="78"/>
        <v>0.21822452237864434</v>
      </c>
      <c r="AJ89" s="3">
        <f t="shared" si="51"/>
        <v>-0.92083111820818941</v>
      </c>
      <c r="AK89" s="3">
        <f t="shared" si="79"/>
        <v>0.57184221379140809</v>
      </c>
      <c r="AL89" s="3">
        <f t="shared" si="80"/>
        <v>0.72175233341270606</v>
      </c>
      <c r="AM89" s="3">
        <f t="shared" si="81"/>
        <v>0.21982291698851408</v>
      </c>
      <c r="AN89" s="3">
        <f t="shared" si="82"/>
        <v>0.27745014174822963</v>
      </c>
      <c r="AO89" s="3">
        <f t="shared" si="52"/>
        <v>-0.9991858903942038</v>
      </c>
      <c r="AP89" s="3">
        <f t="shared" si="83"/>
        <v>0.62050104547289964</v>
      </c>
      <c r="AQ89" s="3">
        <f t="shared" si="84"/>
        <v>0.78316722105173453</v>
      </c>
      <c r="AR89" s="3"/>
      <c r="AS89" s="2"/>
      <c r="AT89" s="2"/>
    </row>
    <row r="90" spans="1:46">
      <c r="A90">
        <f t="shared" si="85"/>
        <v>87</v>
      </c>
      <c r="B90" s="1">
        <f t="shared" si="43"/>
        <v>10.729970999999999</v>
      </c>
      <c r="C90" s="1">
        <f t="shared" si="44"/>
        <v>67.418396133663052</v>
      </c>
      <c r="D90" s="1">
        <f t="shared" si="45"/>
        <v>-0.99209184757881319</v>
      </c>
      <c r="E90" s="1">
        <f t="shared" si="46"/>
        <v>-0.12551400705760637</v>
      </c>
      <c r="F90" s="2">
        <f t="shared" si="47"/>
        <v>-32507.873569614971</v>
      </c>
      <c r="G90" s="2">
        <f t="shared" si="48"/>
        <v>-4112.7174692565877</v>
      </c>
      <c r="H90" s="2">
        <f t="shared" si="49"/>
        <v>-8127.2164153656377</v>
      </c>
      <c r="I90" s="3">
        <f t="shared" si="53"/>
        <v>0.62609191738255032</v>
      </c>
      <c r="J90" s="3">
        <f t="shared" si="54"/>
        <v>0.39199108901175822</v>
      </c>
      <c r="K90" s="3">
        <f t="shared" si="55"/>
        <v>-0.12269890448872696</v>
      </c>
      <c r="L90" s="3">
        <f t="shared" si="56"/>
        <v>0.12172858285011746</v>
      </c>
      <c r="M90" s="3">
        <f t="shared" si="57"/>
        <v>1.5400431163958646E-2</v>
      </c>
      <c r="N90" s="3">
        <f t="shared" si="58"/>
        <v>4.7716519755275577E-2</v>
      </c>
      <c r="O90" s="3">
        <f t="shared" si="59"/>
        <v>6.0368317832107691E-3</v>
      </c>
      <c r="P90" s="3">
        <f t="shared" si="60"/>
        <v>-0.46835994770543771</v>
      </c>
      <c r="Q90" s="3">
        <f t="shared" si="61"/>
        <v>0.46465608585100404</v>
      </c>
      <c r="R90" s="3">
        <f t="shared" si="62"/>
        <v>5.8785733781800464E-2</v>
      </c>
      <c r="S90" s="3">
        <f t="shared" si="63"/>
        <v>0.1821410451086761</v>
      </c>
      <c r="T90" s="3">
        <f t="shared" si="64"/>
        <v>2.3043483803483266E-2</v>
      </c>
      <c r="U90" s="3">
        <f t="shared" si="65"/>
        <v>-0.75250560476858497</v>
      </c>
      <c r="V90" s="3">
        <f t="shared" si="66"/>
        <v>0.74655467574827761</v>
      </c>
      <c r="W90" s="3">
        <f t="shared" si="67"/>
        <v>9.4449993787812533E-2</v>
      </c>
      <c r="X90" s="3">
        <f t="shared" si="68"/>
        <v>0.29264278035338742</v>
      </c>
      <c r="Y90" s="3">
        <f t="shared" si="69"/>
        <v>3.7023555922038431E-2</v>
      </c>
      <c r="Z90" s="3">
        <f t="shared" si="70"/>
        <v>-0.93781558408677856</v>
      </c>
      <c r="AA90" s="3">
        <f t="shared" si="71"/>
        <v>0.93039919550485595</v>
      </c>
      <c r="AB90" s="3">
        <f t="shared" si="72"/>
        <v>0.11770899183980117</v>
      </c>
      <c r="AC90" s="3">
        <f t="shared" si="73"/>
        <v>0.36470819386161224</v>
      </c>
      <c r="AD90" s="3">
        <f t="shared" si="74"/>
        <v>4.6140875897759823E-2</v>
      </c>
      <c r="AE90" s="3">
        <f t="shared" si="50"/>
        <v>-0.99995088102966601</v>
      </c>
      <c r="AF90" s="3">
        <f t="shared" si="75"/>
        <v>0.99204311704878334</v>
      </c>
      <c r="AG90" s="3">
        <f t="shared" si="76"/>
        <v>0.1255078419388172</v>
      </c>
      <c r="AH90" s="3">
        <f t="shared" si="77"/>
        <v>0.3888720617985717</v>
      </c>
      <c r="AI90" s="3">
        <f t="shared" si="78"/>
        <v>4.9197955641112574E-2</v>
      </c>
      <c r="AJ90" s="3">
        <f t="shared" si="51"/>
        <v>-0.93075051427523303</v>
      </c>
      <c r="AK90" s="3">
        <f t="shared" si="79"/>
        <v>0.92338999734224647</v>
      </c>
      <c r="AL90" s="3">
        <f t="shared" si="80"/>
        <v>0.11682222661761237</v>
      </c>
      <c r="AM90" s="3">
        <f t="shared" si="81"/>
        <v>0.36196065064075172</v>
      </c>
      <c r="AN90" s="3">
        <f t="shared" si="82"/>
        <v>4.5793271832616278E-2</v>
      </c>
      <c r="AO90" s="3">
        <f t="shared" si="52"/>
        <v>-0.73930340635778757</v>
      </c>
      <c r="AP90" s="3">
        <f t="shared" si="83"/>
        <v>0.73345688233480755</v>
      </c>
      <c r="AQ90" s="3">
        <f t="shared" si="84"/>
        <v>9.2792932963303779E-2</v>
      </c>
      <c r="AR90" s="3"/>
      <c r="AS90" s="2"/>
      <c r="AT90" s="2"/>
    </row>
    <row r="91" spans="1:46">
      <c r="A91">
        <f t="shared" si="85"/>
        <v>88</v>
      </c>
      <c r="B91" s="1">
        <f t="shared" si="43"/>
        <v>10.853304</v>
      </c>
      <c r="C91" s="1">
        <f t="shared" si="44"/>
        <v>68.193320227153436</v>
      </c>
      <c r="D91" s="1">
        <f t="shared" si="45"/>
        <v>-0.79664133620431543</v>
      </c>
      <c r="E91" s="1">
        <f t="shared" si="46"/>
        <v>0.60445229873878625</v>
      </c>
      <c r="F91" s="2">
        <f t="shared" si="47"/>
        <v>-26103.546663406803</v>
      </c>
      <c r="G91" s="2">
        <f t="shared" si="48"/>
        <v>19806.088472773808</v>
      </c>
      <c r="H91" s="2">
        <f t="shared" si="49"/>
        <v>-6526.085826185752</v>
      </c>
      <c r="I91" s="3">
        <f t="shared" si="53"/>
        <v>0.63213642797432634</v>
      </c>
      <c r="J91" s="3">
        <f t="shared" si="54"/>
        <v>0.39959646357214068</v>
      </c>
      <c r="K91" s="3">
        <f t="shared" si="55"/>
        <v>-0.76881828056826906</v>
      </c>
      <c r="L91" s="3">
        <f t="shared" si="56"/>
        <v>0.61247242233021015</v>
      </c>
      <c r="M91" s="3">
        <f t="shared" si="57"/>
        <v>-0.46471397700189138</v>
      </c>
      <c r="N91" s="3">
        <f t="shared" si="58"/>
        <v>0.24474181399861458</v>
      </c>
      <c r="O91" s="3">
        <f t="shared" si="59"/>
        <v>-0.18569806178250092</v>
      </c>
      <c r="P91" s="3">
        <f t="shared" si="60"/>
        <v>-0.94758950698353839</v>
      </c>
      <c r="Q91" s="3">
        <f t="shared" si="61"/>
        <v>0.7548889710165545</v>
      </c>
      <c r="R91" s="3">
        <f t="shared" si="62"/>
        <v>-0.57277265575695291</v>
      </c>
      <c r="S91" s="3">
        <f t="shared" si="63"/>
        <v>0.30165096320782736</v>
      </c>
      <c r="T91" s="3">
        <f t="shared" si="64"/>
        <v>-0.2288779276713015</v>
      </c>
      <c r="U91" s="3">
        <f t="shared" si="65"/>
        <v>-0.99905741881744337</v>
      </c>
      <c r="V91" s="3">
        <f t="shared" si="66"/>
        <v>0.79589043707156248</v>
      </c>
      <c r="W91" s="3">
        <f t="shared" si="67"/>
        <v>-0.60388255337624197</v>
      </c>
      <c r="X91" s="3">
        <f t="shared" si="68"/>
        <v>0.31803500404468171</v>
      </c>
      <c r="Y91" s="3">
        <f t="shared" si="69"/>
        <v>-0.24130933274206076</v>
      </c>
      <c r="Z91" s="3">
        <f t="shared" si="70"/>
        <v>-0.91630759192032896</v>
      </c>
      <c r="AA91" s="3">
        <f t="shared" si="71"/>
        <v>0.72996850440156946</v>
      </c>
      <c r="AB91" s="3">
        <f t="shared" si="72"/>
        <v>-0.55386423028804455</v>
      </c>
      <c r="AC91" s="3">
        <f t="shared" si="73"/>
        <v>0.29169283287791176</v>
      </c>
      <c r="AD91" s="3">
        <f t="shared" si="74"/>
        <v>-0.2213221877222083</v>
      </c>
      <c r="AE91" s="3">
        <f t="shared" si="50"/>
        <v>-0.71045699958855524</v>
      </c>
      <c r="AF91" s="3">
        <f t="shared" si="75"/>
        <v>0.56597941346793545</v>
      </c>
      <c r="AG91" s="3">
        <f t="shared" si="76"/>
        <v>-0.42943736655636311</v>
      </c>
      <c r="AH91" s="3">
        <f t="shared" si="77"/>
        <v>0.22616337207642143</v>
      </c>
      <c r="AI91" s="3">
        <f t="shared" si="78"/>
        <v>-0.17160165300165581</v>
      </c>
      <c r="AJ91" s="3">
        <f t="shared" si="51"/>
        <v>-0.40916050979947977</v>
      </c>
      <c r="AK91" s="3">
        <f t="shared" si="79"/>
        <v>0.32595417524869646</v>
      </c>
      <c r="AL91" s="3">
        <f t="shared" si="80"/>
        <v>-0.24731801070142923</v>
      </c>
      <c r="AM91" s="3">
        <f t="shared" si="81"/>
        <v>0.1302501357159529</v>
      </c>
      <c r="AN91" s="3">
        <f t="shared" si="82"/>
        <v>-9.8827402453987953E-2</v>
      </c>
      <c r="AO91" s="3">
        <f t="shared" si="52"/>
        <v>-5.2895609417641418E-2</v>
      </c>
      <c r="AP91" s="3">
        <f t="shared" si="83"/>
        <v>4.2138828965811427E-2</v>
      </c>
      <c r="AQ91" s="3">
        <f t="shared" si="84"/>
        <v>-3.1972872705682345E-2</v>
      </c>
      <c r="AR91" s="3"/>
      <c r="AS91" s="2"/>
      <c r="AT91" s="2"/>
    </row>
    <row r="92" spans="1:46">
      <c r="A92">
        <f t="shared" si="85"/>
        <v>89</v>
      </c>
      <c r="B92" s="1">
        <f t="shared" si="43"/>
        <v>10.976637</v>
      </c>
      <c r="C92" s="1">
        <f t="shared" si="44"/>
        <v>68.968244320643819</v>
      </c>
      <c r="D92" s="1">
        <f t="shared" si="45"/>
        <v>-0.14626742753797189</v>
      </c>
      <c r="E92" s="1">
        <f t="shared" si="46"/>
        <v>0.98924508573023706</v>
      </c>
      <c r="F92" s="2">
        <f t="shared" si="47"/>
        <v>-4792.744798136725</v>
      </c>
      <c r="G92" s="2">
        <f t="shared" si="48"/>
        <v>32414.593724122678</v>
      </c>
      <c r="H92" s="2">
        <f t="shared" si="49"/>
        <v>-1198.2227663910658</v>
      </c>
      <c r="I92" s="3">
        <f t="shared" si="53"/>
        <v>0.63814271372887543</v>
      </c>
      <c r="J92" s="3">
        <f t="shared" si="54"/>
        <v>0.40722612308525347</v>
      </c>
      <c r="K92" s="3">
        <f t="shared" si="55"/>
        <v>-0.99818990895594495</v>
      </c>
      <c r="L92" s="3">
        <f t="shared" si="56"/>
        <v>0.14600267017734844</v>
      </c>
      <c r="M92" s="3">
        <f t="shared" si="57"/>
        <v>-0.98745446206018128</v>
      </c>
      <c r="N92" s="3">
        <f t="shared" si="58"/>
        <v>5.9456101336416566E-2</v>
      </c>
      <c r="O92" s="3">
        <f t="shared" si="59"/>
        <v>-0.40211725230800216</v>
      </c>
      <c r="P92" s="3">
        <f t="shared" si="60"/>
        <v>-0.907719710439859</v>
      </c>
      <c r="Q92" s="3">
        <f t="shared" si="61"/>
        <v>0.1327698269715509</v>
      </c>
      <c r="R92" s="3">
        <f t="shared" si="62"/>
        <v>-0.89795726277310428</v>
      </c>
      <c r="S92" s="3">
        <f t="shared" si="63"/>
        <v>5.4067341900324598E-2</v>
      </c>
      <c r="T92" s="3">
        <f t="shared" si="64"/>
        <v>-0.36567165481533748</v>
      </c>
      <c r="U92" s="3">
        <f t="shared" si="65"/>
        <v>-0.69254756085818503</v>
      </c>
      <c r="V92" s="3">
        <f t="shared" si="66"/>
        <v>0.10129715017442376</v>
      </c>
      <c r="W92" s="3">
        <f t="shared" si="67"/>
        <v>-0.68509927121342185</v>
      </c>
      <c r="X92" s="3">
        <f t="shared" si="68"/>
        <v>4.125084574511529E-2</v>
      </c>
      <c r="Y92" s="3">
        <f t="shared" si="69"/>
        <v>-0.27899032014477432</v>
      </c>
      <c r="Z92" s="3">
        <f t="shared" si="70"/>
        <v>-0.38223367198026859</v>
      </c>
      <c r="AA92" s="3">
        <f t="shared" si="71"/>
        <v>5.5908335918946853E-2</v>
      </c>
      <c r="AB92" s="3">
        <f t="shared" si="72"/>
        <v>-0.37812278160710411</v>
      </c>
      <c r="AC92" s="3">
        <f t="shared" si="73"/>
        <v>2.2767334884420749E-2</v>
      </c>
      <c r="AD92" s="3">
        <f t="shared" si="74"/>
        <v>-0.153981474404073</v>
      </c>
      <c r="AE92" s="3">
        <f t="shared" si="50"/>
        <v>-1.9408766639124719E-2</v>
      </c>
      <c r="AF92" s="3">
        <f t="shared" si="75"/>
        <v>2.8388703679895814E-3</v>
      </c>
      <c r="AG92" s="3">
        <f t="shared" si="76"/>
        <v>-1.92000270178391E-2</v>
      </c>
      <c r="AH92" s="3">
        <f t="shared" si="77"/>
        <v>1.1560621738980041E-3</v>
      </c>
      <c r="AI92" s="3">
        <f t="shared" si="78"/>
        <v>-7.8187525656067368E-3</v>
      </c>
      <c r="AJ92" s="3">
        <f t="shared" si="51"/>
        <v>0.34608250260250417</v>
      </c>
      <c r="AK92" s="3">
        <f t="shared" si="79"/>
        <v>-5.0620597371571749E-2</v>
      </c>
      <c r="AL92" s="3">
        <f t="shared" si="80"/>
        <v>0.34236041495674924</v>
      </c>
      <c r="AM92" s="3">
        <f t="shared" si="81"/>
        <v>-2.0614029615884735E-2</v>
      </c>
      <c r="AN92" s="3">
        <f t="shared" si="82"/>
        <v>0.13941810448069561</v>
      </c>
      <c r="AO92" s="3">
        <f t="shared" si="52"/>
        <v>0.66402917982102849</v>
      </c>
      <c r="AP92" s="3">
        <f t="shared" si="83"/>
        <v>-9.7125839942571193E-2</v>
      </c>
      <c r="AQ92" s="3">
        <f t="shared" si="84"/>
        <v>0.65688760291943238</v>
      </c>
      <c r="AR92" s="3"/>
      <c r="AS92" s="2"/>
      <c r="AT92" s="2"/>
    </row>
    <row r="93" spans="1:46">
      <c r="A93">
        <f t="shared" si="85"/>
        <v>90</v>
      </c>
      <c r="B93" s="1">
        <f t="shared" si="43"/>
        <v>11.099969999999999</v>
      </c>
      <c r="C93" s="1">
        <f t="shared" si="44"/>
        <v>69.743168414134189</v>
      </c>
      <c r="D93" s="1">
        <f t="shared" si="45"/>
        <v>0.58763274574042801</v>
      </c>
      <c r="E93" s="1">
        <f t="shared" si="46"/>
        <v>0.80912777491170418</v>
      </c>
      <c r="F93" s="2">
        <f t="shared" si="47"/>
        <v>19254.962179676604</v>
      </c>
      <c r="G93" s="2">
        <f t="shared" si="48"/>
        <v>26512.689800531811</v>
      </c>
      <c r="H93" s="2">
        <f t="shared" si="49"/>
        <v>4813.8874531055862</v>
      </c>
      <c r="I93" s="3">
        <f t="shared" si="53"/>
        <v>0.64411041145039771</v>
      </c>
      <c r="J93" s="3">
        <f t="shared" si="54"/>
        <v>0.41487822213880066</v>
      </c>
      <c r="K93" s="3">
        <f t="shared" si="55"/>
        <v>-0.68647997510677461</v>
      </c>
      <c r="L93" s="3">
        <f t="shared" si="56"/>
        <v>-0.40339811266781461</v>
      </c>
      <c r="M93" s="3">
        <f t="shared" si="57"/>
        <v>-0.55545001477958666</v>
      </c>
      <c r="N93" s="3">
        <f t="shared" si="58"/>
        <v>-0.16736109179777053</v>
      </c>
      <c r="O93" s="3">
        <f t="shared" si="59"/>
        <v>-0.23044411461872547</v>
      </c>
      <c r="P93" s="3">
        <f t="shared" si="60"/>
        <v>-0.37059164596114136</v>
      </c>
      <c r="Q93" s="3">
        <f t="shared" si="61"/>
        <v>-0.2177717864646101</v>
      </c>
      <c r="R93" s="3">
        <f t="shared" si="62"/>
        <v>-0.29985599389740436</v>
      </c>
      <c r="S93" s="3">
        <f t="shared" si="63"/>
        <v>-9.034877160042798E-2</v>
      </c>
      <c r="T93" s="3">
        <f t="shared" si="64"/>
        <v>-0.12440372164581819</v>
      </c>
      <c r="U93" s="3">
        <f t="shared" si="65"/>
        <v>-2.6548214557996427E-3</v>
      </c>
      <c r="V93" s="3">
        <f t="shared" si="66"/>
        <v>-1.5600600215221444E-3</v>
      </c>
      <c r="W93" s="3">
        <f t="shared" si="67"/>
        <v>-2.1480897773190162E-3</v>
      </c>
      <c r="X93" s="3">
        <f t="shared" si="68"/>
        <v>-6.4723492815892635E-4</v>
      </c>
      <c r="Y93" s="3">
        <f t="shared" si="69"/>
        <v>-8.9119566780864552E-4</v>
      </c>
      <c r="Z93" s="3">
        <f t="shared" si="70"/>
        <v>0.36565486483347309</v>
      </c>
      <c r="AA93" s="3">
        <f t="shared" si="71"/>
        <v>0.21487077221543888</v>
      </c>
      <c r="AB93" s="3">
        <f t="shared" si="72"/>
        <v>0.29586150716834803</v>
      </c>
      <c r="AC93" s="3">
        <f t="shared" si="73"/>
        <v>8.9145203966332479E-2</v>
      </c>
      <c r="AD93" s="3">
        <f t="shared" si="74"/>
        <v>0.12274649609331026</v>
      </c>
      <c r="AE93" s="3">
        <f t="shared" si="50"/>
        <v>0.68260941200140834</v>
      </c>
      <c r="AF93" s="3">
        <f t="shared" si="75"/>
        <v>0.40112364304264664</v>
      </c>
      <c r="AG93" s="3">
        <f t="shared" si="76"/>
        <v>0.55231823466648622</v>
      </c>
      <c r="AH93" s="3">
        <f t="shared" si="77"/>
        <v>0.16641746388337211</v>
      </c>
      <c r="AI93" s="3">
        <f t="shared" si="78"/>
        <v>0.22914480725327271</v>
      </c>
      <c r="AJ93" s="3">
        <f t="shared" si="51"/>
        <v>0.9036934958163676</v>
      </c>
      <c r="AK93" s="3">
        <f t="shared" si="79"/>
        <v>0.53103989025433807</v>
      </c>
      <c r="AL93" s="3">
        <f t="shared" si="80"/>
        <v>0.73120350747207696</v>
      </c>
      <c r="AM93" s="3">
        <f t="shared" si="81"/>
        <v>0.22031688555350359</v>
      </c>
      <c r="AN93" s="3">
        <f t="shared" si="82"/>
        <v>0.30336041120167051</v>
      </c>
      <c r="AO93" s="3">
        <f t="shared" si="52"/>
        <v>0.99785651371901141</v>
      </c>
      <c r="AP93" s="3">
        <f t="shared" si="83"/>
        <v>0.58637316301167375</v>
      </c>
      <c r="AQ93" s="3">
        <f t="shared" si="84"/>
        <v>0.80739342062661412</v>
      </c>
      <c r="AR93" s="3"/>
      <c r="AS93" s="2"/>
      <c r="AT93" s="2"/>
    </row>
    <row r="94" spans="1:46">
      <c r="A94">
        <f t="shared" si="85"/>
        <v>91</v>
      </c>
      <c r="B94" s="1">
        <f t="shared" si="43"/>
        <v>11.223303</v>
      </c>
      <c r="C94" s="1">
        <f t="shared" si="44"/>
        <v>70.518092507624573</v>
      </c>
      <c r="D94" s="1">
        <f t="shared" si="45"/>
        <v>0.9859642347149572</v>
      </c>
      <c r="E94" s="1">
        <f t="shared" si="46"/>
        <v>0.16695666462573075</v>
      </c>
      <c r="F94" s="2">
        <f t="shared" si="47"/>
        <v>32307.090078905003</v>
      </c>
      <c r="G94" s="2">
        <f t="shared" si="48"/>
        <v>5470.6690297913192</v>
      </c>
      <c r="H94" s="2">
        <f t="shared" si="49"/>
        <v>8077.0190107849294</v>
      </c>
      <c r="I94" s="3">
        <f t="shared" si="53"/>
        <v>0.6500391602764849</v>
      </c>
      <c r="J94" s="3">
        <f t="shared" si="54"/>
        <v>0.42255090989295763</v>
      </c>
      <c r="K94" s="3">
        <f t="shared" si="55"/>
        <v>-2.6548214557996427E-3</v>
      </c>
      <c r="L94" s="3">
        <f t="shared" si="56"/>
        <v>-2.6175590049723435E-3</v>
      </c>
      <c r="M94" s="3">
        <f t="shared" si="57"/>
        <v>-4.4324013543713521E-4</v>
      </c>
      <c r="N94" s="3">
        <f t="shared" si="58"/>
        <v>-1.1060519392495684E-3</v>
      </c>
      <c r="O94" s="3">
        <f t="shared" si="59"/>
        <v>-1.8729152253003925E-4</v>
      </c>
      <c r="P94" s="3">
        <f t="shared" si="60"/>
        <v>0.36955036419089965</v>
      </c>
      <c r="Q94" s="3">
        <f t="shared" si="61"/>
        <v>0.3643634420181141</v>
      </c>
      <c r="R94" s="3">
        <f t="shared" si="62"/>
        <v>6.1698896216536694E-2</v>
      </c>
      <c r="S94" s="3">
        <f t="shared" si="63"/>
        <v>0.15396210395648402</v>
      </c>
      <c r="T94" s="3">
        <f t="shared" si="64"/>
        <v>2.6070924735688738E-2</v>
      </c>
      <c r="U94" s="3">
        <f t="shared" si="65"/>
        <v>0.68870758321865366</v>
      </c>
      <c r="V94" s="3">
        <f t="shared" si="66"/>
        <v>0.67904104523056752</v>
      </c>
      <c r="W94" s="3">
        <f t="shared" si="67"/>
        <v>0.1149843209966343</v>
      </c>
      <c r="X94" s="3">
        <f t="shared" si="68"/>
        <v>0.28692941151684132</v>
      </c>
      <c r="Y94" s="3">
        <f t="shared" si="69"/>
        <v>4.8586729460551738E-2</v>
      </c>
      <c r="Z94" s="3">
        <f t="shared" si="70"/>
        <v>0.90900267024770431</v>
      </c>
      <c r="AA94" s="3">
        <f t="shared" si="71"/>
        <v>0.89624412212463034</v>
      </c>
      <c r="AB94" s="3">
        <f t="shared" si="72"/>
        <v>0.15176405396043968</v>
      </c>
      <c r="AC94" s="3">
        <f t="shared" si="73"/>
        <v>0.3787087692899776</v>
      </c>
      <c r="AD94" s="3">
        <f t="shared" si="74"/>
        <v>6.4128039090027705E-2</v>
      </c>
      <c r="AE94" s="3">
        <f t="shared" si="50"/>
        <v>0.99881285459395808</v>
      </c>
      <c r="AF94" s="3">
        <f t="shared" si="75"/>
        <v>0.98479375180319373</v>
      </c>
      <c r="AG94" s="3">
        <f t="shared" si="76"/>
        <v>0.16675846278831225</v>
      </c>
      <c r="AH94" s="3">
        <f t="shared" si="77"/>
        <v>0.41612549588133896</v>
      </c>
      <c r="AI94" s="3">
        <f t="shared" si="78"/>
        <v>7.0463940183552246E-2</v>
      </c>
      <c r="AJ94" s="3">
        <f t="shared" si="51"/>
        <v>0.94524612444280542</v>
      </c>
      <c r="AK94" s="3">
        <f t="shared" si="79"/>
        <v>0.93197887170352989</v>
      </c>
      <c r="AL94" s="3">
        <f t="shared" si="80"/>
        <v>0.15781514018736922</v>
      </c>
      <c r="AM94" s="3">
        <f t="shared" si="81"/>
        <v>0.39380852023933854</v>
      </c>
      <c r="AN94" s="3">
        <f t="shared" si="82"/>
        <v>6.6684931081057525E-2</v>
      </c>
      <c r="AO94" s="3">
        <f t="shared" si="52"/>
        <v>0.75599184067246639</v>
      </c>
      <c r="AP94" s="3">
        <f t="shared" si="83"/>
        <v>0.74538091663938022</v>
      </c>
      <c r="AQ94" s="3">
        <f t="shared" si="84"/>
        <v>0.12621787620294184</v>
      </c>
      <c r="AR94" s="3"/>
      <c r="AS94" s="2"/>
      <c r="AT94" s="2"/>
    </row>
    <row r="95" spans="1:46">
      <c r="A95">
        <f t="shared" si="85"/>
        <v>92</v>
      </c>
      <c r="B95" s="1">
        <f t="shared" si="43"/>
        <v>11.346636</v>
      </c>
      <c r="C95" s="1">
        <f t="shared" si="44"/>
        <v>71.293016601114957</v>
      </c>
      <c r="D95" s="1">
        <f t="shared" si="45"/>
        <v>0.82125916146200739</v>
      </c>
      <c r="E95" s="1">
        <f t="shared" si="46"/>
        <v>-0.5705553344897587</v>
      </c>
      <c r="F95" s="2">
        <f t="shared" si="47"/>
        <v>26910.198943625597</v>
      </c>
      <c r="G95" s="2">
        <f t="shared" si="48"/>
        <v>-18695.386645225924</v>
      </c>
      <c r="H95" s="2">
        <f t="shared" si="49"/>
        <v>6727.7550506967646</v>
      </c>
      <c r="I95" s="3">
        <f t="shared" si="53"/>
        <v>0.65592860169993994</v>
      </c>
      <c r="J95" s="3">
        <f t="shared" si="54"/>
        <v>0.43024233052803845</v>
      </c>
      <c r="K95" s="3">
        <f t="shared" si="55"/>
        <v>0.68260941200140834</v>
      </c>
      <c r="L95" s="3">
        <f t="shared" si="56"/>
        <v>0.56059923330635053</v>
      </c>
      <c r="M95" s="3">
        <f t="shared" si="57"/>
        <v>-0.38946644139032105</v>
      </c>
      <c r="N95" s="3">
        <f t="shared" si="58"/>
        <v>0.24119352062995583</v>
      </c>
      <c r="O95" s="3">
        <f t="shared" si="59"/>
        <v>-0.16756494940623343</v>
      </c>
      <c r="P95" s="3">
        <f t="shared" si="60"/>
        <v>0.90724885361858887</v>
      </c>
      <c r="Q95" s="3">
        <f t="shared" si="61"/>
        <v>0.74508643276016984</v>
      </c>
      <c r="R95" s="3">
        <f t="shared" si="62"/>
        <v>-0.51763567314180414</v>
      </c>
      <c r="S95" s="3">
        <f t="shared" si="63"/>
        <v>0.3205677232755581</v>
      </c>
      <c r="T95" s="3">
        <f t="shared" si="64"/>
        <v>-0.22270877837697978</v>
      </c>
      <c r="U95" s="3">
        <f t="shared" si="65"/>
        <v>0.99881285459395808</v>
      </c>
      <c r="V95" s="3">
        <f t="shared" si="66"/>
        <v>0.82028420742130792</v>
      </c>
      <c r="W95" s="3">
        <f t="shared" si="67"/>
        <v>-0.56987800234552644</v>
      </c>
      <c r="X95" s="3">
        <f t="shared" si="68"/>
        <v>0.35292098909628844</v>
      </c>
      <c r="Y95" s="3">
        <f t="shared" si="69"/>
        <v>-0.24518563984580227</v>
      </c>
      <c r="Z95" s="3">
        <f t="shared" si="70"/>
        <v>0.94387078921977929</v>
      </c>
      <c r="AA95" s="3">
        <f t="shared" si="71"/>
        <v>0.77516253288311909</v>
      </c>
      <c r="AB95" s="3">
        <f t="shared" si="72"/>
        <v>-0.53853051385840367</v>
      </c>
      <c r="AC95" s="3">
        <f t="shared" si="73"/>
        <v>0.33350773468565037</v>
      </c>
      <c r="AD95" s="3">
        <f t="shared" si="74"/>
        <v>-0.2316986233429017</v>
      </c>
      <c r="AE95" s="3">
        <f t="shared" si="50"/>
        <v>0.75048157047266106</v>
      </c>
      <c r="AF95" s="3">
        <f t="shared" si="75"/>
        <v>0.61633986525906803</v>
      </c>
      <c r="AG95" s="3">
        <f t="shared" si="76"/>
        <v>-0.42819126346942854</v>
      </c>
      <c r="AH95" s="3">
        <f t="shared" si="77"/>
        <v>0.26517550002639867</v>
      </c>
      <c r="AI95" s="3">
        <f t="shared" si="78"/>
        <v>-0.18422600710683229</v>
      </c>
      <c r="AJ95" s="3">
        <f t="shared" si="51"/>
        <v>0.44701156706997741</v>
      </c>
      <c r="AK95" s="3">
        <f t="shared" si="79"/>
        <v>0.36711234473570753</v>
      </c>
      <c r="AL95" s="3">
        <f t="shared" si="80"/>
        <v>-0.25504483417040219</v>
      </c>
      <c r="AM95" s="3">
        <f t="shared" si="81"/>
        <v>0.15794727076470347</v>
      </c>
      <c r="AN95" s="3">
        <f t="shared" si="82"/>
        <v>-0.10973108384261092</v>
      </c>
      <c r="AO95" s="3">
        <f t="shared" si="52"/>
        <v>7.7973818916163173E-2</v>
      </c>
      <c r="AP95" s="3">
        <f t="shared" si="83"/>
        <v>6.4036713139078577E-2</v>
      </c>
      <c r="AQ95" s="3">
        <f t="shared" si="84"/>
        <v>-4.4488378333155353E-2</v>
      </c>
      <c r="AR95" s="3"/>
      <c r="AS95" s="2"/>
      <c r="AT95" s="2"/>
    </row>
    <row r="96" spans="1:46">
      <c r="A96">
        <f t="shared" si="85"/>
        <v>93</v>
      </c>
      <c r="B96" s="1">
        <f t="shared" si="43"/>
        <v>11.469968999999999</v>
      </c>
      <c r="C96" s="1">
        <f t="shared" si="44"/>
        <v>72.067940694605326</v>
      </c>
      <c r="D96" s="1">
        <f t="shared" si="45"/>
        <v>0.18757263970747293</v>
      </c>
      <c r="E96" s="1">
        <f t="shared" si="46"/>
        <v>-0.9822507341983362</v>
      </c>
      <c r="F96" s="2">
        <f t="shared" si="47"/>
        <v>6146.1926852947654</v>
      </c>
      <c r="G96" s="2">
        <f t="shared" si="48"/>
        <v>-32185.409807476881</v>
      </c>
      <c r="H96" s="2">
        <f t="shared" si="49"/>
        <v>1536.5950644836182</v>
      </c>
      <c r="I96" s="3">
        <f t="shared" si="53"/>
        <v>0.66177837959045638</v>
      </c>
      <c r="J96" s="3">
        <f t="shared" si="54"/>
        <v>0.43795062369337018</v>
      </c>
      <c r="K96" s="3">
        <f t="shared" si="55"/>
        <v>0.99785651371901141</v>
      </c>
      <c r="L96" s="3">
        <f t="shared" si="56"/>
        <v>0.18717058032757114</v>
      </c>
      <c r="M96" s="3">
        <f t="shared" si="57"/>
        <v>-0.98014529322509114</v>
      </c>
      <c r="N96" s="3">
        <f t="shared" si="58"/>
        <v>8.1971472391509828E-2</v>
      </c>
      <c r="O96" s="3">
        <f t="shared" si="59"/>
        <v>-0.42925524247804986</v>
      </c>
      <c r="P96" s="3">
        <f t="shared" si="60"/>
        <v>0.94794701535940828</v>
      </c>
      <c r="Q96" s="3">
        <f t="shared" si="61"/>
        <v>0.17780892397378459</v>
      </c>
      <c r="R96" s="3">
        <f t="shared" si="62"/>
        <v>-0.9311216518179003</v>
      </c>
      <c r="S96" s="3">
        <f t="shared" si="63"/>
        <v>7.787152915256601E-2</v>
      </c>
      <c r="T96" s="3">
        <f t="shared" si="64"/>
        <v>-0.40778530814805053</v>
      </c>
      <c r="U96" s="3">
        <f t="shared" si="65"/>
        <v>0.75599184067246639</v>
      </c>
      <c r="V96" s="3">
        <f t="shared" si="66"/>
        <v>0.1418033851522458</v>
      </c>
      <c r="W96" s="3">
        <f t="shared" si="67"/>
        <v>-0.74257354054848168</v>
      </c>
      <c r="X96" s="3">
        <f t="shared" si="68"/>
        <v>6.2102880969257236E-2</v>
      </c>
      <c r="Y96" s="3">
        <f t="shared" si="69"/>
        <v>-0.32521054522140164</v>
      </c>
      <c r="Z96" s="3">
        <f t="shared" si="70"/>
        <v>0.45075462535844968</v>
      </c>
      <c r="AA96" s="3">
        <f t="shared" si="71"/>
        <v>8.4549234938837425E-2</v>
      </c>
      <c r="AB96" s="3">
        <f t="shared" si="72"/>
        <v>-0.44275406170163317</v>
      </c>
      <c r="AC96" s="3">
        <f t="shared" si="73"/>
        <v>3.7028390174261135E-2</v>
      </c>
      <c r="AD96" s="3">
        <f t="shared" si="74"/>
        <v>-0.19390441746500314</v>
      </c>
      <c r="AE96" s="3">
        <f t="shared" si="50"/>
        <v>7.7973818916163173E-2</v>
      </c>
      <c r="AF96" s="3">
        <f t="shared" si="75"/>
        <v>1.4625755042177212E-2</v>
      </c>
      <c r="AG96" s="3">
        <f t="shared" si="76"/>
        <v>-7.6589840878649396E-2</v>
      </c>
      <c r="AH96" s="3">
        <f t="shared" si="77"/>
        <v>6.4053585427079644E-3</v>
      </c>
      <c r="AI96" s="3">
        <f t="shared" si="78"/>
        <v>-3.354256858138048E-2</v>
      </c>
      <c r="AJ96" s="3">
        <f t="shared" si="51"/>
        <v>-0.30649102014011564</v>
      </c>
      <c r="AK96" s="3">
        <f t="shared" si="79"/>
        <v>-5.7489329694317741E-2</v>
      </c>
      <c r="AL96" s="3">
        <f t="shared" si="80"/>
        <v>0.30105102955782564</v>
      </c>
      <c r="AM96" s="3">
        <f t="shared" si="81"/>
        <v>-2.5177487795340243E-2</v>
      </c>
      <c r="AN96" s="3">
        <f t="shared" si="82"/>
        <v>0.13184548615838096</v>
      </c>
      <c r="AO96" s="3">
        <f t="shared" si="52"/>
        <v>-0.64502953257827322</v>
      </c>
      <c r="AP96" s="3">
        <f t="shared" si="83"/>
        <v>-0.12098989211498411</v>
      </c>
      <c r="AQ96" s="3">
        <f t="shared" si="84"/>
        <v>0.6335807319546185</v>
      </c>
      <c r="AR96" s="3"/>
      <c r="AS96" s="2"/>
      <c r="AT96" s="2"/>
    </row>
    <row r="97" spans="1:46">
      <c r="A97">
        <f t="shared" si="85"/>
        <v>94</v>
      </c>
      <c r="B97" s="1">
        <f t="shared" si="43"/>
        <v>11.593302</v>
      </c>
      <c r="C97" s="1">
        <f t="shared" si="44"/>
        <v>72.84286478809571</v>
      </c>
      <c r="D97" s="1">
        <f t="shared" si="45"/>
        <v>-0.55322755870022033</v>
      </c>
      <c r="E97" s="1">
        <f t="shared" si="46"/>
        <v>-0.8330301724995286</v>
      </c>
      <c r="F97" s="2">
        <f t="shared" si="47"/>
        <v>-18127.607415930121</v>
      </c>
      <c r="G97" s="2">
        <f t="shared" si="48"/>
        <v>-27295.899662292053</v>
      </c>
      <c r="H97" s="2">
        <f t="shared" si="49"/>
        <v>-4532.040160872205</v>
      </c>
      <c r="I97" s="3">
        <f t="shared" si="53"/>
        <v>0.66758814021615365</v>
      </c>
      <c r="J97" s="3">
        <f t="shared" si="54"/>
        <v>0.44567392495726282</v>
      </c>
      <c r="K97" s="3">
        <f t="shared" si="55"/>
        <v>0.77220277433711237</v>
      </c>
      <c r="L97" s="3">
        <f t="shared" si="56"/>
        <v>-0.42720385566805785</v>
      </c>
      <c r="M97" s="3">
        <f t="shared" si="57"/>
        <v>-0.64326821031065928</v>
      </c>
      <c r="N97" s="3">
        <f t="shared" si="58"/>
        <v>-0.19039361911245933</v>
      </c>
      <c r="O97" s="3">
        <f t="shared" si="59"/>
        <v>-0.28668786808938551</v>
      </c>
      <c r="P97" s="3">
        <f t="shared" si="60"/>
        <v>0.46934997448376775</v>
      </c>
      <c r="Q97" s="3">
        <f t="shared" si="61"/>
        <v>-0.25965734055966555</v>
      </c>
      <c r="R97" s="3">
        <f t="shared" si="62"/>
        <v>-0.39098269020686238</v>
      </c>
      <c r="S97" s="3">
        <f t="shared" si="63"/>
        <v>-0.11572250611119081</v>
      </c>
      <c r="T97" s="3">
        <f t="shared" si="64"/>
        <v>-0.17425079013484193</v>
      </c>
      <c r="U97" s="3">
        <f t="shared" si="65"/>
        <v>9.466624077661992E-2</v>
      </c>
      <c r="V97" s="3">
        <f t="shared" si="66"/>
        <v>-5.2371973276176688E-2</v>
      </c>
      <c r="W97" s="3">
        <f t="shared" si="67"/>
        <v>-7.8859834884029603E-2</v>
      </c>
      <c r="X97" s="3">
        <f t="shared" si="68"/>
        <v>-2.3340822887750544E-2</v>
      </c>
      <c r="Y97" s="3">
        <f t="shared" si="69"/>
        <v>-3.514577213424714E-2</v>
      </c>
      <c r="Z97" s="3">
        <f t="shared" si="70"/>
        <v>-0.29450553990844969</v>
      </c>
      <c r="AA97" s="3">
        <f t="shared" si="71"/>
        <v>0.16292858086724193</v>
      </c>
      <c r="AB97" s="3">
        <f t="shared" si="72"/>
        <v>0.24533200071200265</v>
      </c>
      <c r="AC97" s="3">
        <f t="shared" si="73"/>
        <v>7.2613020122820518E-2</v>
      </c>
      <c r="AD97" s="3">
        <f t="shared" si="74"/>
        <v>0.10933807567493622</v>
      </c>
      <c r="AE97" s="3">
        <f t="shared" si="50"/>
        <v>-0.63860518017207046</v>
      </c>
      <c r="AF97" s="3">
        <f t="shared" si="75"/>
        <v>0.35329398479990892</v>
      </c>
      <c r="AG97" s="3">
        <f t="shared" si="76"/>
        <v>0.5319773833978324</v>
      </c>
      <c r="AH97" s="3">
        <f t="shared" si="77"/>
        <v>0.15745391686956695</v>
      </c>
      <c r="AI97" s="3">
        <f t="shared" si="78"/>
        <v>0.23708844844740659</v>
      </c>
      <c r="AJ97" s="3">
        <f t="shared" si="51"/>
        <v>-0.8849704879557766</v>
      </c>
      <c r="AK97" s="3">
        <f t="shared" si="79"/>
        <v>0.489590062573517</v>
      </c>
      <c r="AL97" s="3">
        <f t="shared" si="80"/>
        <v>0.73720711823879259</v>
      </c>
      <c r="AM97" s="3">
        <f t="shared" si="81"/>
        <v>0.21819752480721125</v>
      </c>
      <c r="AN97" s="3">
        <f t="shared" si="82"/>
        <v>0.32855398989191559</v>
      </c>
      <c r="AO97" s="3">
        <f t="shared" si="52"/>
        <v>-0.9958968694822965</v>
      </c>
      <c r="AP97" s="3">
        <f t="shared" si="83"/>
        <v>0.55095759382088283</v>
      </c>
      <c r="AQ97" s="3">
        <f t="shared" si="84"/>
        <v>0.82961214097657798</v>
      </c>
      <c r="AR97" s="3"/>
      <c r="AS97" s="2"/>
      <c r="AT97" s="2"/>
    </row>
    <row r="98" spans="1:46">
      <c r="A98">
        <f t="shared" si="85"/>
        <v>95</v>
      </c>
      <c r="B98" s="1">
        <f t="shared" si="43"/>
        <v>11.716635</v>
      </c>
      <c r="C98" s="1">
        <f t="shared" si="44"/>
        <v>73.617788881586094</v>
      </c>
      <c r="D98" s="1">
        <f t="shared" si="45"/>
        <v>-0.97810621369602291</v>
      </c>
      <c r="E98" s="1">
        <f t="shared" si="46"/>
        <v>-0.20810630631778071</v>
      </c>
      <c r="F98" s="2">
        <f t="shared" si="47"/>
        <v>-32049.606304177581</v>
      </c>
      <c r="G98" s="2">
        <f t="shared" si="48"/>
        <v>-6819.0193391147204</v>
      </c>
      <c r="H98" s="2">
        <f t="shared" si="49"/>
        <v>-8012.6461025978197</v>
      </c>
      <c r="I98" s="3">
        <f t="shared" si="53"/>
        <v>0.67335753226496564</v>
      </c>
      <c r="J98" s="3">
        <f t="shared" si="54"/>
        <v>0.45341036625796427</v>
      </c>
      <c r="K98" s="3">
        <f t="shared" si="55"/>
        <v>0.12796667928004074</v>
      </c>
      <c r="L98" s="3">
        <f t="shared" si="56"/>
        <v>-0.12516500414985396</v>
      </c>
      <c r="M98" s="3">
        <f t="shared" si="57"/>
        <v>-2.6630672956721359E-2</v>
      </c>
      <c r="N98" s="3">
        <f t="shared" si="58"/>
        <v>-5.6751110374264904E-2</v>
      </c>
      <c r="O98" s="3">
        <f t="shared" si="59"/>
        <v>-1.2074623179003097E-2</v>
      </c>
      <c r="P98" s="3">
        <f t="shared" si="60"/>
        <v>-0.26636184828204973</v>
      </c>
      <c r="Q98" s="3">
        <f t="shared" si="61"/>
        <v>0.26053017889623015</v>
      </c>
      <c r="R98" s="3">
        <f t="shared" si="62"/>
        <v>5.5431580389954473E-2</v>
      </c>
      <c r="S98" s="3">
        <f t="shared" si="63"/>
        <v>0.11812708383459267</v>
      </c>
      <c r="T98" s="3">
        <f t="shared" si="64"/>
        <v>2.5133253166867046E-2</v>
      </c>
      <c r="U98" s="3">
        <f t="shared" si="65"/>
        <v>-0.61906502512049821</v>
      </c>
      <c r="V98" s="3">
        <f t="shared" si="66"/>
        <v>0.6055113477522438</v>
      </c>
      <c r="W98" s="3">
        <f t="shared" si="67"/>
        <v>0.12883133574835101</v>
      </c>
      <c r="X98" s="3">
        <f t="shared" si="68"/>
        <v>0.27454512195769842</v>
      </c>
      <c r="Y98" s="3">
        <f t="shared" si="69"/>
        <v>5.8413463127162592E-2</v>
      </c>
      <c r="Z98" s="3">
        <f t="shared" si="70"/>
        <v>-0.87502462190954544</v>
      </c>
      <c r="AA98" s="3">
        <f t="shared" si="71"/>
        <v>0.85586701982673952</v>
      </c>
      <c r="AB98" s="3">
        <f t="shared" si="72"/>
        <v>0.1820981420027081</v>
      </c>
      <c r="AC98" s="3">
        <f t="shared" si="73"/>
        <v>0.38805897892775437</v>
      </c>
      <c r="AD98" s="3">
        <f t="shared" si="74"/>
        <v>8.2565185260342677E-2</v>
      </c>
      <c r="AE98" s="3">
        <f t="shared" si="50"/>
        <v>-0.99424088622164486</v>
      </c>
      <c r="AF98" s="3">
        <f t="shared" si="75"/>
        <v>0.97247318872403132</v>
      </c>
      <c r="AG98" s="3">
        <f t="shared" si="76"/>
        <v>0.20690779842170337</v>
      </c>
      <c r="AH98" s="3">
        <f t="shared" si="77"/>
        <v>0.44092942467541346</v>
      </c>
      <c r="AI98" s="3">
        <f t="shared" si="78"/>
        <v>9.3814140664013571E-2</v>
      </c>
      <c r="AJ98" s="3">
        <f t="shared" si="51"/>
        <v>-0.95808345171130904</v>
      </c>
      <c r="AK98" s="3">
        <f t="shared" si="79"/>
        <v>0.93710737735816485</v>
      </c>
      <c r="AL98" s="3">
        <f t="shared" si="80"/>
        <v>0.19938320827983033</v>
      </c>
      <c r="AM98" s="3">
        <f t="shared" si="81"/>
        <v>0.42489419919100591</v>
      </c>
      <c r="AN98" s="3">
        <f t="shared" si="82"/>
        <v>9.0402413491845857E-2</v>
      </c>
      <c r="AO98" s="3">
        <f t="shared" si="52"/>
        <v>-0.77220277433711026</v>
      </c>
      <c r="AP98" s="3">
        <f t="shared" si="83"/>
        <v>0.75529633181243527</v>
      </c>
      <c r="AQ98" s="3">
        <f t="shared" si="84"/>
        <v>0.16070026709563875</v>
      </c>
      <c r="AR98" s="3"/>
      <c r="AS98" s="2"/>
      <c r="AT98" s="2"/>
    </row>
    <row r="99" spans="1:46">
      <c r="A99">
        <f t="shared" si="85"/>
        <v>96</v>
      </c>
      <c r="B99" s="1">
        <f t="shared" si="43"/>
        <v>11.839967999999999</v>
      </c>
      <c r="C99" s="1">
        <f t="shared" si="44"/>
        <v>74.392712975076464</v>
      </c>
      <c r="D99" s="1">
        <f t="shared" si="45"/>
        <v>-0.84443564280438987</v>
      </c>
      <c r="E99" s="1">
        <f t="shared" si="46"/>
        <v>0.53565702194738074</v>
      </c>
      <c r="F99" s="2">
        <f t="shared" si="47"/>
        <v>-27669.622707771443</v>
      </c>
      <c r="G99" s="2">
        <f t="shared" si="48"/>
        <v>17551.873638149824</v>
      </c>
      <c r="H99" s="2">
        <f t="shared" si="49"/>
        <v>-6917.6167858535619</v>
      </c>
      <c r="I99" s="3">
        <f t="shared" si="53"/>
        <v>0.67908620686588594</v>
      </c>
      <c r="J99" s="3">
        <f t="shared" si="54"/>
        <v>0.46115807635549683</v>
      </c>
      <c r="K99" s="3">
        <f t="shared" si="55"/>
        <v>-0.58563538523620806</v>
      </c>
      <c r="L99" s="3">
        <f t="shared" si="56"/>
        <v>0.49453139298093385</v>
      </c>
      <c r="M99" s="3">
        <f t="shared" si="57"/>
        <v>-0.31369970640263428</v>
      </c>
      <c r="N99" s="3">
        <f t="shared" si="58"/>
        <v>0.22805714588449169</v>
      </c>
      <c r="O99" s="3">
        <f t="shared" si="59"/>
        <v>-0.14466515315792294</v>
      </c>
      <c r="P99" s="3">
        <f t="shared" si="60"/>
        <v>-0.85615788911939583</v>
      </c>
      <c r="Q99" s="3">
        <f t="shared" si="61"/>
        <v>0.72297023744058653</v>
      </c>
      <c r="R99" s="3">
        <f t="shared" si="62"/>
        <v>-0.45860698520245136</v>
      </c>
      <c r="S99" s="3">
        <f t="shared" si="63"/>
        <v>0.33340356396037768</v>
      </c>
      <c r="T99" s="3">
        <f t="shared" si="64"/>
        <v>-0.21149031509915628</v>
      </c>
      <c r="U99" s="3">
        <f t="shared" si="65"/>
        <v>-0.99009212664621227</v>
      </c>
      <c r="V99" s="3">
        <f t="shared" si="66"/>
        <v>0.83606908140005964</v>
      </c>
      <c r="W99" s="3">
        <f t="shared" si="67"/>
        <v>-0.53034980001285903</v>
      </c>
      <c r="X99" s="3">
        <f t="shared" si="68"/>
        <v>0.38556000927875878</v>
      </c>
      <c r="Y99" s="3">
        <f t="shared" si="69"/>
        <v>-0.24457509356945251</v>
      </c>
      <c r="Z99" s="3">
        <f t="shared" si="70"/>
        <v>-0.96607072441269592</v>
      </c>
      <c r="AA99" s="3">
        <f t="shared" si="71"/>
        <v>0.8157845531639375</v>
      </c>
      <c r="AB99" s="3">
        <f t="shared" si="72"/>
        <v>-0.51748256722945352</v>
      </c>
      <c r="AC99" s="3">
        <f t="shared" si="73"/>
        <v>0.37620563525760992</v>
      </c>
      <c r="AD99" s="3">
        <f t="shared" si="74"/>
        <v>-0.23864126525103882</v>
      </c>
      <c r="AE99" s="3">
        <f t="shared" si="50"/>
        <v>-0.78792596817854477</v>
      </c>
      <c r="AF99" s="3">
        <f t="shared" si="75"/>
        <v>0.6653527714211207</v>
      </c>
      <c r="AG99" s="3">
        <f t="shared" si="76"/>
        <v>-0.42205807762952596</v>
      </c>
      <c r="AH99" s="3">
        <f t="shared" si="77"/>
        <v>0.3068328041663626</v>
      </c>
      <c r="AI99" s="3">
        <f t="shared" si="78"/>
        <v>-0.19463549118993115</v>
      </c>
      <c r="AJ99" s="3">
        <f t="shared" si="51"/>
        <v>-0.4840784141562704</v>
      </c>
      <c r="AK99" s="3">
        <f t="shared" si="79"/>
        <v>0.40877306682577985</v>
      </c>
      <c r="AL99" s="3">
        <f t="shared" si="80"/>
        <v>-0.25930000171595857</v>
      </c>
      <c r="AM99" s="3">
        <f t="shared" si="81"/>
        <v>0.18850900116331359</v>
      </c>
      <c r="AN99" s="3">
        <f t="shared" si="82"/>
        <v>-0.11957828999030849</v>
      </c>
      <c r="AO99" s="3">
        <f t="shared" si="52"/>
        <v>-0.10300277847939926</v>
      </c>
      <c r="AP99" s="3">
        <f t="shared" si="83"/>
        <v>8.6979217455889685E-2</v>
      </c>
      <c r="AQ99" s="3">
        <f t="shared" si="84"/>
        <v>-5.5174161572580767E-2</v>
      </c>
      <c r="AR99" s="3"/>
      <c r="AS99" s="2"/>
      <c r="AT99" s="2"/>
    </row>
    <row r="100" spans="1:46">
      <c r="A100">
        <f t="shared" si="85"/>
        <v>97</v>
      </c>
      <c r="B100" s="1">
        <f t="shared" si="43"/>
        <v>11.963301</v>
      </c>
      <c r="C100" s="1">
        <f t="shared" si="44"/>
        <v>75.167637068566847</v>
      </c>
      <c r="D100" s="1">
        <f t="shared" si="45"/>
        <v>-0.22854865410893618</v>
      </c>
      <c r="E100" s="1">
        <f t="shared" si="46"/>
        <v>0.97353249185889723</v>
      </c>
      <c r="F100" s="2">
        <f t="shared" si="47"/>
        <v>-7488.8537491875122</v>
      </c>
      <c r="G100" s="2">
        <f t="shared" si="48"/>
        <v>31899.739160740486</v>
      </c>
      <c r="H100" s="2">
        <f t="shared" si="49"/>
        <v>-1872.2705744604052</v>
      </c>
      <c r="I100" s="3">
        <f t="shared" si="53"/>
        <v>0.68477381761006284</v>
      </c>
      <c r="J100" s="3">
        <f t="shared" si="54"/>
        <v>0.46891518128425963</v>
      </c>
      <c r="K100" s="3">
        <f t="shared" si="55"/>
        <v>-0.98178632517014053</v>
      </c>
      <c r="L100" s="3">
        <f t="shared" si="56"/>
        <v>0.22438594324019398</v>
      </c>
      <c r="M100" s="3">
        <f t="shared" si="57"/>
        <v>-0.95580088761587645</v>
      </c>
      <c r="N100" s="3">
        <f t="shared" si="58"/>
        <v>0.10521797525211515</v>
      </c>
      <c r="O100" s="3">
        <f t="shared" si="59"/>
        <v>-0.44818954648805498</v>
      </c>
      <c r="P100" s="3">
        <f t="shared" si="60"/>
        <v>-0.97694176229528518</v>
      </c>
      <c r="Q100" s="3">
        <f t="shared" si="61"/>
        <v>0.22327872491539968</v>
      </c>
      <c r="R100" s="3">
        <f t="shared" si="62"/>
        <v>-0.95108454824835142</v>
      </c>
      <c r="S100" s="3">
        <f t="shared" si="63"/>
        <v>0.10469878377062299</v>
      </c>
      <c r="T100" s="3">
        <f t="shared" si="64"/>
        <v>-0.44597798335853389</v>
      </c>
      <c r="U100" s="3">
        <f t="shared" si="65"/>
        <v>-0.81302059370787028</v>
      </c>
      <c r="V100" s="3">
        <f t="shared" si="66"/>
        <v>0.18581476245478198</v>
      </c>
      <c r="W100" s="3">
        <f t="shared" si="67"/>
        <v>-0.79150196452502297</v>
      </c>
      <c r="X100" s="3">
        <f t="shared" si="68"/>
        <v>8.7131363021775737E-2</v>
      </c>
      <c r="Y100" s="3">
        <f t="shared" si="69"/>
        <v>-0.37114728718209883</v>
      </c>
      <c r="Z100" s="3">
        <f t="shared" si="70"/>
        <v>-0.51671430103937765</v>
      </c>
      <c r="AA100" s="3">
        <f t="shared" si="71"/>
        <v>0.11809435806138945</v>
      </c>
      <c r="AB100" s="3">
        <f t="shared" si="72"/>
        <v>-0.50303816106999366</v>
      </c>
      <c r="AC100" s="3">
        <f t="shared" si="73"/>
        <v>5.5376237319004699E-2</v>
      </c>
      <c r="AD100" s="3">
        <f t="shared" si="74"/>
        <v>-0.23588223049103668</v>
      </c>
      <c r="AE100" s="3">
        <f t="shared" si="50"/>
        <v>-0.13627079538148559</v>
      </c>
      <c r="AF100" s="3">
        <f t="shared" si="75"/>
        <v>3.114450687879277E-2</v>
      </c>
      <c r="AG100" s="3">
        <f t="shared" si="76"/>
        <v>-0.13266404699533157</v>
      </c>
      <c r="AH100" s="3">
        <f t="shared" si="77"/>
        <v>1.4604132089077982E-2</v>
      </c>
      <c r="AI100" s="3">
        <f t="shared" si="78"/>
        <v>-6.2208185646719441E-2</v>
      </c>
      <c r="AJ100" s="3">
        <f t="shared" si="51"/>
        <v>0.26636184828203935</v>
      </c>
      <c r="AK100" s="3">
        <f t="shared" si="79"/>
        <v>-6.087664193082875E-2</v>
      </c>
      <c r="AL100" s="3">
        <f t="shared" si="80"/>
        <v>0.25931191389415531</v>
      </c>
      <c r="AM100" s="3">
        <f t="shared" si="81"/>
        <v>-2.8545981586971522E-2</v>
      </c>
      <c r="AN100" s="3">
        <f t="shared" si="82"/>
        <v>0.12159529311284614</v>
      </c>
      <c r="AO100" s="3">
        <f t="shared" si="52"/>
        <v>0.62562247085756584</v>
      </c>
      <c r="AP100" s="3">
        <f t="shared" si="83"/>
        <v>-0.14298517369480382</v>
      </c>
      <c r="AQ100" s="3">
        <f t="shared" si="84"/>
        <v>0.60906380301688634</v>
      </c>
      <c r="AR100" s="3"/>
      <c r="AS100" s="2"/>
      <c r="AT100" s="2"/>
    </row>
    <row r="101" spans="1:46">
      <c r="A101">
        <f t="shared" si="85"/>
        <v>98</v>
      </c>
      <c r="B101" s="1">
        <f t="shared" si="43"/>
        <v>12.086634</v>
      </c>
      <c r="C101" s="1">
        <f t="shared" si="44"/>
        <v>75.942561162057231</v>
      </c>
      <c r="D101" s="1">
        <f t="shared" si="45"/>
        <v>0.51785143433238656</v>
      </c>
      <c r="E101" s="1">
        <f t="shared" si="46"/>
        <v>0.85547056755910067</v>
      </c>
      <c r="F101" s="2">
        <f t="shared" si="47"/>
        <v>16968.437948769311</v>
      </c>
      <c r="G101" s="2">
        <f t="shared" si="48"/>
        <v>28031.204087209051</v>
      </c>
      <c r="H101" s="2">
        <f t="shared" si="49"/>
        <v>4242.2389500509107</v>
      </c>
      <c r="I101" s="3">
        <f t="shared" si="53"/>
        <v>0.69042002057174678</v>
      </c>
      <c r="J101" s="3">
        <f t="shared" si="54"/>
        <v>0.47667980480629124</v>
      </c>
      <c r="K101" s="3">
        <f t="shared" si="55"/>
        <v>-0.84574747452457566</v>
      </c>
      <c r="L101" s="3">
        <f t="shared" si="56"/>
        <v>-0.43797154276554506</v>
      </c>
      <c r="M101" s="3">
        <f t="shared" si="57"/>
        <v>-0.72351207204321477</v>
      </c>
      <c r="N101" s="3">
        <f t="shared" si="58"/>
        <v>-0.20877218951619025</v>
      </c>
      <c r="O101" s="3">
        <f t="shared" si="59"/>
        <v>-0.34488359327655493</v>
      </c>
      <c r="P101" s="3">
        <f t="shared" si="60"/>
        <v>-0.56254680988748529</v>
      </c>
      <c r="Q101" s="3">
        <f t="shared" si="61"/>
        <v>-0.29131567237934264</v>
      </c>
      <c r="R101" s="3">
        <f t="shared" si="62"/>
        <v>-0.48124223873300853</v>
      </c>
      <c r="S101" s="3">
        <f t="shared" si="63"/>
        <v>-0.13886429784679855</v>
      </c>
      <c r="T101" s="3">
        <f t="shared" si="64"/>
        <v>-0.22939845642379314</v>
      </c>
      <c r="U101" s="3">
        <f t="shared" si="65"/>
        <v>-0.18587429983602777</v>
      </c>
      <c r="V101" s="3">
        <f t="shared" si="66"/>
        <v>-9.6255272775615061E-2</v>
      </c>
      <c r="W101" s="3">
        <f t="shared" si="67"/>
        <v>-0.15900999277537714</v>
      </c>
      <c r="X101" s="3">
        <f t="shared" si="68"/>
        <v>-4.5882944638256512E-2</v>
      </c>
      <c r="Y101" s="3">
        <f t="shared" si="69"/>
        <v>-7.5796852318416555E-2</v>
      </c>
      <c r="Z101" s="3">
        <f t="shared" si="70"/>
        <v>0.22168277575807652</v>
      </c>
      <c r="AA101" s="3">
        <f t="shared" si="71"/>
        <v>0.11479874339310474</v>
      </c>
      <c r="AB101" s="3">
        <f t="shared" si="72"/>
        <v>0.18964308999583857</v>
      </c>
      <c r="AC101" s="3">
        <f t="shared" si="73"/>
        <v>5.4722242592632683E-2</v>
      </c>
      <c r="AD101" s="3">
        <f t="shared" si="74"/>
        <v>9.0399031122078255E-2</v>
      </c>
      <c r="AE101" s="3">
        <f t="shared" si="50"/>
        <v>0.59240540880892367</v>
      </c>
      <c r="AF101" s="3">
        <f t="shared" si="75"/>
        <v>0.30677799065796496</v>
      </c>
      <c r="AG101" s="3">
        <f t="shared" si="76"/>
        <v>0.50678539129885103</v>
      </c>
      <c r="AH101" s="3">
        <f t="shared" si="77"/>
        <v>0.14623487270570498</v>
      </c>
      <c r="AI101" s="3">
        <f t="shared" si="78"/>
        <v>0.24157436140301622</v>
      </c>
      <c r="AJ101" s="3">
        <f t="shared" si="51"/>
        <v>0.864694941144312</v>
      </c>
      <c r="AK101" s="3">
        <f t="shared" si="79"/>
        <v>0.44778351553154055</v>
      </c>
      <c r="AL101" s="3">
        <f t="shared" si="80"/>
        <v>0.73972107206620774</v>
      </c>
      <c r="AM101" s="3">
        <f t="shared" si="81"/>
        <v>0.21344935877904964</v>
      </c>
      <c r="AN101" s="3">
        <f t="shared" si="82"/>
        <v>0.35261009624362044</v>
      </c>
      <c r="AO101" s="3">
        <f t="shared" si="52"/>
        <v>0.99330819543735915</v>
      </c>
      <c r="AP101" s="3">
        <f t="shared" si="83"/>
        <v>0.51438607374135104</v>
      </c>
      <c r="AQ101" s="3">
        <f t="shared" si="84"/>
        <v>0.84974592571190377</v>
      </c>
      <c r="AR101" s="3"/>
      <c r="AS101" s="2"/>
      <c r="AT101" s="2"/>
    </row>
    <row r="102" spans="1:46">
      <c r="A102">
        <f t="shared" si="85"/>
        <v>99</v>
      </c>
      <c r="B102" s="1">
        <f t="shared" si="43"/>
        <v>12.209967000000001</v>
      </c>
      <c r="C102" s="1">
        <f t="shared" si="44"/>
        <v>76.717485255547615</v>
      </c>
      <c r="D102" s="1">
        <f t="shared" si="45"/>
        <v>0.96853157567505133</v>
      </c>
      <c r="E102" s="1">
        <f t="shared" si="46"/>
        <v>0.24889071280464128</v>
      </c>
      <c r="F102" s="2">
        <f t="shared" si="47"/>
        <v>31735.874140144406</v>
      </c>
      <c r="G102" s="2">
        <f t="shared" si="48"/>
        <v>8155.4019864696811</v>
      </c>
      <c r="H102" s="2">
        <f t="shared" si="49"/>
        <v>7934.2106679300205</v>
      </c>
      <c r="I102" s="3">
        <f t="shared" si="53"/>
        <v>0.69602447432908676</v>
      </c>
      <c r="J102" s="3">
        <f t="shared" si="54"/>
        <v>0.48445006886508157</v>
      </c>
      <c r="K102" s="3">
        <f t="shared" si="55"/>
        <v>-0.25126042612846083</v>
      </c>
      <c r="L102" s="3">
        <f t="shared" si="56"/>
        <v>-0.24335365642298301</v>
      </c>
      <c r="M102" s="3">
        <f t="shared" si="57"/>
        <v>-6.2536386558710536E-2</v>
      </c>
      <c r="N102" s="3">
        <f t="shared" si="58"/>
        <v>-0.11789269561268352</v>
      </c>
      <c r="O102" s="3">
        <f t="shared" si="59"/>
        <v>-3.0295756774940678E-2</v>
      </c>
      <c r="P102" s="3">
        <f t="shared" si="60"/>
        <v>0.16001711703942989</v>
      </c>
      <c r="Q102" s="3">
        <f t="shared" si="61"/>
        <v>0.15498163050117814</v>
      </c>
      <c r="R102" s="3">
        <f t="shared" si="62"/>
        <v>3.9826774320887416E-2</v>
      </c>
      <c r="S102" s="3">
        <f t="shared" si="63"/>
        <v>7.5080861569118376E-2</v>
      </c>
      <c r="T102" s="3">
        <f t="shared" si="64"/>
        <v>1.9294083562427969E-2</v>
      </c>
      <c r="U102" s="3">
        <f t="shared" si="65"/>
        <v>0.54416893380564613</v>
      </c>
      <c r="V102" s="3">
        <f t="shared" si="66"/>
        <v>0.52704479489219513</v>
      </c>
      <c r="W102" s="3">
        <f t="shared" si="67"/>
        <v>0.13543859382102894</v>
      </c>
      <c r="X102" s="3">
        <f t="shared" si="68"/>
        <v>0.25532688718050672</v>
      </c>
      <c r="Y102" s="3">
        <f t="shared" si="69"/>
        <v>6.5613236103587283E-2</v>
      </c>
      <c r="Z102" s="3">
        <f t="shared" si="70"/>
        <v>0.83607450912085846</v>
      </c>
      <c r="AA102" s="3">
        <f t="shared" si="71"/>
        <v>0.8097645617005701</v>
      </c>
      <c r="AB102" s="3">
        <f t="shared" si="72"/>
        <v>0.20809118053288103</v>
      </c>
      <c r="AC102" s="3">
        <f t="shared" si="73"/>
        <v>0.3922904976803438</v>
      </c>
      <c r="AD102" s="3">
        <f t="shared" si="74"/>
        <v>0.10080978673937034</v>
      </c>
      <c r="AE102" s="3">
        <f t="shared" si="50"/>
        <v>0.98625069444683611</v>
      </c>
      <c r="AF102" s="3">
        <f t="shared" si="75"/>
        <v>0.95521493910320776</v>
      </c>
      <c r="AG102" s="3">
        <f t="shared" si="76"/>
        <v>0.24546863834494551</v>
      </c>
      <c r="AH102" s="3">
        <f t="shared" si="77"/>
        <v>0.46275394302950373</v>
      </c>
      <c r="AI102" s="3">
        <f t="shared" si="78"/>
        <v>0.11891729875042666</v>
      </c>
      <c r="AJ102" s="3">
        <f t="shared" si="51"/>
        <v>0.96923997504656689</v>
      </c>
      <c r="AK102" s="3">
        <f t="shared" si="79"/>
        <v>0.9387395202390989</v>
      </c>
      <c r="AL102" s="3">
        <f t="shared" si="80"/>
        <v>0.24123482826809275</v>
      </c>
      <c r="AM102" s="3">
        <f t="shared" si="81"/>
        <v>0.45477242522620509</v>
      </c>
      <c r="AN102" s="3">
        <f t="shared" si="82"/>
        <v>0.11686622916713367</v>
      </c>
      <c r="AO102" s="3">
        <f t="shared" si="52"/>
        <v>0.78792596817854266</v>
      </c>
      <c r="AP102" s="3">
        <f t="shared" si="83"/>
        <v>0.76313117947525422</v>
      </c>
      <c r="AQ102" s="3">
        <f t="shared" si="84"/>
        <v>0.19610745585724459</v>
      </c>
      <c r="AR102" s="3"/>
      <c r="AS102" s="2"/>
      <c r="AT102" s="2"/>
    </row>
    <row r="103" spans="1:46">
      <c r="A103">
        <f t="shared" si="85"/>
        <v>100</v>
      </c>
      <c r="B103" s="1">
        <f t="shared" si="43"/>
        <v>12.333299999999999</v>
      </c>
      <c r="C103" s="1">
        <f t="shared" si="44"/>
        <v>77.492409349037985</v>
      </c>
      <c r="D103" s="1">
        <f t="shared" si="45"/>
        <v>0.86613010454473494</v>
      </c>
      <c r="E103" s="1">
        <f t="shared" si="46"/>
        <v>-0.49981860909866749</v>
      </c>
      <c r="F103" s="2">
        <f t="shared" si="47"/>
        <v>28380.485135617331</v>
      </c>
      <c r="G103" s="2">
        <f t="shared" si="48"/>
        <v>-16377.556364336038</v>
      </c>
      <c r="H103" s="2">
        <f t="shared" si="49"/>
        <v>7095.3378164304686</v>
      </c>
      <c r="I103" s="3">
        <f t="shared" si="53"/>
        <v>0.70158683998477667</v>
      </c>
      <c r="J103" s="3">
        <f t="shared" si="54"/>
        <v>0.49222409403982464</v>
      </c>
      <c r="K103" s="3">
        <f t="shared" si="55"/>
        <v>0.4794255386042004</v>
      </c>
      <c r="L103" s="3">
        <f t="shared" si="56"/>
        <v>0.41524489187267194</v>
      </c>
      <c r="M103" s="3">
        <f t="shared" si="57"/>
        <v>-0.23962580587153096</v>
      </c>
      <c r="N103" s="3">
        <f t="shared" si="58"/>
        <v>0.20439354070669088</v>
      </c>
      <c r="O103" s="3">
        <f t="shared" si="59"/>
        <v>-0.11794959520367722</v>
      </c>
      <c r="P103" s="3">
        <f t="shared" si="60"/>
        <v>0.79492200831487758</v>
      </c>
      <c r="Q103" s="3">
        <f t="shared" si="61"/>
        <v>0.68850588216667552</v>
      </c>
      <c r="R103" s="3">
        <f t="shared" si="62"/>
        <v>-0.3973168125378615</v>
      </c>
      <c r="S103" s="3">
        <f t="shared" si="63"/>
        <v>0.33889918409058212</v>
      </c>
      <c r="T103" s="3">
        <f t="shared" si="64"/>
        <v>-0.19556890809823971</v>
      </c>
      <c r="U103" s="3">
        <f t="shared" si="65"/>
        <v>0.97296924114817518</v>
      </c>
      <c r="V103" s="3">
        <f t="shared" si="66"/>
        <v>0.8427179505544804</v>
      </c>
      <c r="W103" s="3">
        <f t="shared" si="67"/>
        <v>-0.4863081328064669</v>
      </c>
      <c r="X103" s="3">
        <f t="shared" si="68"/>
        <v>0.41480607974277683</v>
      </c>
      <c r="Y103" s="3">
        <f t="shared" si="69"/>
        <v>-0.2393725800948619</v>
      </c>
      <c r="Z103" s="3">
        <f t="shared" si="70"/>
        <v>0.98278125303889685</v>
      </c>
      <c r="AA103" s="3">
        <f t="shared" si="71"/>
        <v>0.8512164294391853</v>
      </c>
      <c r="AB103" s="3">
        <f t="shared" si="72"/>
        <v>-0.49121235894214699</v>
      </c>
      <c r="AC103" s="3">
        <f t="shared" si="73"/>
        <v>0.41898923581251735</v>
      </c>
      <c r="AD103" s="3">
        <f t="shared" si="74"/>
        <v>-0.24178655836146348</v>
      </c>
      <c r="AE103" s="3">
        <f t="shared" si="50"/>
        <v>0.82266145799179047</v>
      </c>
      <c r="AF103" s="3">
        <f t="shared" si="75"/>
        <v>0.71253185461535351</v>
      </c>
      <c r="AG103" s="3">
        <f t="shared" si="76"/>
        <v>-0.41118150569253858</v>
      </c>
      <c r="AH103" s="3">
        <f t="shared" si="77"/>
        <v>0.35072534661255844</v>
      </c>
      <c r="AI103" s="3">
        <f t="shared" si="78"/>
        <v>-0.2023934441254408</v>
      </c>
      <c r="AJ103" s="3">
        <f t="shared" si="51"/>
        <v>0.52029602321319524</v>
      </c>
      <c r="AK103" s="3">
        <f t="shared" si="79"/>
        <v>0.45064404897985461</v>
      </c>
      <c r="AL103" s="3">
        <f t="shared" si="80"/>
        <v>-0.26005363464198727</v>
      </c>
      <c r="AM103" s="3">
        <f t="shared" si="81"/>
        <v>0.22181785874354729</v>
      </c>
      <c r="AN103" s="3">
        <f t="shared" si="82"/>
        <v>-0.12800466471341573</v>
      </c>
      <c r="AO103" s="3">
        <f t="shared" si="52"/>
        <v>0.12796667928004801</v>
      </c>
      <c r="AP103" s="3">
        <f t="shared" si="83"/>
        <v>0.11083579330307056</v>
      </c>
      <c r="AQ103" s="3">
        <f t="shared" si="84"/>
        <v>-6.3960127648728868E-2</v>
      </c>
      <c r="AR103" s="3"/>
      <c r="AS103" s="2"/>
      <c r="AT103" s="2"/>
    </row>
    <row r="104" spans="1:46">
      <c r="A104">
        <f t="shared" si="85"/>
        <v>101</v>
      </c>
      <c r="B104" s="1">
        <f t="shared" si="43"/>
        <v>12.456633</v>
      </c>
      <c r="C104" s="1">
        <f t="shared" si="44"/>
        <v>78.267333442528368</v>
      </c>
      <c r="D104" s="1">
        <f t="shared" si="45"/>
        <v>0.26912355613636224</v>
      </c>
      <c r="E104" s="1">
        <f t="shared" si="46"/>
        <v>-0.96310565958908079</v>
      </c>
      <c r="F104" s="2">
        <f t="shared" si="47"/>
        <v>8818.3715639201819</v>
      </c>
      <c r="G104" s="2">
        <f t="shared" si="48"/>
        <v>-31558.083147755409</v>
      </c>
      <c r="H104" s="2">
        <f t="shared" si="49"/>
        <v>2204.6601718690795</v>
      </c>
      <c r="I104" s="3">
        <f t="shared" si="53"/>
        <v>0.70710678118654746</v>
      </c>
      <c r="J104" s="3">
        <f t="shared" si="54"/>
        <v>0.49999999999999989</v>
      </c>
      <c r="K104" s="3">
        <f t="shared" si="55"/>
        <v>0.95023277978261356</v>
      </c>
      <c r="L104" s="3">
        <f t="shared" si="56"/>
        <v>0.25573002485243773</v>
      </c>
      <c r="M104" s="3">
        <f t="shared" si="57"/>
        <v>-0.91517456813569975</v>
      </c>
      <c r="N104" s="3">
        <f t="shared" si="58"/>
        <v>0.12786501242621884</v>
      </c>
      <c r="O104" s="3">
        <f t="shared" si="59"/>
        <v>-0.45758728406784976</v>
      </c>
      <c r="P104" s="3">
        <f t="shared" si="60"/>
        <v>0.99436038228118284</v>
      </c>
      <c r="Q104" s="3">
        <f t="shared" si="61"/>
        <v>0.26760580216062452</v>
      </c>
      <c r="R104" s="3">
        <f t="shared" si="62"/>
        <v>-0.95767411184616913</v>
      </c>
      <c r="S104" s="3">
        <f t="shared" si="63"/>
        <v>0.13380290108031223</v>
      </c>
      <c r="T104" s="3">
        <f t="shared" si="64"/>
        <v>-0.47883705592308445</v>
      </c>
      <c r="U104" s="3">
        <f t="shared" si="65"/>
        <v>0.86314986038627795</v>
      </c>
      <c r="V104" s="3">
        <f t="shared" si="66"/>
        <v>0.23229395990575971</v>
      </c>
      <c r="W104" s="3">
        <f t="shared" si="67"/>
        <v>-0.83130451561154917</v>
      </c>
      <c r="X104" s="3">
        <f t="shared" si="68"/>
        <v>0.11614697995287983</v>
      </c>
      <c r="Y104" s="3">
        <f t="shared" si="69"/>
        <v>-0.41565225780577453</v>
      </c>
      <c r="Z104" s="3">
        <f t="shared" si="70"/>
        <v>0.579737902988265</v>
      </c>
      <c r="AA104" s="3">
        <f t="shared" si="71"/>
        <v>0.15602112607923926</v>
      </c>
      <c r="AB104" s="3">
        <f t="shared" si="72"/>
        <v>-0.55834885544630353</v>
      </c>
      <c r="AC104" s="3">
        <f t="shared" si="73"/>
        <v>7.8010563039619618E-2</v>
      </c>
      <c r="AD104" s="3">
        <f t="shared" si="74"/>
        <v>-0.27917442772315171</v>
      </c>
      <c r="AE104" s="3">
        <f t="shared" si="50"/>
        <v>0.19409926966760324</v>
      </c>
      <c r="AF104" s="3">
        <f t="shared" si="75"/>
        <v>5.2236685696416131E-2</v>
      </c>
      <c r="AG104" s="3">
        <f t="shared" si="76"/>
        <v>-0.18693810513897588</v>
      </c>
      <c r="AH104" s="3">
        <f t="shared" si="77"/>
        <v>2.6118342848208059E-2</v>
      </c>
      <c r="AI104" s="3">
        <f t="shared" si="78"/>
        <v>-9.3469052569487912E-2</v>
      </c>
      <c r="AJ104" s="3">
        <f t="shared" si="51"/>
        <v>-0.22576538723172579</v>
      </c>
      <c r="AK104" s="3">
        <f t="shared" si="79"/>
        <v>-6.0758783864304916E-2</v>
      </c>
      <c r="AL104" s="3">
        <f t="shared" si="80"/>
        <v>0.21743592218219551</v>
      </c>
      <c r="AM104" s="3">
        <f t="shared" si="81"/>
        <v>-3.0379391932152451E-2</v>
      </c>
      <c r="AN104" s="3">
        <f t="shared" si="82"/>
        <v>0.10871796109109773</v>
      </c>
      <c r="AO104" s="3">
        <f t="shared" si="52"/>
        <v>-0.6058202525750368</v>
      </c>
      <c r="AP104" s="3">
        <f t="shared" si="83"/>
        <v>-0.16304050075242307</v>
      </c>
      <c r="AQ104" s="3">
        <f t="shared" si="84"/>
        <v>0.58346891394870437</v>
      </c>
      <c r="AR104" s="3"/>
      <c r="AS104" s="2"/>
      <c r="AT104" s="2"/>
    </row>
    <row r="105" spans="1:46">
      <c r="A105">
        <f t="shared" si="85"/>
        <v>102</v>
      </c>
      <c r="B105" s="1">
        <f t="shared" si="43"/>
        <v>12.579966000000001</v>
      </c>
      <c r="C105" s="1">
        <f t="shared" si="44"/>
        <v>79.042257536018752</v>
      </c>
      <c r="D105" s="1">
        <f t="shared" si="45"/>
        <v>-0.48156645920350388</v>
      </c>
      <c r="E105" s="1">
        <f t="shared" si="46"/>
        <v>-0.87640957626568639</v>
      </c>
      <c r="F105" s="2">
        <f t="shared" si="47"/>
        <v>-15779.488168721211</v>
      </c>
      <c r="G105" s="2">
        <f t="shared" si="48"/>
        <v>-28717.312585497744</v>
      </c>
      <c r="H105" s="2">
        <f t="shared" si="49"/>
        <v>-3944.9924337951038</v>
      </c>
      <c r="I105" s="3">
        <f t="shared" si="53"/>
        <v>0.71258396414750691</v>
      </c>
      <c r="J105" s="3">
        <f t="shared" si="54"/>
        <v>0.50777590596017541</v>
      </c>
      <c r="K105" s="3">
        <f t="shared" si="55"/>
        <v>0.90595423181372747</v>
      </c>
      <c r="L105" s="3">
        <f t="shared" si="56"/>
        <v>-0.4362771716149671</v>
      </c>
      <c r="M105" s="3">
        <f t="shared" si="57"/>
        <v>-0.79398696441997429</v>
      </c>
      <c r="N105" s="3">
        <f t="shared" si="58"/>
        <v>-0.22153103606653282</v>
      </c>
      <c r="O105" s="3">
        <f t="shared" si="59"/>
        <v>-0.40316745017892203</v>
      </c>
      <c r="P105" s="3">
        <f t="shared" si="60"/>
        <v>0.64907783005236752</v>
      </c>
      <c r="Q105" s="3">
        <f t="shared" si="61"/>
        <v>-0.31257411236581228</v>
      </c>
      <c r="R105" s="3">
        <f t="shared" si="62"/>
        <v>-0.56885802599964663</v>
      </c>
      <c r="S105" s="3">
        <f t="shared" si="63"/>
        <v>-0.15871760308624799</v>
      </c>
      <c r="T105" s="3">
        <f t="shared" si="64"/>
        <v>-0.28885239951468755</v>
      </c>
      <c r="U105" s="3">
        <f t="shared" si="65"/>
        <v>0.27550498532610673</v>
      </c>
      <c r="V105" s="3">
        <f t="shared" si="66"/>
        <v>-0.13267396027640652</v>
      </c>
      <c r="W105" s="3">
        <f t="shared" si="67"/>
        <v>-0.24145520744873736</v>
      </c>
      <c r="X105" s="3">
        <f t="shared" si="68"/>
        <v>-6.7368640376676642E-2</v>
      </c>
      <c r="Y105" s="3">
        <f t="shared" si="69"/>
        <v>-0.12260513671108471</v>
      </c>
      <c r="Z105" s="3">
        <f t="shared" si="70"/>
        <v>-0.14760036585483832</v>
      </c>
      <c r="AA105" s="3">
        <f t="shared" si="71"/>
        <v>7.1079385561856251E-2</v>
      </c>
      <c r="AB105" s="3">
        <f t="shared" si="72"/>
        <v>0.12935837409549913</v>
      </c>
      <c r="AC105" s="3">
        <f t="shared" si="73"/>
        <v>3.6092399398764165E-2</v>
      </c>
      <c r="AD105" s="3">
        <f t="shared" si="74"/>
        <v>6.5685065599877357E-2</v>
      </c>
      <c r="AE105" s="3">
        <f t="shared" si="50"/>
        <v>-0.54416893380563713</v>
      </c>
      <c r="AF105" s="3">
        <f t="shared" si="75"/>
        <v>0.26205350666132654</v>
      </c>
      <c r="AG105" s="3">
        <f t="shared" si="76"/>
        <v>0.47691486469354877</v>
      </c>
      <c r="AH105" s="3">
        <f t="shared" si="77"/>
        <v>0.13306445675499595</v>
      </c>
      <c r="AI105" s="3">
        <f t="shared" si="78"/>
        <v>0.24216587748564122</v>
      </c>
      <c r="AJ105" s="3">
        <f t="shared" si="51"/>
        <v>-0.842902425580772</v>
      </c>
      <c r="AK105" s="3">
        <f t="shared" si="79"/>
        <v>0.40591353654097728</v>
      </c>
      <c r="AL105" s="3">
        <f t="shared" si="80"/>
        <v>0.73872775763656362</v>
      </c>
      <c r="AM105" s="3">
        <f t="shared" si="81"/>
        <v>0.20611311375859351</v>
      </c>
      <c r="AN105" s="3">
        <f t="shared" si="82"/>
        <v>0.37510815639183498</v>
      </c>
      <c r="AO105" s="3">
        <f t="shared" si="52"/>
        <v>-0.99009212664621327</v>
      </c>
      <c r="AP105" s="3">
        <f t="shared" si="83"/>
        <v>0.47679515971428404</v>
      </c>
      <c r="AQ105" s="3">
        <f t="shared" si="84"/>
        <v>0.86772622117800002</v>
      </c>
      <c r="AR105" s="3"/>
      <c r="AS105" s="2"/>
      <c r="AT105" s="2"/>
    </row>
    <row r="106" spans="1:46">
      <c r="A106">
        <f t="shared" si="85"/>
        <v>103</v>
      </c>
      <c r="B106" s="1">
        <f t="shared" si="43"/>
        <v>12.703298999999999</v>
      </c>
      <c r="C106" s="1">
        <f t="shared" si="44"/>
        <v>79.817181629509122</v>
      </c>
      <c r="D106" s="1">
        <f t="shared" si="45"/>
        <v>-0.95725712453916723</v>
      </c>
      <c r="E106" s="1">
        <f t="shared" si="46"/>
        <v>-0.28923830576015552</v>
      </c>
      <c r="F106" s="2">
        <f t="shared" si="47"/>
        <v>-31366.444199774891</v>
      </c>
      <c r="G106" s="2">
        <f t="shared" si="48"/>
        <v>-9477.4715648430156</v>
      </c>
      <c r="H106" s="2">
        <f t="shared" si="49"/>
        <v>-7841.8503642248579</v>
      </c>
      <c r="I106" s="3">
        <f t="shared" si="53"/>
        <v>0.71801805766632243</v>
      </c>
      <c r="J106" s="3">
        <f t="shared" si="54"/>
        <v>0.51554993113491832</v>
      </c>
      <c r="K106" s="3">
        <f t="shared" si="55"/>
        <v>0.37059164596113181</v>
      </c>
      <c r="L106" s="3">
        <f t="shared" si="56"/>
        <v>-0.3547514933909901</v>
      </c>
      <c r="M106" s="3">
        <f t="shared" si="57"/>
        <v>-0.10718929980666515</v>
      </c>
      <c r="N106" s="3">
        <f t="shared" si="58"/>
        <v>-0.18289210798773439</v>
      </c>
      <c r="O106" s="3">
        <f t="shared" si="59"/>
        <v>-5.5261436133726333E-2</v>
      </c>
      <c r="P106" s="3">
        <f t="shared" si="60"/>
        <v>-5.1776286630503779E-2</v>
      </c>
      <c r="Q106" s="3">
        <f t="shared" si="61"/>
        <v>4.9563219259231774E-2</v>
      </c>
      <c r="R106" s="3">
        <f t="shared" si="62"/>
        <v>1.4975685423559105E-2</v>
      </c>
      <c r="S106" s="3">
        <f t="shared" si="63"/>
        <v>2.5552314275921799E-2</v>
      </c>
      <c r="T106" s="3">
        <f t="shared" si="64"/>
        <v>7.7207135888140961E-3</v>
      </c>
      <c r="U106" s="3">
        <f t="shared" si="65"/>
        <v>-0.46465489533944399</v>
      </c>
      <c r="V106" s="3">
        <f t="shared" si="66"/>
        <v>0.44479420901568384</v>
      </c>
      <c r="W106" s="3">
        <f t="shared" si="67"/>
        <v>0.13439599469114316</v>
      </c>
      <c r="X106" s="3">
        <f t="shared" si="68"/>
        <v>0.22931362382724627</v>
      </c>
      <c r="Y106" s="3">
        <f t="shared" si="69"/>
        <v>6.9287845807827708E-2</v>
      </c>
      <c r="Z106" s="3">
        <f t="shared" si="70"/>
        <v>-0.79237365419223815</v>
      </c>
      <c r="AA106" s="3">
        <f t="shared" si="71"/>
        <v>0.75850532577265439</v>
      </c>
      <c r="AB106" s="3">
        <f t="shared" si="72"/>
        <v>0.22918481326754631</v>
      </c>
      <c r="AC106" s="3">
        <f t="shared" si="73"/>
        <v>0.39104736846756072</v>
      </c>
      <c r="AD106" s="3">
        <f t="shared" si="74"/>
        <v>0.11815621469725263</v>
      </c>
      <c r="AE106" s="3">
        <f t="shared" si="50"/>
        <v>-0.97486974973558715</v>
      </c>
      <c r="AF106" s="3">
        <f t="shared" si="75"/>
        <v>0.93320101343210571</v>
      </c>
      <c r="AG106" s="3">
        <f t="shared" si="76"/>
        <v>0.28196967475034806</v>
      </c>
      <c r="AH106" s="3">
        <f t="shared" si="77"/>
        <v>0.48111171820995807</v>
      </c>
      <c r="AI106" s="3">
        <f t="shared" si="78"/>
        <v>0.14536944639967725</v>
      </c>
      <c r="AJ106" s="3">
        <f t="shared" si="51"/>
        <v>-0.97869612211564005</v>
      </c>
      <c r="AK106" s="3">
        <f t="shared" si="79"/>
        <v>0.93686383565405129</v>
      </c>
      <c r="AL106" s="3">
        <f t="shared" si="80"/>
        <v>0.28307640821476199</v>
      </c>
      <c r="AM106" s="3">
        <f t="shared" si="81"/>
        <v>0.48300008595424154</v>
      </c>
      <c r="AN106" s="3">
        <f t="shared" si="82"/>
        <v>0.14594002276104057</v>
      </c>
      <c r="AO106" s="3">
        <f t="shared" si="52"/>
        <v>-0.80315149109054973</v>
      </c>
      <c r="AP106" s="3">
        <f t="shared" si="83"/>
        <v>0.76882248693068422</v>
      </c>
      <c r="AQ106" s="3">
        <f t="shared" si="84"/>
        <v>0.23230217655177324</v>
      </c>
      <c r="AR106" s="3"/>
      <c r="AS106" s="2"/>
      <c r="AT106" s="2"/>
    </row>
    <row r="107" spans="1:46">
      <c r="A107">
        <f t="shared" si="85"/>
        <v>104</v>
      </c>
      <c r="B107" s="1">
        <f t="shared" si="43"/>
        <v>12.826632</v>
      </c>
      <c r="C107" s="1">
        <f t="shared" si="44"/>
        <v>80.592105722999506</v>
      </c>
      <c r="D107" s="1">
        <f t="shared" si="45"/>
        <v>-0.88630447200225193</v>
      </c>
      <c r="E107" s="1">
        <f t="shared" si="46"/>
        <v>0.46310299384565573</v>
      </c>
      <c r="F107" s="2">
        <f t="shared" si="47"/>
        <v>-29041.538634097789</v>
      </c>
      <c r="G107" s="2">
        <f t="shared" si="48"/>
        <v>15174.495799340601</v>
      </c>
      <c r="H107" s="2">
        <f t="shared" si="49"/>
        <v>-7260.6062346424478</v>
      </c>
      <c r="I107" s="3">
        <f t="shared" si="53"/>
        <v>0.72340873314724974</v>
      </c>
      <c r="J107" s="3">
        <f t="shared" si="54"/>
        <v>0.52332019519370876</v>
      </c>
      <c r="K107" s="3">
        <f t="shared" si="55"/>
        <v>-0.36565486483346948</v>
      </c>
      <c r="L107" s="3">
        <f t="shared" si="56"/>
        <v>0.32408154191128297</v>
      </c>
      <c r="M107" s="3">
        <f t="shared" si="57"/>
        <v>-0.16933586261860831</v>
      </c>
      <c r="N107" s="3">
        <f t="shared" si="58"/>
        <v>0.16959841577169071</v>
      </c>
      <c r="O107" s="3">
        <f t="shared" si="59"/>
        <v>-8.8616876678865142E-2</v>
      </c>
      <c r="P107" s="3">
        <f t="shared" si="60"/>
        <v>-0.72426681671953863</v>
      </c>
      <c r="Q107" s="3">
        <f t="shared" si="61"/>
        <v>0.64192091858136247</v>
      </c>
      <c r="R107" s="3">
        <f t="shared" si="62"/>
        <v>-0.33541013116588114</v>
      </c>
      <c r="S107" s="3">
        <f t="shared" si="63"/>
        <v>0.33593018041092343</v>
      </c>
      <c r="T107" s="3">
        <f t="shared" si="64"/>
        <v>-0.17552689531167637</v>
      </c>
      <c r="U107" s="3">
        <f t="shared" si="65"/>
        <v>-0.94758950698353828</v>
      </c>
      <c r="V107" s="3">
        <f t="shared" si="66"/>
        <v>0.8398528176619191</v>
      </c>
      <c r="W107" s="3">
        <f t="shared" si="67"/>
        <v>-0.43883153762080546</v>
      </c>
      <c r="X107" s="3">
        <f t="shared" si="68"/>
        <v>0.43951194047282177</v>
      </c>
      <c r="Y107" s="3">
        <f t="shared" si="69"/>
        <v>-0.22964940592487526</v>
      </c>
      <c r="Z107" s="3">
        <f t="shared" si="70"/>
        <v>-0.99390742254133069</v>
      </c>
      <c r="AA107" s="3">
        <f t="shared" si="71"/>
        <v>0.88090459335461324</v>
      </c>
      <c r="AB107" s="3">
        <f t="shared" si="72"/>
        <v>-0.46028150298430942</v>
      </c>
      <c r="AC107" s="3">
        <f t="shared" si="73"/>
        <v>0.46099516374137084</v>
      </c>
      <c r="AD107" s="3">
        <f t="shared" si="74"/>
        <v>-0.24087460598580246</v>
      </c>
      <c r="AE107" s="3">
        <f t="shared" si="50"/>
        <v>-0.85456861848665955</v>
      </c>
      <c r="AF107" s="3">
        <f t="shared" si="75"/>
        <v>0.75740798819751265</v>
      </c>
      <c r="AG107" s="3">
        <f t="shared" si="76"/>
        <v>-0.395753285667718</v>
      </c>
      <c r="AH107" s="3">
        <f t="shared" si="77"/>
        <v>0.39636689622479659</v>
      </c>
      <c r="AI107" s="3">
        <f t="shared" si="78"/>
        <v>-0.20710568670418178</v>
      </c>
      <c r="AJ107" s="3">
        <f t="shared" si="51"/>
        <v>-0.55560085624761535</v>
      </c>
      <c r="AK107" s="3">
        <f t="shared" si="79"/>
        <v>0.49243152354054182</v>
      </c>
      <c r="AL107" s="3">
        <f t="shared" si="80"/>
        <v>-0.25730041991148045</v>
      </c>
      <c r="AM107" s="3">
        <f t="shared" si="81"/>
        <v>0.25769936101877172</v>
      </c>
      <c r="AN107" s="3">
        <f t="shared" si="82"/>
        <v>-0.13465050597149919</v>
      </c>
      <c r="AO107" s="3">
        <f t="shared" si="52"/>
        <v>-0.15284975358330249</v>
      </c>
      <c r="AP107" s="3">
        <f t="shared" si="83"/>
        <v>0.13547142014532323</v>
      </c>
      <c r="AQ107" s="3">
        <f t="shared" si="84"/>
        <v>-7.0785178492998133E-2</v>
      </c>
      <c r="AR107" s="3"/>
      <c r="AS107" s="2"/>
      <c r="AT107" s="2"/>
    </row>
    <row r="108" spans="1:46">
      <c r="A108">
        <f t="shared" si="85"/>
        <v>105</v>
      </c>
      <c r="B108" s="1">
        <f t="shared" si="43"/>
        <v>12.949965000000001</v>
      </c>
      <c r="C108" s="1">
        <f t="shared" si="44"/>
        <v>81.36702981648989</v>
      </c>
      <c r="D108" s="1">
        <f t="shared" si="45"/>
        <v>-0.3092261351526025</v>
      </c>
      <c r="E108" s="1">
        <f t="shared" si="46"/>
        <v>0.95098853691229335</v>
      </c>
      <c r="F108" s="2">
        <f t="shared" si="47"/>
        <v>-10132.412770545327</v>
      </c>
      <c r="G108" s="2">
        <f t="shared" si="48"/>
        <v>31161.041389005117</v>
      </c>
      <c r="H108" s="2">
        <f t="shared" si="49"/>
        <v>-2533.1804991701197</v>
      </c>
      <c r="I108" s="3">
        <f t="shared" si="53"/>
        <v>0.72875566462000163</v>
      </c>
      <c r="J108" s="3">
        <f t="shared" si="54"/>
        <v>0.53108481871574031</v>
      </c>
      <c r="K108" s="3">
        <f t="shared" si="55"/>
        <v>-0.90369349581636593</v>
      </c>
      <c r="L108" s="3">
        <f t="shared" si="56"/>
        <v>0.2794456470738394</v>
      </c>
      <c r="M108" s="3">
        <f t="shared" si="57"/>
        <v>-0.85940215540356157</v>
      </c>
      <c r="N108" s="3">
        <f t="shared" si="58"/>
        <v>0.14840934081711274</v>
      </c>
      <c r="O108" s="3">
        <f t="shared" si="59"/>
        <v>-0.45641543790641698</v>
      </c>
      <c r="P108" s="3">
        <f t="shared" si="60"/>
        <v>-0.99999647595530949</v>
      </c>
      <c r="Q108" s="3">
        <f t="shared" si="61"/>
        <v>0.30922504542588275</v>
      </c>
      <c r="R108" s="3">
        <f t="shared" si="62"/>
        <v>-0.95098518558618916</v>
      </c>
      <c r="S108" s="3">
        <f t="shared" si="63"/>
        <v>0.16422472719237152</v>
      </c>
      <c r="T108" s="3">
        <f t="shared" si="64"/>
        <v>-0.50505379488839597</v>
      </c>
      <c r="U108" s="3">
        <f t="shared" si="65"/>
        <v>-0.90595423181373202</v>
      </c>
      <c r="V108" s="3">
        <f t="shared" si="66"/>
        <v>0.28014472572890525</v>
      </c>
      <c r="W108" s="3">
        <f t="shared" si="67"/>
        <v>-0.86155208942204164</v>
      </c>
      <c r="X108" s="3">
        <f t="shared" si="68"/>
        <v>0.14878061087790645</v>
      </c>
      <c r="Y108" s="3">
        <f t="shared" si="69"/>
        <v>-0.45755723522487229</v>
      </c>
      <c r="Z108" s="3">
        <f t="shared" si="70"/>
        <v>-0.6394673185269566</v>
      </c>
      <c r="AA108" s="3">
        <f t="shared" si="71"/>
        <v>0.197740007464489</v>
      </c>
      <c r="AB108" s="3">
        <f t="shared" si="72"/>
        <v>-0.60812608964917791</v>
      </c>
      <c r="AC108" s="3">
        <f t="shared" si="73"/>
        <v>0.10501671601712727</v>
      </c>
      <c r="AD108" s="3">
        <f t="shared" si="74"/>
        <v>-0.32296653407764569</v>
      </c>
      <c r="AE108" s="3">
        <f t="shared" si="50"/>
        <v>-0.25126042612845423</v>
      </c>
      <c r="AF108" s="3">
        <f t="shared" si="75"/>
        <v>7.7696290488497882E-2</v>
      </c>
      <c r="AG108" s="3">
        <f t="shared" si="76"/>
        <v>-0.23894578502785804</v>
      </c>
      <c r="AH108" s="3">
        <f t="shared" si="77"/>
        <v>4.1263320348969401E-2</v>
      </c>
      <c r="AI108" s="3">
        <f t="shared" si="78"/>
        <v>-0.12690047892441025</v>
      </c>
      <c r="AJ108" s="3">
        <f t="shared" si="51"/>
        <v>0.18477285697659987</v>
      </c>
      <c r="AK108" s="3">
        <f t="shared" si="79"/>
        <v>-5.713659644397856E-2</v>
      </c>
      <c r="AL108" s="3">
        <f t="shared" si="80"/>
        <v>0.17571686891728114</v>
      </c>
      <c r="AM108" s="3">
        <f t="shared" si="81"/>
        <v>-3.0344378964484768E-2</v>
      </c>
      <c r="AN108" s="3">
        <f t="shared" si="82"/>
        <v>9.3320561474231761E-2</v>
      </c>
      <c r="AO108" s="3">
        <f t="shared" si="52"/>
        <v>0.58563538523620495</v>
      </c>
      <c r="AP108" s="3">
        <f t="shared" si="83"/>
        <v>-0.18109376678519715</v>
      </c>
      <c r="AQ108" s="3">
        <f t="shared" si="84"/>
        <v>0.55693253816984578</v>
      </c>
      <c r="AR108" s="3"/>
      <c r="AS108" s="2"/>
      <c r="AT108" s="2"/>
    </row>
    <row r="109" spans="1:46">
      <c r="A109">
        <f t="shared" si="85"/>
        <v>106</v>
      </c>
      <c r="B109" s="1">
        <f t="shared" si="43"/>
        <v>13.073297999999999</v>
      </c>
      <c r="C109" s="1">
        <f t="shared" si="44"/>
        <v>82.141953909980273</v>
      </c>
      <c r="D109" s="1">
        <f t="shared" si="45"/>
        <v>0.44443631495095731</v>
      </c>
      <c r="E109" s="1">
        <f t="shared" si="46"/>
        <v>0.89581044978991708</v>
      </c>
      <c r="F109" s="2">
        <f t="shared" si="47"/>
        <v>14562.844731998019</v>
      </c>
      <c r="G109" s="2">
        <f t="shared" si="48"/>
        <v>29353.021008266212</v>
      </c>
      <c r="H109" s="2">
        <f t="shared" si="49"/>
        <v>3640.8222920782423</v>
      </c>
      <c r="I109" s="3">
        <f t="shared" si="53"/>
        <v>0.73405852875946009</v>
      </c>
      <c r="J109" s="3">
        <f t="shared" si="54"/>
        <v>0.53884192364450312</v>
      </c>
      <c r="K109" s="3">
        <f t="shared" si="55"/>
        <v>-0.95187354967635818</v>
      </c>
      <c r="L109" s="3">
        <f t="shared" si="56"/>
        <v>-0.42304717271744763</v>
      </c>
      <c r="M109" s="3">
        <f t="shared" si="57"/>
        <v>-0.85269827267870335</v>
      </c>
      <c r="N109" s="3">
        <f t="shared" si="58"/>
        <v>-0.22795555233943784</v>
      </c>
      <c r="O109" s="3">
        <f t="shared" si="59"/>
        <v>-0.45946957753853762</v>
      </c>
      <c r="P109" s="3">
        <f t="shared" si="60"/>
        <v>-0.72791769845047682</v>
      </c>
      <c r="Q109" s="3">
        <f t="shared" si="61"/>
        <v>-0.32351305948691211</v>
      </c>
      <c r="R109" s="3">
        <f t="shared" si="62"/>
        <v>-0.65207628085896285</v>
      </c>
      <c r="S109" s="3">
        <f t="shared" si="63"/>
        <v>-0.17432239929804627</v>
      </c>
      <c r="T109" s="3">
        <f t="shared" si="64"/>
        <v>-0.35136603754099682</v>
      </c>
      <c r="U109" s="3">
        <f t="shared" si="65"/>
        <v>-0.3627976699066725</v>
      </c>
      <c r="V109" s="3">
        <f t="shared" si="66"/>
        <v>-0.16124045948611535</v>
      </c>
      <c r="W109" s="3">
        <f t="shared" si="67"/>
        <v>-0.32499794386183017</v>
      </c>
      <c r="X109" s="3">
        <f t="shared" si="68"/>
        <v>-8.6883119358821967E-2</v>
      </c>
      <c r="Y109" s="3">
        <f t="shared" si="69"/>
        <v>-0.1751225172510168</v>
      </c>
      <c r="Z109" s="3">
        <f t="shared" si="70"/>
        <v>7.2679261229659203E-2</v>
      </c>
      <c r="AA109" s="3">
        <f t="shared" si="71"/>
        <v>3.2301303034267717E-2</v>
      </c>
      <c r="AB109" s="3">
        <f t="shared" si="72"/>
        <v>6.5106841692539899E-2</v>
      </c>
      <c r="AC109" s="3">
        <f t="shared" si="73"/>
        <v>1.7405296263208844E-2</v>
      </c>
      <c r="AD109" s="3">
        <f t="shared" si="74"/>
        <v>3.5082295820026331E-2</v>
      </c>
      <c r="AE109" s="3">
        <f t="shared" si="50"/>
        <v>0.49406159329054772</v>
      </c>
      <c r="AF109" s="3">
        <f t="shared" si="75"/>
        <v>0.21957891388084963</v>
      </c>
      <c r="AG109" s="3">
        <f t="shared" si="76"/>
        <v>0.44258553810952861</v>
      </c>
      <c r="AH109" s="3">
        <f t="shared" si="77"/>
        <v>0.11831832434732772</v>
      </c>
      <c r="AI109" s="3">
        <f t="shared" si="78"/>
        <v>0.23848364273217598</v>
      </c>
      <c r="AJ109" s="3">
        <f t="shared" si="51"/>
        <v>0.81963117274259489</v>
      </c>
      <c r="AK109" s="3">
        <f t="shared" si="79"/>
        <v>0.36427385803265039</v>
      </c>
      <c r="AL109" s="3">
        <f t="shared" si="80"/>
        <v>0.73423416951638121</v>
      </c>
      <c r="AM109" s="3">
        <f t="shared" si="81"/>
        <v>0.19628602639571796</v>
      </c>
      <c r="AN109" s="3">
        <f t="shared" si="82"/>
        <v>0.39563615230773103</v>
      </c>
      <c r="AO109" s="3">
        <f t="shared" si="52"/>
        <v>0.98625069444683722</v>
      </c>
      <c r="AP109" s="3">
        <f t="shared" si="83"/>
        <v>0.43832562425777494</v>
      </c>
      <c r="AQ109" s="3">
        <f t="shared" si="84"/>
        <v>0.88349367819803937</v>
      </c>
      <c r="AR109" s="3"/>
      <c r="AS109" s="2"/>
      <c r="AT109" s="2"/>
    </row>
    <row r="110" spans="1:46">
      <c r="A110">
        <f t="shared" si="85"/>
        <v>107</v>
      </c>
      <c r="B110" s="1">
        <f t="shared" si="43"/>
        <v>13.196631</v>
      </c>
      <c r="C110" s="1">
        <f t="shared" si="44"/>
        <v>82.916878003470657</v>
      </c>
      <c r="D110" s="1">
        <f t="shared" si="45"/>
        <v>0.9443026474180809</v>
      </c>
      <c r="E110" s="1">
        <f t="shared" si="46"/>
        <v>0.32907827348398994</v>
      </c>
      <c r="F110" s="2">
        <f t="shared" si="47"/>
        <v>30941.964847948257</v>
      </c>
      <c r="G110" s="2">
        <f t="shared" si="48"/>
        <v>10782.907787249898</v>
      </c>
      <c r="H110" s="2">
        <f t="shared" si="49"/>
        <v>7735.7272876489187</v>
      </c>
      <c r="I110" s="3">
        <f t="shared" si="53"/>
        <v>0.73931700490522723</v>
      </c>
      <c r="J110" s="3">
        <f t="shared" si="54"/>
        <v>0.54658963374203573</v>
      </c>
      <c r="K110" s="3">
        <f t="shared" si="55"/>
        <v>-0.48407841415627684</v>
      </c>
      <c r="L110" s="3">
        <f t="shared" si="56"/>
        <v>-0.45711652804571845</v>
      </c>
      <c r="M110" s="3">
        <f t="shared" si="57"/>
        <v>-0.15929968876141543</v>
      </c>
      <c r="N110" s="3">
        <f t="shared" si="58"/>
        <v>-0.24985515564194025</v>
      </c>
      <c r="O110" s="3">
        <f t="shared" si="59"/>
        <v>-8.7071558535322335E-2</v>
      </c>
      <c r="P110" s="3">
        <f t="shared" si="60"/>
        <v>-5.7078059230572811E-2</v>
      </c>
      <c r="Q110" s="3">
        <f t="shared" si="61"/>
        <v>-5.3898962440915937E-2</v>
      </c>
      <c r="R110" s="3">
        <f t="shared" si="62"/>
        <v>-1.8783149185413815E-2</v>
      </c>
      <c r="S110" s="3">
        <f t="shared" si="63"/>
        <v>-2.9460614139655981E-2</v>
      </c>
      <c r="T110" s="3">
        <f t="shared" si="64"/>
        <v>-1.0266674633777353E-2</v>
      </c>
      <c r="U110" s="3">
        <f t="shared" si="65"/>
        <v>0.3811976847864374</v>
      </c>
      <c r="V110" s="3">
        <f t="shared" si="66"/>
        <v>0.35996598293347593</v>
      </c>
      <c r="W110" s="3">
        <f t="shared" si="67"/>
        <v>0.12544387596561504</v>
      </c>
      <c r="X110" s="3">
        <f t="shared" si="68"/>
        <v>0.19675367477120048</v>
      </c>
      <c r="Y110" s="3">
        <f t="shared" si="69"/>
        <v>6.8566322219226886E-2</v>
      </c>
      <c r="Z110" s="3">
        <f t="shared" si="70"/>
        <v>0.74417037409877496</v>
      </c>
      <c r="AA110" s="3">
        <f t="shared" si="71"/>
        <v>0.70272205439157687</v>
      </c>
      <c r="AB110" s="3">
        <f t="shared" si="72"/>
        <v>0.24489030188635977</v>
      </c>
      <c r="AC110" s="3">
        <f t="shared" si="73"/>
        <v>0.38410059033234295</v>
      </c>
      <c r="AD110" s="3">
        <f t="shared" si="74"/>
        <v>0.13385450041504196</v>
      </c>
      <c r="AE110" s="3">
        <f t="shared" si="50"/>
        <v>0.96013718004179482</v>
      </c>
      <c r="AF110" s="3">
        <f t="shared" si="75"/>
        <v>0.90666008099799744</v>
      </c>
      <c r="AG110" s="3">
        <f t="shared" si="76"/>
        <v>0.31596028551594063</v>
      </c>
      <c r="AH110" s="3">
        <f t="shared" si="77"/>
        <v>0.49557100160121981</v>
      </c>
      <c r="AI110" s="3">
        <f t="shared" si="78"/>
        <v>0.17270061673718701</v>
      </c>
      <c r="AJ110" s="3">
        <f t="shared" si="51"/>
        <v>0.98643530362334231</v>
      </c>
      <c r="AK110" s="3">
        <f t="shared" si="79"/>
        <v>0.93149346871818062</v>
      </c>
      <c r="AL110" s="3">
        <f t="shared" si="80"/>
        <v>0.32461442662002488</v>
      </c>
      <c r="AM110" s="3">
        <f t="shared" si="81"/>
        <v>0.5091446738997687</v>
      </c>
      <c r="AN110" s="3">
        <f t="shared" si="82"/>
        <v>0.17743088055362033</v>
      </c>
      <c r="AO110" s="3">
        <f t="shared" si="52"/>
        <v>0.81786972630650823</v>
      </c>
      <c r="AP110" s="3">
        <f t="shared" si="83"/>
        <v>0.772316547794337</v>
      </c>
      <c r="AQ110" s="3">
        <f t="shared" si="84"/>
        <v>0.26914315746776912</v>
      </c>
      <c r="AR110" s="3"/>
      <c r="AS110" s="2"/>
      <c r="AT110" s="2"/>
    </row>
    <row r="111" spans="1:46">
      <c r="A111">
        <f t="shared" si="85"/>
        <v>108</v>
      </c>
      <c r="B111" s="1">
        <f t="shared" si="43"/>
        <v>13.319964000000001</v>
      </c>
      <c r="C111" s="1">
        <f t="shared" si="44"/>
        <v>83.691802096961027</v>
      </c>
      <c r="D111" s="1">
        <f t="shared" si="45"/>
        <v>0.9049233383247014</v>
      </c>
      <c r="E111" s="1">
        <f t="shared" si="46"/>
        <v>-0.42557461361702259</v>
      </c>
      <c r="F111" s="2">
        <f t="shared" si="47"/>
        <v>29651.623026885492</v>
      </c>
      <c r="G111" s="2">
        <f t="shared" si="48"/>
        <v>-13944.803364388979</v>
      </c>
      <c r="H111" s="2">
        <f t="shared" si="49"/>
        <v>7413.1319875559539</v>
      </c>
      <c r="I111" s="3">
        <f t="shared" si="53"/>
        <v>0.74453077508101517</v>
      </c>
      <c r="J111" s="3">
        <f t="shared" si="54"/>
        <v>0.55432607504273723</v>
      </c>
      <c r="K111" s="3">
        <f t="shared" si="55"/>
        <v>0.2461175954126997</v>
      </c>
      <c r="L111" s="3">
        <f t="shared" si="56"/>
        <v>0.22271755606130844</v>
      </c>
      <c r="M111" s="3">
        <f t="shared" si="57"/>
        <v>-0.10474140057211037</v>
      </c>
      <c r="N111" s="3">
        <f t="shared" si="58"/>
        <v>0.12345814869457589</v>
      </c>
      <c r="O111" s="3">
        <f t="shared" si="59"/>
        <v>-5.8060889473617053E-2</v>
      </c>
      <c r="P111" s="3">
        <f t="shared" si="60"/>
        <v>0.64502953257827023</v>
      </c>
      <c r="Q111" s="3">
        <f t="shared" si="61"/>
        <v>0.58370227793875007</v>
      </c>
      <c r="R111" s="3">
        <f t="shared" si="62"/>
        <v>-0.27450819409856603</v>
      </c>
      <c r="S111" s="3">
        <f t="shared" si="63"/>
        <v>0.32356139272329221</v>
      </c>
      <c r="T111" s="3">
        <f t="shared" si="64"/>
        <v>-0.15216704980172799</v>
      </c>
      <c r="U111" s="3">
        <f t="shared" si="65"/>
        <v>0.91416830261990967</v>
      </c>
      <c r="V111" s="3">
        <f t="shared" si="66"/>
        <v>0.82725223219743449</v>
      </c>
      <c r="W111" s="3">
        <f t="shared" si="67"/>
        <v>-0.38904682216839742</v>
      </c>
      <c r="X111" s="3">
        <f t="shared" si="68"/>
        <v>0.45856748294434696</v>
      </c>
      <c r="Y111" s="3">
        <f t="shared" si="69"/>
        <v>-0.21565879794045753</v>
      </c>
      <c r="Z111" s="3">
        <f t="shared" si="70"/>
        <v>0.99938601180545406</v>
      </c>
      <c r="AA111" s="3">
        <f t="shared" si="71"/>
        <v>0.90436772607800098</v>
      </c>
      <c r="AB111" s="3">
        <f t="shared" si="72"/>
        <v>-0.42531331582836329</v>
      </c>
      <c r="AC111" s="3">
        <f t="shared" si="73"/>
        <v>0.50131461199214356</v>
      </c>
      <c r="AD111" s="3">
        <f t="shared" si="74"/>
        <v>-0.23576226102654868</v>
      </c>
      <c r="AE111" s="3">
        <f t="shared" si="50"/>
        <v>0.88353775209968344</v>
      </c>
      <c r="AF111" s="3">
        <f t="shared" si="75"/>
        <v>0.79953393216594804</v>
      </c>
      <c r="AG111" s="3">
        <f t="shared" si="76"/>
        <v>-0.37601123746587545</v>
      </c>
      <c r="AH111" s="3">
        <f t="shared" si="77"/>
        <v>0.44320250648103604</v>
      </c>
      <c r="AI111" s="3">
        <f t="shared" si="78"/>
        <v>-0.20843283343642136</v>
      </c>
      <c r="AJ111" s="3">
        <f t="shared" si="51"/>
        <v>0.58993097658574922</v>
      </c>
      <c r="AK111" s="3">
        <f t="shared" si="79"/>
        <v>0.53384230871312743</v>
      </c>
      <c r="AL111" s="3">
        <f t="shared" si="80"/>
        <v>-0.25105964742119302</v>
      </c>
      <c r="AM111" s="3">
        <f t="shared" si="81"/>
        <v>0.29592271168070117</v>
      </c>
      <c r="AN111" s="3">
        <f t="shared" si="82"/>
        <v>-0.13916890895660339</v>
      </c>
      <c r="AO111" s="3">
        <f t="shared" si="52"/>
        <v>0.17763628470611789</v>
      </c>
      <c r="AP111" s="3">
        <f t="shared" si="83"/>
        <v>0.16074721976385731</v>
      </c>
      <c r="AQ111" s="3">
        <f t="shared" si="84"/>
        <v>-7.5597493228169541E-2</v>
      </c>
      <c r="AR111" s="3"/>
      <c r="AS111" s="2"/>
      <c r="AT111" s="2"/>
    </row>
    <row r="112" spans="1:46">
      <c r="A112">
        <f t="shared" si="85"/>
        <v>109</v>
      </c>
      <c r="B112" s="1">
        <f t="shared" si="43"/>
        <v>13.443296999999999</v>
      </c>
      <c r="C112" s="1">
        <f t="shared" si="44"/>
        <v>84.466726190451411</v>
      </c>
      <c r="D112" s="1">
        <f t="shared" si="45"/>
        <v>0.34878600946699717</v>
      </c>
      <c r="E112" s="1">
        <f t="shared" si="46"/>
        <v>-0.93720238988176285</v>
      </c>
      <c r="F112" s="2">
        <f t="shared" si="47"/>
        <v>11428.671172205097</v>
      </c>
      <c r="G112" s="2">
        <f t="shared" si="48"/>
        <v>-30709.310709255722</v>
      </c>
      <c r="H112" s="2">
        <f t="shared" si="49"/>
        <v>2857.2549895536408</v>
      </c>
      <c r="I112" s="3">
        <f t="shared" si="53"/>
        <v>0.7496995240138743</v>
      </c>
      <c r="J112" s="3">
        <f t="shared" si="54"/>
        <v>0.56204937630662966</v>
      </c>
      <c r="K112" s="3">
        <f t="shared" si="55"/>
        <v>0.84290242558077388</v>
      </c>
      <c r="L112" s="3">
        <f t="shared" si="56"/>
        <v>0.2939925733883707</v>
      </c>
      <c r="M112" s="3">
        <f t="shared" si="57"/>
        <v>-0.78997016769143602</v>
      </c>
      <c r="N112" s="3">
        <f t="shared" si="58"/>
        <v>0.16523834251171479</v>
      </c>
      <c r="O112" s="3">
        <f t="shared" si="59"/>
        <v>-0.44400224005181527</v>
      </c>
      <c r="P112" s="3">
        <f t="shared" si="60"/>
        <v>0.99378325925909083</v>
      </c>
      <c r="Q112" s="3">
        <f t="shared" si="61"/>
        <v>0.34661769727208458</v>
      </c>
      <c r="R112" s="3">
        <f t="shared" si="62"/>
        <v>-0.93137604560210752</v>
      </c>
      <c r="S112" s="3">
        <f t="shared" si="63"/>
        <v>0.19481626056861528</v>
      </c>
      <c r="T112" s="3">
        <f t="shared" si="64"/>
        <v>-0.52347932553759957</v>
      </c>
      <c r="U112" s="3">
        <f t="shared" si="65"/>
        <v>0.94107045990159488</v>
      </c>
      <c r="V112" s="3">
        <f t="shared" si="66"/>
        <v>0.32823221033634903</v>
      </c>
      <c r="W112" s="3">
        <f t="shared" si="67"/>
        <v>-0.88197348406690446</v>
      </c>
      <c r="X112" s="3">
        <f t="shared" si="68"/>
        <v>0.18448270910329145</v>
      </c>
      <c r="Y112" s="3">
        <f t="shared" si="69"/>
        <v>-0.49571264663878872</v>
      </c>
      <c r="Z112" s="3">
        <f t="shared" si="70"/>
        <v>0.69556315320163342</v>
      </c>
      <c r="AA112" s="3">
        <f t="shared" si="71"/>
        <v>0.24260269653747932</v>
      </c>
      <c r="AB112" s="3">
        <f t="shared" si="72"/>
        <v>-0.65188344949426558</v>
      </c>
      <c r="AC112" s="3">
        <f t="shared" si="73"/>
        <v>0.1363546942791968</v>
      </c>
      <c r="AD112" s="3">
        <f t="shared" si="74"/>
        <v>-0.3663906862128663</v>
      </c>
      <c r="AE112" s="3">
        <f t="shared" si="50"/>
        <v>0.30755774337226882</v>
      </c>
      <c r="AF112" s="3">
        <f t="shared" si="75"/>
        <v>0.10727183799148844</v>
      </c>
      <c r="AG112" s="3">
        <f t="shared" si="76"/>
        <v>-0.28824385211513226</v>
      </c>
      <c r="AH112" s="3">
        <f t="shared" si="77"/>
        <v>6.0292069638381893E-2</v>
      </c>
      <c r="AI112" s="3">
        <f t="shared" si="78"/>
        <v>-0.16200727730553047</v>
      </c>
      <c r="AJ112" s="3">
        <f t="shared" si="51"/>
        <v>-0.14345617234411223</v>
      </c>
      <c r="AK112" s="3">
        <f t="shared" si="79"/>
        <v>-5.0035505885312706E-2</v>
      </c>
      <c r="AL112" s="3">
        <f t="shared" si="80"/>
        <v>0.13444746756419204</v>
      </c>
      <c r="AM112" s="3">
        <f t="shared" si="81"/>
        <v>-2.8122424876026703E-2</v>
      </c>
      <c r="AN112" s="3">
        <f t="shared" si="82"/>
        <v>7.5566115290459951E-2</v>
      </c>
      <c r="AO112" s="3">
        <f t="shared" si="52"/>
        <v>-0.56508061803590048</v>
      </c>
      <c r="AP112" s="3">
        <f t="shared" si="83"/>
        <v>-0.19709221379188621</v>
      </c>
      <c r="AQ112" s="3">
        <f t="shared" si="84"/>
        <v>0.5295949056991095</v>
      </c>
      <c r="AR112" s="3"/>
      <c r="AS112" s="2"/>
      <c r="AT112" s="2"/>
    </row>
    <row r="113" spans="1:46">
      <c r="A113">
        <f t="shared" si="85"/>
        <v>110</v>
      </c>
      <c r="B113" s="1">
        <f t="shared" si="43"/>
        <v>13.56663</v>
      </c>
      <c r="C113" s="1">
        <f t="shared" si="44"/>
        <v>85.241650283941794</v>
      </c>
      <c r="D113" s="1">
        <f t="shared" si="45"/>
        <v>-0.4065261665190234</v>
      </c>
      <c r="E113" s="1">
        <f t="shared" si="46"/>
        <v>-0.91363913879351033</v>
      </c>
      <c r="F113" s="2">
        <f t="shared" si="47"/>
        <v>-13320.642898328841</v>
      </c>
      <c r="G113" s="2">
        <f t="shared" si="48"/>
        <v>-29937.213660846952</v>
      </c>
      <c r="H113" s="2">
        <f t="shared" si="49"/>
        <v>-3330.2623561238397</v>
      </c>
      <c r="I113" s="3">
        <f t="shared" si="53"/>
        <v>0.75482293915325704</v>
      </c>
      <c r="J113" s="3">
        <f t="shared" si="54"/>
        <v>0.5697576694719616</v>
      </c>
      <c r="K113" s="3">
        <f t="shared" si="55"/>
        <v>0.98278125303889563</v>
      </c>
      <c r="L113" s="3">
        <f t="shared" si="56"/>
        <v>-0.39952629532466455</v>
      </c>
      <c r="M113" s="3">
        <f t="shared" si="57"/>
        <v>-0.89790741764886361</v>
      </c>
      <c r="N113" s="3">
        <f t="shared" si="58"/>
        <v>-0.22763317091694757</v>
      </c>
      <c r="O113" s="3">
        <f t="shared" si="59"/>
        <v>-0.5115896376812038</v>
      </c>
      <c r="P113" s="3">
        <f t="shared" si="60"/>
        <v>0.79813221371945986</v>
      </c>
      <c r="Q113" s="3">
        <f t="shared" si="61"/>
        <v>-0.32446162921871391</v>
      </c>
      <c r="R113" s="3">
        <f t="shared" si="62"/>
        <v>-0.7292048283860052</v>
      </c>
      <c r="S113" s="3">
        <f t="shared" si="63"/>
        <v>-0.18486450169673016</v>
      </c>
      <c r="T113" s="3">
        <f t="shared" si="64"/>
        <v>-0.41547004358891204</v>
      </c>
      <c r="U113" s="3">
        <f t="shared" si="65"/>
        <v>0.44701156706997786</v>
      </c>
      <c r="V113" s="3">
        <f t="shared" si="66"/>
        <v>-0.18172189875061942</v>
      </c>
      <c r="W113" s="3">
        <f t="shared" si="67"/>
        <v>-0.40840726316855203</v>
      </c>
      <c r="X113" s="3">
        <f t="shared" si="68"/>
        <v>-0.10353744552417268</v>
      </c>
      <c r="Y113" s="3">
        <f t="shared" si="69"/>
        <v>-0.23269317045833629</v>
      </c>
      <c r="Z113" s="3">
        <f t="shared" si="70"/>
        <v>2.6548214557967024E-3</v>
      </c>
      <c r="AA113" s="3">
        <f t="shared" si="71"/>
        <v>-1.0792543892174863E-3</v>
      </c>
      <c r="AB113" s="3">
        <f t="shared" si="72"/>
        <v>-2.4255487885246323E-3</v>
      </c>
      <c r="AC113" s="3">
        <f t="shared" si="73"/>
        <v>-6.1491346556794035E-4</v>
      </c>
      <c r="AD113" s="3">
        <f t="shared" si="74"/>
        <v>-1.3819750249403344E-3</v>
      </c>
      <c r="AE113" s="3">
        <f t="shared" si="50"/>
        <v>-0.44225565747139178</v>
      </c>
      <c r="AF113" s="3">
        <f t="shared" si="75"/>
        <v>0.17978849705319519</v>
      </c>
      <c r="AG113" s="3">
        <f t="shared" si="76"/>
        <v>0.40406207801872007</v>
      </c>
      <c r="AH113" s="3">
        <f t="shared" si="77"/>
        <v>0.10243587507889512</v>
      </c>
      <c r="AI113" s="3">
        <f t="shared" si="78"/>
        <v>0.23021746789394387</v>
      </c>
      <c r="AJ113" s="3">
        <f t="shared" si="51"/>
        <v>-0.79492200831487514</v>
      </c>
      <c r="AK113" s="3">
        <f t="shared" si="79"/>
        <v>0.32315659672184943</v>
      </c>
      <c r="AL113" s="3">
        <f t="shared" si="80"/>
        <v>0.72627185908481018</v>
      </c>
      <c r="AM113" s="3">
        <f t="shared" si="81"/>
        <v>0.18412094942273149</v>
      </c>
      <c r="AN113" s="3">
        <f t="shared" si="82"/>
        <v>0.41379896183523035</v>
      </c>
      <c r="AO113" s="3">
        <f t="shared" si="52"/>
        <v>-0.98178632517014042</v>
      </c>
      <c r="AP113" s="3">
        <f t="shared" si="83"/>
        <v>0.39912183111221655</v>
      </c>
      <c r="AQ113" s="3">
        <f t="shared" si="84"/>
        <v>0.89699841260769242</v>
      </c>
      <c r="AR113" s="3"/>
      <c r="AS113" s="2"/>
      <c r="AT113" s="2"/>
    </row>
    <row r="114" spans="1:46">
      <c r="A114">
        <f t="shared" si="85"/>
        <v>111</v>
      </c>
      <c r="B114" s="1">
        <f t="shared" si="43"/>
        <v>13.689963000000001</v>
      </c>
      <c r="C114" s="1">
        <f t="shared" si="44"/>
        <v>86.016574377432178</v>
      </c>
      <c r="D114" s="1">
        <f t="shared" si="45"/>
        <v>-0.9296908799568121</v>
      </c>
      <c r="E114" s="1">
        <f t="shared" si="46"/>
        <v>-0.3683406951792435</v>
      </c>
      <c r="F114" s="2">
        <f t="shared" si="47"/>
        <v>-30463.181063544864</v>
      </c>
      <c r="G114" s="2">
        <f t="shared" si="48"/>
        <v>-12069.419558938273</v>
      </c>
      <c r="H114" s="2">
        <f t="shared" si="49"/>
        <v>-7616.0276886062047</v>
      </c>
      <c r="I114" s="3">
        <f t="shared" si="53"/>
        <v>0.75990071068991794</v>
      </c>
      <c r="J114" s="3">
        <f t="shared" si="54"/>
        <v>0.57744909010704237</v>
      </c>
      <c r="K114" s="3">
        <f t="shared" si="55"/>
        <v>0.58993097658574922</v>
      </c>
      <c r="L114" s="3">
        <f t="shared" si="56"/>
        <v>-0.54845344873578672</v>
      </c>
      <c r="M114" s="3">
        <f t="shared" si="57"/>
        <v>-0.21729558602336488</v>
      </c>
      <c r="N114" s="3">
        <f t="shared" si="58"/>
        <v>-0.31670394493854942</v>
      </c>
      <c r="O114" s="3">
        <f t="shared" si="59"/>
        <v>-0.12547713843346861</v>
      </c>
      <c r="P114" s="3">
        <f t="shared" si="60"/>
        <v>0.16525606706905818</v>
      </c>
      <c r="Q114" s="3">
        <f t="shared" si="61"/>
        <v>-0.15363705841163466</v>
      </c>
      <c r="R114" s="3">
        <f t="shared" si="62"/>
        <v>-6.0870534626804577E-2</v>
      </c>
      <c r="S114" s="3">
        <f t="shared" si="63"/>
        <v>-8.8717579586520962E-2</v>
      </c>
      <c r="T114" s="3">
        <f t="shared" si="64"/>
        <v>-3.5149634834577524E-2</v>
      </c>
      <c r="U114" s="3">
        <f t="shared" si="65"/>
        <v>-0.29450553990844919</v>
      </c>
      <c r="V114" s="3">
        <f t="shared" si="66"/>
        <v>0.27379911454964218</v>
      </c>
      <c r="W114" s="3">
        <f t="shared" si="67"/>
        <v>0.10847837530401662</v>
      </c>
      <c r="X114" s="3">
        <f t="shared" si="68"/>
        <v>0.15810504956880475</v>
      </c>
      <c r="Y114" s="3">
        <f t="shared" si="69"/>
        <v>6.264073911559466E-2</v>
      </c>
      <c r="Z114" s="3">
        <f t="shared" si="70"/>
        <v>-0.69173856949348056</v>
      </c>
      <c r="AA114" s="3">
        <f t="shared" si="71"/>
        <v>0.64310303937246038</v>
      </c>
      <c r="AB114" s="3">
        <f t="shared" si="72"/>
        <v>0.25479546556952409</v>
      </c>
      <c r="AC114" s="3">
        <f t="shared" si="73"/>
        <v>0.37135926493070065</v>
      </c>
      <c r="AD114" s="3">
        <f t="shared" si="74"/>
        <v>0.14713140975652192</v>
      </c>
      <c r="AE114" s="3">
        <f t="shared" si="50"/>
        <v>-0.94210363628436322</v>
      </c>
      <c r="AF114" s="3">
        <f t="shared" si="75"/>
        <v>0.87586515862772207</v>
      </c>
      <c r="AG114" s="3">
        <f t="shared" si="76"/>
        <v>0.34701510831987553</v>
      </c>
      <c r="AH114" s="3">
        <f t="shared" si="77"/>
        <v>0.50576753890603843</v>
      </c>
      <c r="AI114" s="3">
        <f t="shared" si="78"/>
        <v>0.20038355855270887</v>
      </c>
      <c r="AJ114" s="3">
        <f t="shared" si="51"/>
        <v>-0.99244394241552303</v>
      </c>
      <c r="AK114" s="3">
        <f t="shared" si="79"/>
        <v>0.92266608213209533</v>
      </c>
      <c r="AL114" s="3">
        <f t="shared" si="80"/>
        <v>0.36555749167576285</v>
      </c>
      <c r="AM114" s="3">
        <f t="shared" si="81"/>
        <v>0.53279268959980808</v>
      </c>
      <c r="AN114" s="3">
        <f t="shared" si="82"/>
        <v>0.21109084094998198</v>
      </c>
      <c r="AO114" s="3">
        <f t="shared" si="52"/>
        <v>-0.8320713774736106</v>
      </c>
      <c r="AP114" s="3">
        <f t="shared" si="83"/>
        <v>0.77356917111031775</v>
      </c>
      <c r="AQ114" s="3">
        <f t="shared" si="84"/>
        <v>0.30648574961738045</v>
      </c>
      <c r="AR114" s="3"/>
      <c r="AS114" s="2"/>
      <c r="AT114" s="2"/>
    </row>
    <row r="115" spans="1:46">
      <c r="A115">
        <f t="shared" si="85"/>
        <v>112</v>
      </c>
      <c r="B115" s="1">
        <f t="shared" si="43"/>
        <v>13.813295999999999</v>
      </c>
      <c r="C115" s="1">
        <f t="shared" si="44"/>
        <v>86.791498470922548</v>
      </c>
      <c r="D115" s="1">
        <f t="shared" si="45"/>
        <v>-0.92195402662889803</v>
      </c>
      <c r="E115" s="1">
        <f t="shared" si="46"/>
        <v>0.38729933227771157</v>
      </c>
      <c r="F115" s="2">
        <f t="shared" si="47"/>
        <v>-30209.667590549103</v>
      </c>
      <c r="G115" s="2">
        <f t="shared" si="48"/>
        <v>12690.637220743774</v>
      </c>
      <c r="H115" s="2">
        <f t="shared" si="49"/>
        <v>-7552.6473861439326</v>
      </c>
      <c r="I115" s="3">
        <f t="shared" si="53"/>
        <v>0.76493253157464758</v>
      </c>
      <c r="J115" s="3">
        <f t="shared" si="54"/>
        <v>0.58512177786119923</v>
      </c>
      <c r="K115" s="3">
        <f t="shared" si="55"/>
        <v>-0.12269890448871919</v>
      </c>
      <c r="L115" s="3">
        <f t="shared" si="56"/>
        <v>0.11312274905632923</v>
      </c>
      <c r="M115" s="3">
        <f t="shared" si="57"/>
        <v>-4.7521203779687646E-2</v>
      </c>
      <c r="N115" s="3">
        <f t="shared" si="58"/>
        <v>6.6190584044385659E-2</v>
      </c>
      <c r="O115" s="3">
        <f t="shared" si="59"/>
        <v>-2.7805691241675177E-2</v>
      </c>
      <c r="P115" s="3">
        <f t="shared" si="60"/>
        <v>-0.5581490663725398</v>
      </c>
      <c r="Q115" s="3">
        <f t="shared" si="61"/>
        <v>0.51458777920132315</v>
      </c>
      <c r="R115" s="3">
        <f t="shared" si="62"/>
        <v>-0.21617076071751279</v>
      </c>
      <c r="S115" s="3">
        <f t="shared" si="63"/>
        <v>0.30109651623192446</v>
      </c>
      <c r="T115" s="3">
        <f t="shared" si="64"/>
        <v>-0.12648621983263897</v>
      </c>
      <c r="U115" s="3">
        <f t="shared" si="65"/>
        <v>-0.87298924835588232</v>
      </c>
      <c r="V115" s="3">
        <f t="shared" si="66"/>
        <v>0.80485595272544075</v>
      </c>
      <c r="W115" s="3">
        <f t="shared" si="67"/>
        <v>-0.33810815297385455</v>
      </c>
      <c r="X115" s="3">
        <f t="shared" si="68"/>
        <v>0.47093874598087926</v>
      </c>
      <c r="Y115" s="3">
        <f t="shared" si="69"/>
        <v>-0.1978344435774281</v>
      </c>
      <c r="Z115" s="3">
        <f t="shared" si="70"/>
        <v>-0.99918589039420402</v>
      </c>
      <c r="AA115" s="3">
        <f t="shared" si="71"/>
        <v>0.92120345499971712</v>
      </c>
      <c r="AB115" s="3">
        <f t="shared" si="72"/>
        <v>-0.38698402817098593</v>
      </c>
      <c r="AC115" s="3">
        <f t="shared" si="73"/>
        <v>0.53901620336131373</v>
      </c>
      <c r="AD115" s="3">
        <f t="shared" si="74"/>
        <v>-0.22643278256729568</v>
      </c>
      <c r="AE115" s="3">
        <f t="shared" si="50"/>
        <v>-0.9094692622724786</v>
      </c>
      <c r="AF115" s="3">
        <f t="shared" si="75"/>
        <v>0.83848884844732496</v>
      </c>
      <c r="AG115" s="3">
        <f t="shared" si="76"/>
        <v>-0.35223683800523392</v>
      </c>
      <c r="AH115" s="3">
        <f t="shared" si="77"/>
        <v>0.49061808572028842</v>
      </c>
      <c r="AI115" s="3">
        <f t="shared" si="78"/>
        <v>-0.20610144488182969</v>
      </c>
      <c r="AJ115" s="3">
        <f t="shared" si="51"/>
        <v>-0.62322615753104738</v>
      </c>
      <c r="AK115" s="3">
        <f t="shared" si="79"/>
        <v>0.57458586543620505</v>
      </c>
      <c r="AL115" s="3">
        <f t="shared" si="80"/>
        <v>-0.24137507466977853</v>
      </c>
      <c r="AM115" s="3">
        <f t="shared" si="81"/>
        <v>0.33620270311794809</v>
      </c>
      <c r="AN115" s="3">
        <f t="shared" si="82"/>
        <v>-0.14123381282216052</v>
      </c>
      <c r="AO115" s="3">
        <f t="shared" si="52"/>
        <v>-0.20231061694414934</v>
      </c>
      <c r="AP115" s="3">
        <f t="shared" si="83"/>
        <v>0.18652108792143504</v>
      </c>
      <c r="AQ115" s="3">
        <f t="shared" si="84"/>
        <v>-7.8354766855160921E-2</v>
      </c>
      <c r="AR115" s="3"/>
      <c r="AS115" s="2"/>
      <c r="AT115" s="2"/>
    </row>
    <row r="116" spans="1:46">
      <c r="A116">
        <f t="shared" si="85"/>
        <v>113</v>
      </c>
      <c r="B116" s="1">
        <f t="shared" si="43"/>
        <v>13.936629</v>
      </c>
      <c r="C116" s="1">
        <f t="shared" si="44"/>
        <v>87.566422564412932</v>
      </c>
      <c r="D116" s="1">
        <f t="shared" si="45"/>
        <v>-0.38773374985816345</v>
      </c>
      <c r="E116" s="1">
        <f t="shared" si="46"/>
        <v>0.92177141375773153</v>
      </c>
      <c r="F116" s="2">
        <f t="shared" si="47"/>
        <v>-12704.871781602442</v>
      </c>
      <c r="G116" s="2">
        <f t="shared" si="48"/>
        <v>30203.683914599587</v>
      </c>
      <c r="H116" s="2">
        <f t="shared" si="49"/>
        <v>-3176.3148788380749</v>
      </c>
      <c r="I116" s="3">
        <f t="shared" si="53"/>
        <v>0.7699180975368396</v>
      </c>
      <c r="J116" s="3">
        <f t="shared" si="54"/>
        <v>0.59277387691474648</v>
      </c>
      <c r="K116" s="3">
        <f t="shared" si="55"/>
        <v>-0.76881828056826407</v>
      </c>
      <c r="L116" s="3">
        <f t="shared" si="56"/>
        <v>0.29809679488423863</v>
      </c>
      <c r="M116" s="3">
        <f t="shared" si="57"/>
        <v>-0.70867471340219701</v>
      </c>
      <c r="N116" s="3">
        <f t="shared" si="58"/>
        <v>0.17670399279939009</v>
      </c>
      <c r="O116" s="3">
        <f t="shared" si="59"/>
        <v>-0.42008385733486719</v>
      </c>
      <c r="P116" s="3">
        <f t="shared" si="60"/>
        <v>-0.97579435478501098</v>
      </c>
      <c r="Q116" s="3">
        <f t="shared" si="61"/>
        <v>0.37834840427121946</v>
      </c>
      <c r="R116" s="3">
        <f t="shared" si="62"/>
        <v>-0.89945934194699306</v>
      </c>
      <c r="S116" s="3">
        <f t="shared" si="63"/>
        <v>0.22427505042435858</v>
      </c>
      <c r="T116" s="3">
        <f t="shared" si="64"/>
        <v>-0.53317600125310571</v>
      </c>
      <c r="U116" s="3">
        <f t="shared" si="65"/>
        <v>-0.96820053997634681</v>
      </c>
      <c r="V116" s="3">
        <f t="shared" si="66"/>
        <v>0.37540402597972761</v>
      </c>
      <c r="W116" s="3">
        <f t="shared" si="67"/>
        <v>-0.8924595805349963</v>
      </c>
      <c r="X116" s="3">
        <f t="shared" si="68"/>
        <v>0.22252969988940738</v>
      </c>
      <c r="Y116" s="3">
        <f t="shared" si="69"/>
        <v>-0.52902672554343821</v>
      </c>
      <c r="Z116" s="3">
        <f t="shared" si="70"/>
        <v>-0.74770665928973423</v>
      </c>
      <c r="AA116" s="3">
        <f t="shared" si="71"/>
        <v>0.28991110680032883</v>
      </c>
      <c r="AB116" s="3">
        <f t="shared" si="72"/>
        <v>-0.68921462440956882</v>
      </c>
      <c r="AC116" s="3">
        <f t="shared" si="73"/>
        <v>0.17185173073867605</v>
      </c>
      <c r="AD116" s="3">
        <f t="shared" si="74"/>
        <v>-0.40854842493760096</v>
      </c>
      <c r="AE116" s="3">
        <f t="shared" si="50"/>
        <v>-0.36279766990666612</v>
      </c>
      <c r="AF116" s="3">
        <f t="shared" si="75"/>
        <v>0.14066890099271584</v>
      </c>
      <c r="AG116" s="3">
        <f t="shared" si="76"/>
        <v>-0.33441652109787845</v>
      </c>
      <c r="AH116" s="3">
        <f t="shared" si="77"/>
        <v>8.3384849802788791E-2</v>
      </c>
      <c r="AI116" s="3">
        <f t="shared" si="78"/>
        <v>-0.19823337771553151</v>
      </c>
      <c r="AJ116" s="3">
        <f t="shared" si="51"/>
        <v>0.10188781683859818</v>
      </c>
      <c r="AK116" s="3">
        <f t="shared" si="79"/>
        <v>-3.9505345287691403E-2</v>
      </c>
      <c r="AL116" s="3">
        <f t="shared" si="80"/>
        <v>9.3917276972003458E-2</v>
      </c>
      <c r="AM116" s="3">
        <f t="shared" si="81"/>
        <v>-2.3417736685040543E-2</v>
      </c>
      <c r="AN116" s="3">
        <f t="shared" si="82"/>
        <v>5.5671708379970528E-2</v>
      </c>
      <c r="AO116" s="3">
        <f t="shared" si="52"/>
        <v>0.54416893380564579</v>
      </c>
      <c r="AP116" s="3">
        <f t="shared" si="83"/>
        <v>-0.21099266126078176</v>
      </c>
      <c r="AQ116" s="3">
        <f t="shared" si="84"/>
        <v>0.50159936743706757</v>
      </c>
      <c r="AR116" s="3"/>
      <c r="AS116" s="2"/>
      <c r="AT116" s="2"/>
    </row>
    <row r="117" spans="1:46">
      <c r="A117">
        <f t="shared" si="85"/>
        <v>114</v>
      </c>
      <c r="B117" s="1">
        <f t="shared" si="43"/>
        <v>14.059962000000001</v>
      </c>
      <c r="C117" s="1">
        <f t="shared" si="44"/>
        <v>88.341346657903316</v>
      </c>
      <c r="D117" s="1">
        <f t="shared" si="45"/>
        <v>0.36790254779168813</v>
      </c>
      <c r="E117" s="1">
        <f t="shared" si="46"/>
        <v>0.92986435318727245</v>
      </c>
      <c r="F117" s="2">
        <f t="shared" si="47"/>
        <v>12055.062783490244</v>
      </c>
      <c r="G117" s="2">
        <f t="shared" si="48"/>
        <v>30468.865260887356</v>
      </c>
      <c r="H117" s="2">
        <f t="shared" si="49"/>
        <v>3013.8576715095091</v>
      </c>
      <c r="I117" s="3">
        <f t="shared" si="53"/>
        <v>0.7748571071028898</v>
      </c>
      <c r="J117" s="3">
        <f t="shared" si="54"/>
        <v>0.60040353642785926</v>
      </c>
      <c r="K117" s="3">
        <f t="shared" si="55"/>
        <v>-0.99818990895594539</v>
      </c>
      <c r="L117" s="3">
        <f t="shared" si="56"/>
        <v>-0.36723661068484553</v>
      </c>
      <c r="M117" s="3">
        <f t="shared" si="57"/>
        <v>-0.92818121404938259</v>
      </c>
      <c r="N117" s="3">
        <f t="shared" si="58"/>
        <v>-0.22049015976096223</v>
      </c>
      <c r="O117" s="3">
        <f t="shared" si="59"/>
        <v>-0.55728328336115307</v>
      </c>
      <c r="P117" s="3">
        <f t="shared" si="60"/>
        <v>-0.85888937934338749</v>
      </c>
      <c r="Q117" s="3">
        <f t="shared" si="61"/>
        <v>-0.31598759093165396</v>
      </c>
      <c r="R117" s="3">
        <f t="shared" si="62"/>
        <v>-0.79865061718255692</v>
      </c>
      <c r="S117" s="3">
        <f t="shared" si="63"/>
        <v>-0.18972006706268477</v>
      </c>
      <c r="T117" s="3">
        <f t="shared" si="64"/>
        <v>-0.47951265492669953</v>
      </c>
      <c r="U117" s="3">
        <f t="shared" si="65"/>
        <v>-0.52743201763145453</v>
      </c>
      <c r="V117" s="3">
        <f t="shared" si="66"/>
        <v>-0.19404358307352271</v>
      </c>
      <c r="W117" s="3">
        <f t="shared" si="67"/>
        <v>-0.49044023192513053</v>
      </c>
      <c r="X117" s="3">
        <f t="shared" si="68"/>
        <v>-0.11650445349847613</v>
      </c>
      <c r="Y117" s="3">
        <f t="shared" si="69"/>
        <v>-0.29446204965434791</v>
      </c>
      <c r="Z117" s="3">
        <f t="shared" si="70"/>
        <v>-7.7973818916160245E-2</v>
      </c>
      <c r="AA117" s="3">
        <f t="shared" si="71"/>
        <v>-2.868676664030308E-2</v>
      </c>
      <c r="AB117" s="3">
        <f t="shared" si="72"/>
        <v>-7.2505074692016849E-2</v>
      </c>
      <c r="AC117" s="3">
        <f t="shared" si="73"/>
        <v>-1.7223636139518706E-2</v>
      </c>
      <c r="AD117" s="3">
        <f t="shared" si="74"/>
        <v>-4.3532303254052995E-2</v>
      </c>
      <c r="AE117" s="3">
        <f t="shared" si="50"/>
        <v>0.38892923636622173</v>
      </c>
      <c r="AF117" s="3">
        <f t="shared" si="75"/>
        <v>0.14308805696980867</v>
      </c>
      <c r="AG117" s="3">
        <f t="shared" si="76"/>
        <v>0.36165143280929657</v>
      </c>
      <c r="AH117" s="3">
        <f t="shared" si="77"/>
        <v>8.5910575425264118E-2</v>
      </c>
      <c r="AI117" s="3">
        <f t="shared" si="78"/>
        <v>0.21713679921290399</v>
      </c>
      <c r="AJ117" s="3">
        <f t="shared" si="51"/>
        <v>0.76881828056826618</v>
      </c>
      <c r="AK117" s="3">
        <f t="shared" si="79"/>
        <v>0.28285020420989004</v>
      </c>
      <c r="AL117" s="3">
        <f t="shared" si="80"/>
        <v>0.71489671317916181</v>
      </c>
      <c r="AM117" s="3">
        <f t="shared" si="81"/>
        <v>0.16982426288696015</v>
      </c>
      <c r="AN117" s="3">
        <f t="shared" si="82"/>
        <v>0.42922651477342172</v>
      </c>
      <c r="AO117" s="3">
        <f t="shared" si="52"/>
        <v>0.97670183860744675</v>
      </c>
      <c r="AP117" s="3">
        <f t="shared" si="83"/>
        <v>0.35933109485650583</v>
      </c>
      <c r="AQ117" s="3">
        <f t="shared" si="84"/>
        <v>0.90820022341353324</v>
      </c>
      <c r="AR117" s="3"/>
      <c r="AS117" s="2"/>
      <c r="AT117" s="2"/>
    </row>
    <row r="118" spans="1:46">
      <c r="A118">
        <f t="shared" si="85"/>
        <v>115</v>
      </c>
      <c r="B118" s="1">
        <f t="shared" si="43"/>
        <v>14.183294999999999</v>
      </c>
      <c r="C118" s="1">
        <f t="shared" si="44"/>
        <v>89.116270751393685</v>
      </c>
      <c r="D118" s="1">
        <f t="shared" si="45"/>
        <v>0.91344746641372576</v>
      </c>
      <c r="E118" s="1">
        <f t="shared" si="46"/>
        <v>0.4069566636662254</v>
      </c>
      <c r="F118" s="2">
        <f t="shared" si="47"/>
        <v>29930.933131978552</v>
      </c>
      <c r="G118" s="2">
        <f t="shared" si="48"/>
        <v>13334.748998351208</v>
      </c>
      <c r="H118" s="2">
        <f t="shared" si="49"/>
        <v>7482.9616448612414</v>
      </c>
      <c r="I118" s="3">
        <f t="shared" si="53"/>
        <v>0.77974926161442548</v>
      </c>
      <c r="J118" s="3">
        <f t="shared" si="54"/>
        <v>0.60800891098824172</v>
      </c>
      <c r="K118" s="3">
        <f t="shared" si="55"/>
        <v>-0.68647997510677006</v>
      </c>
      <c r="L118" s="3">
        <f t="shared" si="56"/>
        <v>-0.62706339400503663</v>
      </c>
      <c r="M118" s="3">
        <f t="shared" si="57"/>
        <v>-0.27936760034312463</v>
      </c>
      <c r="N118" s="3">
        <f t="shared" si="58"/>
        <v>-0.38126013130959308</v>
      </c>
      <c r="O118" s="3">
        <f t="shared" si="59"/>
        <v>-0.16985799045002153</v>
      </c>
      <c r="P118" s="3">
        <f t="shared" si="60"/>
        <v>-0.27147589757755525</v>
      </c>
      <c r="Q118" s="3">
        <f t="shared" si="61"/>
        <v>-0.24797897083460996</v>
      </c>
      <c r="R118" s="3">
        <f t="shared" si="62"/>
        <v>-0.1104789255439558</v>
      </c>
      <c r="S118" s="3">
        <f t="shared" si="63"/>
        <v>-0.15077342400513616</v>
      </c>
      <c r="T118" s="3">
        <f t="shared" si="64"/>
        <v>-6.717217120713162E-2</v>
      </c>
      <c r="U118" s="3">
        <f t="shared" si="65"/>
        <v>0.20531415089030955</v>
      </c>
      <c r="V118" s="3">
        <f t="shared" si="66"/>
        <v>0.18754369094963866</v>
      </c>
      <c r="W118" s="3">
        <f t="shared" si="67"/>
        <v>8.355396184978435E-2</v>
      </c>
      <c r="X118" s="3">
        <f t="shared" si="68"/>
        <v>0.11402823529700516</v>
      </c>
      <c r="Y118" s="3">
        <f t="shared" si="69"/>
        <v>5.0801553353040478E-2</v>
      </c>
      <c r="Z118" s="3">
        <f t="shared" si="70"/>
        <v>0.63537616834916322</v>
      </c>
      <c r="AA118" s="3">
        <f t="shared" si="71"/>
        <v>0.58038275119820404</v>
      </c>
      <c r="AB118" s="3">
        <f t="shared" si="72"/>
        <v>0.25857056564440545</v>
      </c>
      <c r="AC118" s="3">
        <f t="shared" si="73"/>
        <v>0.35287788451237967</v>
      </c>
      <c r="AD118" s="3">
        <f t="shared" si="74"/>
        <v>0.15721320803106861</v>
      </c>
      <c r="AE118" s="3">
        <f t="shared" si="50"/>
        <v>0.92083111820818764</v>
      </c>
      <c r="AF118" s="3">
        <f t="shared" si="75"/>
        <v>0.84113085192218706</v>
      </c>
      <c r="AG118" s="3">
        <f t="shared" si="76"/>
        <v>0.37473835966604369</v>
      </c>
      <c r="AH118" s="3">
        <f t="shared" si="77"/>
        <v>0.51141505327582093</v>
      </c>
      <c r="AI118" s="3">
        <f t="shared" si="78"/>
        <v>0.22784426196607124</v>
      </c>
      <c r="AJ118" s="3">
        <f t="shared" si="51"/>
        <v>0.99671149729798736</v>
      </c>
      <c r="AK118" s="3">
        <f t="shared" si="79"/>
        <v>0.91044359195227764</v>
      </c>
      <c r="AL118" s="3">
        <f t="shared" si="80"/>
        <v>0.40561838557815699</v>
      </c>
      <c r="AM118" s="3">
        <f t="shared" si="81"/>
        <v>0.55355781685912742</v>
      </c>
      <c r="AN118" s="3">
        <f t="shared" si="82"/>
        <v>0.24661959289218396</v>
      </c>
      <c r="AO118" s="3">
        <f t="shared" si="52"/>
        <v>0.84574747452457399</v>
      </c>
      <c r="AP118" s="3">
        <f t="shared" si="83"/>
        <v>0.77254588783027922</v>
      </c>
      <c r="AQ118" s="3">
        <f t="shared" si="84"/>
        <v>0.34418257053665657</v>
      </c>
      <c r="AR118" s="3"/>
      <c r="AS118" s="2"/>
      <c r="AT118" s="2"/>
    </row>
    <row r="119" spans="1:46">
      <c r="A119">
        <f t="shared" si="85"/>
        <v>116</v>
      </c>
      <c r="B119" s="1">
        <f t="shared" si="43"/>
        <v>14.306628</v>
      </c>
      <c r="C119" s="1">
        <f t="shared" si="44"/>
        <v>89.891194844884069</v>
      </c>
      <c r="D119" s="1">
        <f t="shared" si="45"/>
        <v>0.93736664734999697</v>
      </c>
      <c r="E119" s="1">
        <f t="shared" si="46"/>
        <v>-0.34834432453511627</v>
      </c>
      <c r="F119" s="2">
        <f t="shared" si="47"/>
        <v>30714.69293371735</v>
      </c>
      <c r="G119" s="2">
        <f t="shared" si="48"/>
        <v>-11414.198482042155</v>
      </c>
      <c r="H119" s="2">
        <f t="shared" si="49"/>
        <v>7678.9075750911752</v>
      </c>
      <c r="I119" s="3">
        <f t="shared" si="53"/>
        <v>0.78459426524636589</v>
      </c>
      <c r="J119" s="3">
        <f t="shared" si="54"/>
        <v>0.61558816105748471</v>
      </c>
      <c r="K119" s="3">
        <f t="shared" si="55"/>
        <v>-2.6548214557932724E-3</v>
      </c>
      <c r="L119" s="3">
        <f t="shared" si="56"/>
        <v>-2.4885410873297779E-3</v>
      </c>
      <c r="M119" s="3">
        <f t="shared" si="57"/>
        <v>9.2479198677964151E-4</v>
      </c>
      <c r="N119" s="3">
        <f t="shared" si="58"/>
        <v>-1.5319164316653314E-3</v>
      </c>
      <c r="O119" s="3">
        <f t="shared" si="59"/>
        <v>5.6929099850237721E-4</v>
      </c>
      <c r="P119" s="3">
        <f t="shared" si="60"/>
        <v>0.46465489533944049</v>
      </c>
      <c r="Q119" s="3">
        <f t="shared" si="61"/>
        <v>0.43555200141909506</v>
      </c>
      <c r="R119" s="3">
        <f t="shared" si="62"/>
        <v>-0.16185989565895254</v>
      </c>
      <c r="S119" s="3">
        <f t="shared" si="63"/>
        <v>0.26812065559848769</v>
      </c>
      <c r="T119" s="3">
        <f t="shared" si="64"/>
        <v>-9.9639035517650937E-2</v>
      </c>
      <c r="U119" s="3">
        <f t="shared" si="65"/>
        <v>0.82440179945160219</v>
      </c>
      <c r="V119" s="3">
        <f t="shared" si="66"/>
        <v>0.7727667508212529</v>
      </c>
      <c r="W119" s="3">
        <f t="shared" si="67"/>
        <v>-0.28717568797550275</v>
      </c>
      <c r="X119" s="3">
        <f t="shared" si="68"/>
        <v>0.47570606306442259</v>
      </c>
      <c r="Y119" s="3">
        <f t="shared" si="69"/>
        <v>-0.17678195366125776</v>
      </c>
      <c r="Z119" s="3">
        <f t="shared" si="70"/>
        <v>0.99330819543735915</v>
      </c>
      <c r="AA119" s="3">
        <f t="shared" si="71"/>
        <v>0.93109397294239293</v>
      </c>
      <c r="AB119" s="3">
        <f t="shared" si="72"/>
        <v>-0.34601327239482216</v>
      </c>
      <c r="AC119" s="3">
        <f t="shared" si="73"/>
        <v>0.57317042657531503</v>
      </c>
      <c r="AD119" s="3">
        <f t="shared" si="74"/>
        <v>-0.21300167405501108</v>
      </c>
      <c r="AE119" s="3">
        <f t="shared" si="50"/>
        <v>0.9322739958670575</v>
      </c>
      <c r="AF119" s="3">
        <f t="shared" si="75"/>
        <v>0.87388254991748859</v>
      </c>
      <c r="AG119" s="3">
        <f t="shared" si="76"/>
        <v>-0.3247523553719639</v>
      </c>
      <c r="AH119" s="3">
        <f t="shared" si="77"/>
        <v>0.53795175188393241</v>
      </c>
      <c r="AI119" s="3">
        <f t="shared" si="78"/>
        <v>-0.19991370524251406</v>
      </c>
      <c r="AJ119" s="3">
        <f t="shared" si="51"/>
        <v>0.6554279880223759</v>
      </c>
      <c r="AK119" s="3">
        <f t="shared" si="79"/>
        <v>0.61437633571188843</v>
      </c>
      <c r="AL119" s="3">
        <f t="shared" si="80"/>
        <v>-0.22831461976906481</v>
      </c>
      <c r="AM119" s="3">
        <f t="shared" si="81"/>
        <v>0.37820279869811729</v>
      </c>
      <c r="AN119" s="3">
        <f t="shared" si="82"/>
        <v>-0.14054777692617743</v>
      </c>
      <c r="AO119" s="3">
        <f t="shared" si="52"/>
        <v>0.22685716546031454</v>
      </c>
      <c r="AP119" s="3">
        <f t="shared" si="83"/>
        <v>0.21264834061485857</v>
      </c>
      <c r="AQ119" s="3">
        <f t="shared" si="84"/>
        <v>-7.9024406068224376E-2</v>
      </c>
      <c r="AR119" s="3"/>
      <c r="AS119" s="2"/>
      <c r="AT119" s="2"/>
    </row>
    <row r="120" spans="1:46">
      <c r="A120">
        <f t="shared" si="85"/>
        <v>117</v>
      </c>
      <c r="B120" s="1">
        <f t="shared" si="43"/>
        <v>14.429961</v>
      </c>
      <c r="C120" s="1">
        <f t="shared" si="44"/>
        <v>90.666118938374453</v>
      </c>
      <c r="D120" s="1">
        <f t="shared" si="45"/>
        <v>0.42600100142516095</v>
      </c>
      <c r="E120" s="1">
        <f t="shared" si="46"/>
        <v>-0.90472269054377097</v>
      </c>
      <c r="F120" s="2">
        <f t="shared" si="47"/>
        <v>13958.774813698248</v>
      </c>
      <c r="G120" s="2">
        <f t="shared" si="48"/>
        <v>-29645.048401047745</v>
      </c>
      <c r="H120" s="2">
        <f t="shared" si="49"/>
        <v>3489.8002036749185</v>
      </c>
      <c r="I120" s="3">
        <f t="shared" si="53"/>
        <v>0.7893918250248102</v>
      </c>
      <c r="J120" s="3">
        <f t="shared" si="54"/>
        <v>0.62313945341600052</v>
      </c>
      <c r="K120" s="3">
        <f t="shared" si="55"/>
        <v>0.6826094120014129</v>
      </c>
      <c r="L120" s="3">
        <f t="shared" si="56"/>
        <v>0.29079229309484217</v>
      </c>
      <c r="M120" s="3">
        <f t="shared" si="57"/>
        <v>-0.61757222381641974</v>
      </c>
      <c r="N120" s="3">
        <f t="shared" si="58"/>
        <v>0.18120415057670539</v>
      </c>
      <c r="O120" s="3">
        <f t="shared" si="59"/>
        <v>-0.38483361799386773</v>
      </c>
      <c r="P120" s="3">
        <f t="shared" si="60"/>
        <v>0.94624291939657545</v>
      </c>
      <c r="Q120" s="3">
        <f t="shared" si="61"/>
        <v>0.40310043125440898</v>
      </c>
      <c r="R120" s="3">
        <f t="shared" si="62"/>
        <v>-0.85608743994446235</v>
      </c>
      <c r="S120" s="3">
        <f t="shared" si="63"/>
        <v>0.25118778240362649</v>
      </c>
      <c r="T120" s="3">
        <f t="shared" si="64"/>
        <v>-0.53346185940329538</v>
      </c>
      <c r="U120" s="3">
        <f t="shared" si="65"/>
        <v>0.98711423971817536</v>
      </c>
      <c r="V120" s="3">
        <f t="shared" si="66"/>
        <v>0.42051165464097912</v>
      </c>
      <c r="W120" s="3">
        <f t="shared" si="67"/>
        <v>-0.89306465083189657</v>
      </c>
      <c r="X120" s="3">
        <f t="shared" si="68"/>
        <v>0.26203740262803771</v>
      </c>
      <c r="Y120" s="3">
        <f t="shared" si="69"/>
        <v>-0.55650381838453944</v>
      </c>
      <c r="Z120" s="3">
        <f t="shared" si="70"/>
        <v>0.79560154698813512</v>
      </c>
      <c r="AA120" s="3">
        <f t="shared" si="71"/>
        <v>0.33892705575235282</v>
      </c>
      <c r="AB120" s="3">
        <f t="shared" si="72"/>
        <v>-0.71979877219189203</v>
      </c>
      <c r="AC120" s="3">
        <f t="shared" si="73"/>
        <v>0.21119882026941547</v>
      </c>
      <c r="AD120" s="3">
        <f t="shared" si="74"/>
        <v>-0.44853501347316388</v>
      </c>
      <c r="AE120" s="3">
        <f t="shared" si="50"/>
        <v>0.41679028957323672</v>
      </c>
      <c r="AF120" s="3">
        <f t="shared" si="75"/>
        <v>0.17755308074248166</v>
      </c>
      <c r="AG120" s="3">
        <f t="shared" si="76"/>
        <v>-0.37707963217521612</v>
      </c>
      <c r="AH120" s="3">
        <f t="shared" si="77"/>
        <v>0.11064032968619703</v>
      </c>
      <c r="AI120" s="3">
        <f t="shared" si="78"/>
        <v>-0.23497319588797069</v>
      </c>
      <c r="AJ120" s="3">
        <f t="shared" si="51"/>
        <v>-6.0140715480622303E-2</v>
      </c>
      <c r="AK120" s="3">
        <f t="shared" si="79"/>
        <v>-2.5620005021170782E-2</v>
      </c>
      <c r="AL120" s="3">
        <f t="shared" si="80"/>
        <v>5.4410669920856025E-2</v>
      </c>
      <c r="AM120" s="3">
        <f t="shared" si="81"/>
        <v>-1.5964835925407549E-2</v>
      </c>
      <c r="AN120" s="3">
        <f t="shared" si="82"/>
        <v>3.3905435114480652E-2</v>
      </c>
      <c r="AO120" s="3">
        <f t="shared" si="52"/>
        <v>-0.52291354081339703</v>
      </c>
      <c r="AP120" s="3">
        <f t="shared" si="83"/>
        <v>-0.2227616920452839</v>
      </c>
      <c r="AQ120" s="3">
        <f t="shared" si="84"/>
        <v>0.47309174556646655</v>
      </c>
      <c r="AR120" s="3"/>
      <c r="AS120" s="2"/>
      <c r="AT120" s="2"/>
    </row>
    <row r="121" spans="1:46">
      <c r="A121">
        <f t="shared" si="85"/>
        <v>118</v>
      </c>
      <c r="B121" s="1">
        <f t="shared" si="43"/>
        <v>14.553293999999999</v>
      </c>
      <c r="C121" s="1">
        <f t="shared" si="44"/>
        <v>91.441043031864822</v>
      </c>
      <c r="D121" s="1">
        <f t="shared" si="45"/>
        <v>-0.32863324482290557</v>
      </c>
      <c r="E121" s="1">
        <f t="shared" si="46"/>
        <v>-0.94445761704650788</v>
      </c>
      <c r="F121" s="2">
        <f t="shared" si="47"/>
        <v>-10768.325533112147</v>
      </c>
      <c r="G121" s="2">
        <f t="shared" si="48"/>
        <v>-30947.042737762924</v>
      </c>
      <c r="H121" s="2">
        <f t="shared" si="49"/>
        <v>-2692.1635415892424</v>
      </c>
      <c r="I121" s="3">
        <f t="shared" si="53"/>
        <v>0.79414165084475341</v>
      </c>
      <c r="J121" s="3">
        <f t="shared" si="54"/>
        <v>0.63066096160643026</v>
      </c>
      <c r="K121" s="3">
        <f t="shared" si="55"/>
        <v>0.99785651371901085</v>
      </c>
      <c r="L121" s="3">
        <f t="shared" si="56"/>
        <v>-0.3279288239711507</v>
      </c>
      <c r="M121" s="3">
        <f t="shared" si="57"/>
        <v>-0.94243318510139296</v>
      </c>
      <c r="N121" s="3">
        <f t="shared" si="58"/>
        <v>-0.20681190746411171</v>
      </c>
      <c r="O121" s="3">
        <f t="shared" si="59"/>
        <v>-0.59435581876585541</v>
      </c>
      <c r="P121" s="3">
        <f t="shared" si="60"/>
        <v>0.90946926227247715</v>
      </c>
      <c r="Q121" s="3">
        <f t="shared" si="61"/>
        <v>-0.29888183472729829</v>
      </c>
      <c r="R121" s="3">
        <f t="shared" si="62"/>
        <v>-0.85895517222290929</v>
      </c>
      <c r="S121" s="3">
        <f t="shared" si="63"/>
        <v>-0.18849310529581209</v>
      </c>
      <c r="T121" s="3">
        <f t="shared" si="64"/>
        <v>-0.5417094948909168</v>
      </c>
      <c r="U121" s="3">
        <f t="shared" si="65"/>
        <v>0.60337655449770145</v>
      </c>
      <c r="V121" s="3">
        <f t="shared" si="66"/>
        <v>-0.19828959495464435</v>
      </c>
      <c r="W121" s="3">
        <f t="shared" si="67"/>
        <v>-0.5698635828426315</v>
      </c>
      <c r="X121" s="3">
        <f t="shared" si="68"/>
        <v>-0.12505350663064557</v>
      </c>
      <c r="Y121" s="3">
        <f t="shared" si="69"/>
        <v>-0.35939071514001963</v>
      </c>
      <c r="Z121" s="3">
        <f t="shared" si="70"/>
        <v>0.15284975358330638</v>
      </c>
      <c r="AA121" s="3">
        <f t="shared" si="71"/>
        <v>-5.023151049046351E-2</v>
      </c>
      <c r="AB121" s="3">
        <f t="shared" si="72"/>
        <v>-0.14436011403543547</v>
      </c>
      <c r="AC121" s="3">
        <f t="shared" si="73"/>
        <v>-3.1679052708859207E-2</v>
      </c>
      <c r="AD121" s="3">
        <f t="shared" si="74"/>
        <v>-9.1042288335201671E-2</v>
      </c>
      <c r="AE121" s="3">
        <f t="shared" si="50"/>
        <v>-0.33426566745703573</v>
      </c>
      <c r="AF121" s="3">
        <f t="shared" si="75"/>
        <v>0.10985081092929996</v>
      </c>
      <c r="AG121" s="3">
        <f t="shared" si="76"/>
        <v>0.31569975574693243</v>
      </c>
      <c r="AH121" s="3">
        <f t="shared" si="77"/>
        <v>6.9278618053918467E-2</v>
      </c>
      <c r="AI121" s="3">
        <f t="shared" si="78"/>
        <v>0.19909951153827554</v>
      </c>
      <c r="AJ121" s="3">
        <f t="shared" si="51"/>
        <v>-0.74136578431132416</v>
      </c>
      <c r="AK121" s="3">
        <f t="shared" si="79"/>
        <v>0.2436374432989088</v>
      </c>
      <c r="AL121" s="3">
        <f t="shared" si="80"/>
        <v>0.70018856201048851</v>
      </c>
      <c r="AM121" s="3">
        <f t="shared" si="81"/>
        <v>0.15365262427422194</v>
      </c>
      <c r="AN121" s="3">
        <f t="shared" si="82"/>
        <v>0.44158159182335832</v>
      </c>
      <c r="AO121" s="3">
        <f t="shared" si="52"/>
        <v>-0.97100044622945025</v>
      </c>
      <c r="AP121" s="3">
        <f t="shared" si="83"/>
        <v>0.31910302736887347</v>
      </c>
      <c r="AQ121" s="3">
        <f t="shared" si="84"/>
        <v>0.91706876759696243</v>
      </c>
      <c r="AR121" s="3"/>
      <c r="AS121" s="2"/>
      <c r="AT121" s="2"/>
    </row>
    <row r="122" spans="1:46">
      <c r="A122">
        <f t="shared" si="85"/>
        <v>119</v>
      </c>
      <c r="B122" s="1">
        <f t="shared" si="43"/>
        <v>14.676627</v>
      </c>
      <c r="C122" s="1">
        <f t="shared" si="44"/>
        <v>92.215967125355206</v>
      </c>
      <c r="D122" s="1">
        <f t="shared" si="45"/>
        <v>-0.89560091465379554</v>
      </c>
      <c r="E122" s="1">
        <f t="shared" si="46"/>
        <v>-0.44485840631743134</v>
      </c>
      <c r="F122" s="2">
        <f t="shared" si="47"/>
        <v>-29346.155170460919</v>
      </c>
      <c r="G122" s="2">
        <f t="shared" si="48"/>
        <v>-14576.675399803273</v>
      </c>
      <c r="H122" s="2">
        <f t="shared" si="49"/>
        <v>-7336.7626928438931</v>
      </c>
      <c r="I122" s="3">
        <f t="shared" si="53"/>
        <v>0.7988434554876287</v>
      </c>
      <c r="J122" s="3">
        <f t="shared" si="54"/>
        <v>0.63815086637541496</v>
      </c>
      <c r="K122" s="3">
        <f t="shared" si="55"/>
        <v>0.77220277433711737</v>
      </c>
      <c r="L122" s="3">
        <f t="shared" si="56"/>
        <v>-0.69158551099452081</v>
      </c>
      <c r="M122" s="3">
        <f t="shared" si="57"/>
        <v>-0.34352089554550913</v>
      </c>
      <c r="N122" s="3">
        <f t="shared" si="58"/>
        <v>-0.44133589301383752</v>
      </c>
      <c r="O122" s="3">
        <f t="shared" si="59"/>
        <v>-0.21921815711042505</v>
      </c>
      <c r="P122" s="3">
        <f t="shared" si="60"/>
        <v>0.37447891458138005</v>
      </c>
      <c r="Q122" s="3">
        <f t="shared" si="61"/>
        <v>-0.33538365841764456</v>
      </c>
      <c r="R122" s="3">
        <f t="shared" si="62"/>
        <v>-0.16659009314015424</v>
      </c>
      <c r="S122" s="3">
        <f t="shared" si="63"/>
        <v>-0.21402537218737608</v>
      </c>
      <c r="T122" s="3">
        <f t="shared" si="64"/>
        <v>-0.10630961226695049</v>
      </c>
      <c r="U122" s="3">
        <f t="shared" si="65"/>
        <v>-0.1143804170977078</v>
      </c>
      <c r="V122" s="3">
        <f t="shared" si="66"/>
        <v>0.10243920617118973</v>
      </c>
      <c r="W122" s="3">
        <f t="shared" si="67"/>
        <v>5.0883090064009366E-2</v>
      </c>
      <c r="X122" s="3">
        <f t="shared" si="68"/>
        <v>6.5371668168954497E-2</v>
      </c>
      <c r="Y122" s="3">
        <f t="shared" si="69"/>
        <v>3.2471088008205848E-2</v>
      </c>
      <c r="Z122" s="3">
        <f t="shared" si="70"/>
        <v>-0.57540343307223907</v>
      </c>
      <c r="AA122" s="3">
        <f t="shared" si="71"/>
        <v>0.5153318409544313</v>
      </c>
      <c r="AB122" s="3">
        <f t="shared" si="72"/>
        <v>0.25597305422609506</v>
      </c>
      <c r="AC122" s="3">
        <f t="shared" si="73"/>
        <v>0.32885946077590789</v>
      </c>
      <c r="AD122" s="3">
        <f t="shared" si="74"/>
        <v>0.16334942632314361</v>
      </c>
      <c r="AE122" s="3">
        <f t="shared" si="50"/>
        <v>-0.89639276122754796</v>
      </c>
      <c r="AF122" s="3">
        <f t="shared" si="75"/>
        <v>0.80281017684443334</v>
      </c>
      <c r="AG122" s="3">
        <f t="shared" si="76"/>
        <v>0.39876785519416874</v>
      </c>
      <c r="AH122" s="3">
        <f t="shared" si="77"/>
        <v>0.51231400988827525</v>
      </c>
      <c r="AI122" s="3">
        <f t="shared" si="78"/>
        <v>0.25447405227482484</v>
      </c>
      <c r="AJ122" s="3">
        <f t="shared" si="51"/>
        <v>-0.99923048152934957</v>
      </c>
      <c r="AK122" s="3">
        <f t="shared" si="79"/>
        <v>0.89491173320763806</v>
      </c>
      <c r="AL122" s="3">
        <f t="shared" si="80"/>
        <v>0.44451607955694594</v>
      </c>
      <c r="AM122" s="3">
        <f t="shared" si="81"/>
        <v>0.57108869787597838</v>
      </c>
      <c r="AN122" s="3">
        <f t="shared" si="82"/>
        <v>0.28366832128706793</v>
      </c>
      <c r="AO122" s="3">
        <f t="shared" si="52"/>
        <v>-0.85888937934338394</v>
      </c>
      <c r="AP122" s="3">
        <f t="shared" si="83"/>
        <v>0.7692221137263654</v>
      </c>
      <c r="AQ122" s="3">
        <f t="shared" si="84"/>
        <v>0.38208416049766553</v>
      </c>
      <c r="AR122" s="3"/>
      <c r="AS122" s="2"/>
      <c r="AT122" s="2"/>
    </row>
    <row r="123" spans="1:46">
      <c r="A123">
        <f t="shared" si="85"/>
        <v>120</v>
      </c>
      <c r="B123" s="1">
        <f t="shared" si="43"/>
        <v>14.79996</v>
      </c>
      <c r="C123" s="1">
        <f t="shared" si="44"/>
        <v>92.99089121884559</v>
      </c>
      <c r="D123" s="1">
        <f t="shared" si="45"/>
        <v>-0.95113415069892093</v>
      </c>
      <c r="E123" s="1">
        <f t="shared" si="46"/>
        <v>0.3087779580446805</v>
      </c>
      <c r="F123" s="2">
        <f t="shared" si="47"/>
        <v>-31165.812715951542</v>
      </c>
      <c r="G123" s="2">
        <f t="shared" si="48"/>
        <v>10117.727351250045</v>
      </c>
      <c r="H123" s="2">
        <f t="shared" si="49"/>
        <v>-7791.6909625255603</v>
      </c>
      <c r="I123" s="3">
        <f t="shared" si="53"/>
        <v>0.80349695463867565</v>
      </c>
      <c r="J123" s="3">
        <f t="shared" si="54"/>
        <v>0.64560735611362596</v>
      </c>
      <c r="K123" s="3">
        <f t="shared" si="55"/>
        <v>0.12796667928004851</v>
      </c>
      <c r="L123" s="3">
        <f t="shared" si="56"/>
        <v>-0.12171347881479014</v>
      </c>
      <c r="M123" s="3">
        <f t="shared" si="57"/>
        <v>3.9513289925851902E-2</v>
      </c>
      <c r="N123" s="3">
        <f t="shared" si="58"/>
        <v>-7.8579117261008483E-2</v>
      </c>
      <c r="O123" s="3">
        <f t="shared" si="59"/>
        <v>2.5510070640380418E-2</v>
      </c>
      <c r="P123" s="3">
        <f t="shared" si="60"/>
        <v>-0.36565486483346898</v>
      </c>
      <c r="Q123" s="3">
        <f t="shared" si="61"/>
        <v>0.34778682931231025</v>
      </c>
      <c r="R123" s="3">
        <f t="shared" si="62"/>
        <v>-0.11290616251238221</v>
      </c>
      <c r="S123" s="3">
        <f t="shared" si="63"/>
        <v>0.22453373536346152</v>
      </c>
      <c r="T123" s="3">
        <f t="shared" si="64"/>
        <v>-7.2893049068554469E-2</v>
      </c>
      <c r="U123" s="3">
        <f t="shared" si="65"/>
        <v>-0.7688182805682684</v>
      </c>
      <c r="V123" s="3">
        <f t="shared" si="66"/>
        <v>0.73124932233010465</v>
      </c>
      <c r="W123" s="3">
        <f t="shared" si="67"/>
        <v>-0.23739413878129217</v>
      </c>
      <c r="X123" s="3">
        <f t="shared" si="68"/>
        <v>0.47209994164941954</v>
      </c>
      <c r="Y123" s="3">
        <f t="shared" si="69"/>
        <v>-0.15326340229546123</v>
      </c>
      <c r="Z123" s="3">
        <f t="shared" si="70"/>
        <v>-0.98178632517014175</v>
      </c>
      <c r="AA123" s="3">
        <f t="shared" si="71"/>
        <v>0.93381050255851739</v>
      </c>
      <c r="AB123" s="3">
        <f t="shared" si="72"/>
        <v>-0.3031539767222271</v>
      </c>
      <c r="AC123" s="3">
        <f t="shared" si="73"/>
        <v>0.60287492966794076</v>
      </c>
      <c r="AD123" s="3">
        <f t="shared" si="74"/>
        <v>-0.19571843740696873</v>
      </c>
      <c r="AE123" s="3">
        <f t="shared" si="50"/>
        <v>-0.9518735496763584</v>
      </c>
      <c r="AF123" s="3">
        <f t="shared" si="75"/>
        <v>0.90535944024419024</v>
      </c>
      <c r="AG123" s="3">
        <f t="shared" si="76"/>
        <v>-0.29391757098580767</v>
      </c>
      <c r="AH123" s="3">
        <f t="shared" si="77"/>
        <v>0.58450671454856407</v>
      </c>
      <c r="AI123" s="3">
        <f t="shared" si="78"/>
        <v>-0.18975534591948628</v>
      </c>
      <c r="AJ123" s="3">
        <f t="shared" si="51"/>
        <v>-0.68647997510677539</v>
      </c>
      <c r="AK123" s="3">
        <f t="shared" si="79"/>
        <v>0.65293454809499918</v>
      </c>
      <c r="AL123" s="3">
        <f t="shared" si="80"/>
        <v>-0.2119698849520332</v>
      </c>
      <c r="AM123" s="3">
        <f t="shared" si="81"/>
        <v>0.42153934731085757</v>
      </c>
      <c r="AN123" s="3">
        <f t="shared" si="82"/>
        <v>-0.13684931699959163</v>
      </c>
      <c r="AO123" s="3">
        <f t="shared" si="52"/>
        <v>-0.25126042612845467</v>
      </c>
      <c r="AP123" s="3">
        <f t="shared" si="83"/>
        <v>0.23898237200993669</v>
      </c>
      <c r="AQ123" s="3">
        <f t="shared" si="84"/>
        <v>-7.7583681317380526E-2</v>
      </c>
      <c r="AR123" s="3"/>
      <c r="AS123" s="2"/>
      <c r="AT123" s="2"/>
    </row>
    <row r="124" spans="1:46">
      <c r="A124">
        <f t="shared" si="85"/>
        <v>121</v>
      </c>
      <c r="B124" s="1">
        <f t="shared" si="43"/>
        <v>14.923292999999999</v>
      </c>
      <c r="C124" s="1">
        <f t="shared" si="44"/>
        <v>93.76581531233596</v>
      </c>
      <c r="D124" s="1">
        <f t="shared" si="45"/>
        <v>-0.46352060355319241</v>
      </c>
      <c r="E124" s="1">
        <f t="shared" si="46"/>
        <v>0.88608614145673459</v>
      </c>
      <c r="F124" s="2">
        <f t="shared" si="47"/>
        <v>-15188.179616627456</v>
      </c>
      <c r="G124" s="2">
        <f t="shared" si="48"/>
        <v>29034.384597112821</v>
      </c>
      <c r="H124" s="2">
        <f t="shared" si="49"/>
        <v>-3797.1607843077522</v>
      </c>
      <c r="I124" s="3">
        <f t="shared" si="53"/>
        <v>0.8081018669041321</v>
      </c>
      <c r="J124" s="3">
        <f t="shared" si="54"/>
        <v>0.65302862729394362</v>
      </c>
      <c r="K124" s="3">
        <f t="shared" si="55"/>
        <v>-0.58563538523620173</v>
      </c>
      <c r="L124" s="3">
        <f t="shared" si="56"/>
        <v>0.27145406722679055</v>
      </c>
      <c r="M124" s="3">
        <f t="shared" si="57"/>
        <v>-0.51892339880447436</v>
      </c>
      <c r="N124" s="3">
        <f t="shared" si="58"/>
        <v>0.17726727689446894</v>
      </c>
      <c r="O124" s="3">
        <f t="shared" si="59"/>
        <v>-0.33887183479199351</v>
      </c>
      <c r="P124" s="3">
        <f t="shared" si="60"/>
        <v>-0.9054791184575911</v>
      </c>
      <c r="Q124" s="3">
        <f t="shared" si="61"/>
        <v>0.41970822749227521</v>
      </c>
      <c r="R124" s="3">
        <f t="shared" si="62"/>
        <v>-0.80233249824373243</v>
      </c>
      <c r="S124" s="3">
        <f t="shared" si="63"/>
        <v>0.27408148766325469</v>
      </c>
      <c r="T124" s="3">
        <f t="shared" si="64"/>
        <v>-0.523946089961425</v>
      </c>
      <c r="U124" s="3">
        <f t="shared" si="65"/>
        <v>-0.99765105296728585</v>
      </c>
      <c r="V124" s="3">
        <f t="shared" si="66"/>
        <v>0.46243181820687429</v>
      </c>
      <c r="W124" s="3">
        <f t="shared" si="67"/>
        <v>-0.88400477204403061</v>
      </c>
      <c r="X124" s="3">
        <f t="shared" si="68"/>
        <v>0.30198121546067763</v>
      </c>
      <c r="Y124" s="3">
        <f t="shared" si="69"/>
        <v>-0.57728042280920888</v>
      </c>
      <c r="Z124" s="3">
        <f t="shared" si="70"/>
        <v>-0.83897566799093082</v>
      </c>
      <c r="AA124" s="3">
        <f t="shared" si="71"/>
        <v>0.38888250799359902</v>
      </c>
      <c r="AB124" s="3">
        <f t="shared" si="72"/>
        <v>-0.74340471242617034</v>
      </c>
      <c r="AC124" s="3">
        <f t="shared" si="73"/>
        <v>0.25395141037368607</v>
      </c>
      <c r="AD124" s="3">
        <f t="shared" si="74"/>
        <v>-0.48546455887951095</v>
      </c>
      <c r="AE124" s="3">
        <f t="shared" si="50"/>
        <v>-0.46934997448377164</v>
      </c>
      <c r="AF124" s="3">
        <f t="shared" si="75"/>
        <v>0.2175533834503933</v>
      </c>
      <c r="AG124" s="3">
        <f t="shared" si="76"/>
        <v>-0.41588450788314202</v>
      </c>
      <c r="AH124" s="3">
        <f t="shared" si="77"/>
        <v>0.14206858735776329</v>
      </c>
      <c r="AI124" s="3">
        <f t="shared" si="78"/>
        <v>-0.27158448929574552</v>
      </c>
      <c r="AJ124" s="3">
        <f t="shared" si="51"/>
        <v>1.8288106871755132E-2</v>
      </c>
      <c r="AK124" s="3">
        <f t="shared" si="79"/>
        <v>-8.4769143350412243E-3</v>
      </c>
      <c r="AL124" s="3">
        <f t="shared" si="80"/>
        <v>1.6204838052541897E-2</v>
      </c>
      <c r="AM124" s="3">
        <f t="shared" si="81"/>
        <v>-5.5356677319003235E-3</v>
      </c>
      <c r="AN124" s="3">
        <f t="shared" si="82"/>
        <v>1.0582223148972099E-2</v>
      </c>
      <c r="AO124" s="3">
        <f t="shared" si="52"/>
        <v>0.50132786442095512</v>
      </c>
      <c r="AP124" s="3">
        <f t="shared" si="83"/>
        <v>-0.23237579429443414</v>
      </c>
      <c r="AQ124" s="3">
        <f t="shared" si="84"/>
        <v>0.4442196729895091</v>
      </c>
      <c r="AR124" s="3"/>
      <c r="AS124" s="2"/>
      <c r="AT124" s="2"/>
    </row>
    <row r="125" spans="1:46">
      <c r="A125">
        <f t="shared" si="85"/>
        <v>122</v>
      </c>
      <c r="B125" s="1">
        <f t="shared" si="43"/>
        <v>15.046626</v>
      </c>
      <c r="C125" s="1">
        <f t="shared" si="44"/>
        <v>94.540739405826343</v>
      </c>
      <c r="D125" s="1">
        <f t="shared" si="45"/>
        <v>0.28878717686931321</v>
      </c>
      <c r="E125" s="1">
        <f t="shared" si="46"/>
        <v>0.95739331858742982</v>
      </c>
      <c r="F125" s="2">
        <f t="shared" si="47"/>
        <v>9462.6894244767864</v>
      </c>
      <c r="G125" s="2">
        <f t="shared" si="48"/>
        <v>31370.906870154315</v>
      </c>
      <c r="H125" s="2">
        <f t="shared" si="49"/>
        <v>2365.7445529134138</v>
      </c>
      <c r="I125" s="3">
        <f t="shared" si="53"/>
        <v>0.81265791382825026</v>
      </c>
      <c r="J125" s="3">
        <f t="shared" si="54"/>
        <v>0.66041288490768379</v>
      </c>
      <c r="K125" s="3">
        <f t="shared" si="55"/>
        <v>-0.98178632517014175</v>
      </c>
      <c r="L125" s="3">
        <f t="shared" si="56"/>
        <v>-0.28352730113478281</v>
      </c>
      <c r="M125" s="3">
        <f t="shared" si="57"/>
        <v>-0.93995566799839947</v>
      </c>
      <c r="N125" s="3">
        <f t="shared" si="58"/>
        <v>-0.18724508289251152</v>
      </c>
      <c r="O125" s="3">
        <f t="shared" si="59"/>
        <v>-0.62075883438815205</v>
      </c>
      <c r="P125" s="3">
        <f t="shared" si="60"/>
        <v>-0.94927252366332271</v>
      </c>
      <c r="Q125" s="3">
        <f t="shared" si="61"/>
        <v>-0.27413773218833931</v>
      </c>
      <c r="R125" s="3">
        <f t="shared" si="62"/>
        <v>-0.90882717167389304</v>
      </c>
      <c r="S125" s="3">
        <f t="shared" si="63"/>
        <v>-0.18104409057655116</v>
      </c>
      <c r="T125" s="3">
        <f t="shared" si="64"/>
        <v>-0.60020117432764652</v>
      </c>
      <c r="U125" s="3">
        <f t="shared" si="65"/>
        <v>-0.6742006942447285</v>
      </c>
      <c r="V125" s="3">
        <f t="shared" si="66"/>
        <v>-0.19470051513426617</v>
      </c>
      <c r="W125" s="3">
        <f t="shared" si="67"/>
        <v>-0.6454752400569097</v>
      </c>
      <c r="X125" s="3">
        <f t="shared" si="68"/>
        <v>-0.12858272889283287</v>
      </c>
      <c r="Y125" s="3">
        <f t="shared" si="69"/>
        <v>-0.4262801654224635</v>
      </c>
      <c r="Z125" s="3">
        <f t="shared" si="70"/>
        <v>-0.22685716546032503</v>
      </c>
      <c r="AA125" s="3">
        <f t="shared" si="71"/>
        <v>-6.551344036586193E-2</v>
      </c>
      <c r="AB125" s="3">
        <f t="shared" si="72"/>
        <v>-0.21719153448539824</v>
      </c>
      <c r="AC125" s="3">
        <f t="shared" si="73"/>
        <v>-4.3265920152246382E-2</v>
      </c>
      <c r="AD125" s="3">
        <f t="shared" si="74"/>
        <v>-0.14343608786702855</v>
      </c>
      <c r="AE125" s="3">
        <f t="shared" si="50"/>
        <v>0.27845288537127161</v>
      </c>
      <c r="AF125" s="3">
        <f t="shared" si="75"/>
        <v>8.0413622657484016E-2</v>
      </c>
      <c r="AG125" s="3">
        <f t="shared" si="76"/>
        <v>0.26658893199584693</v>
      </c>
      <c r="AH125" s="3">
        <f t="shared" si="77"/>
        <v>5.3106192525106899E-2</v>
      </c>
      <c r="AI125" s="3">
        <f t="shared" si="78"/>
        <v>0.17605876566383558</v>
      </c>
      <c r="AJ125" s="3">
        <f t="shared" si="51"/>
        <v>0.71261268055092331</v>
      </c>
      <c r="AK125" s="3">
        <f t="shared" si="79"/>
        <v>0.20579340421757489</v>
      </c>
      <c r="AL125" s="3">
        <f t="shared" si="80"/>
        <v>0.68225061910013252</v>
      </c>
      <c r="AM125" s="3">
        <f t="shared" si="81"/>
        <v>0.13590861577430174</v>
      </c>
      <c r="AN125" s="3">
        <f t="shared" si="82"/>
        <v>0.45056709958997182</v>
      </c>
      <c r="AO125" s="3">
        <f t="shared" si="52"/>
        <v>0.9646857491577745</v>
      </c>
      <c r="AP125" s="3">
        <f t="shared" si="83"/>
        <v>0.27858887406533211</v>
      </c>
      <c r="AQ125" s="3">
        <f t="shared" si="84"/>
        <v>0.92358369078016256</v>
      </c>
      <c r="AR125" s="3"/>
      <c r="AS125" s="2"/>
      <c r="AT125" s="2"/>
    </row>
    <row r="126" spans="1:46">
      <c r="A126">
        <f t="shared" si="85"/>
        <v>123</v>
      </c>
      <c r="B126" s="1">
        <f t="shared" si="43"/>
        <v>15.169959</v>
      </c>
      <c r="C126" s="1">
        <f t="shared" si="44"/>
        <v>95.315663499316727</v>
      </c>
      <c r="D126" s="1">
        <f t="shared" si="45"/>
        <v>0.87618254611608881</v>
      </c>
      <c r="E126" s="1">
        <f t="shared" si="46"/>
        <v>0.48197940400138251</v>
      </c>
      <c r="F126" s="2">
        <f t="shared" si="47"/>
        <v>28709.873488585883</v>
      </c>
      <c r="G126" s="2">
        <f t="shared" si="48"/>
        <v>15793.019130913301</v>
      </c>
      <c r="H126" s="2">
        <f t="shared" si="49"/>
        <v>7177.6874177829995</v>
      </c>
      <c r="I126" s="3">
        <f t="shared" si="53"/>
        <v>0.81716481991013445</v>
      </c>
      <c r="J126" s="3">
        <f t="shared" si="54"/>
        <v>0.66775834289876246</v>
      </c>
      <c r="K126" s="3">
        <f t="shared" si="55"/>
        <v>-0.84574747452457222</v>
      </c>
      <c r="L126" s="3">
        <f t="shared" si="56"/>
        <v>-0.74102917560019166</v>
      </c>
      <c r="M126" s="3">
        <f t="shared" si="57"/>
        <v>-0.40763286370702773</v>
      </c>
      <c r="N126" s="3">
        <f t="shared" si="58"/>
        <v>-0.49482841433842006</v>
      </c>
      <c r="O126" s="3">
        <f t="shared" si="59"/>
        <v>-0.27220024558008193</v>
      </c>
      <c r="P126" s="3">
        <f t="shared" si="60"/>
        <v>-0.47304459906183566</v>
      </c>
      <c r="Q126" s="3">
        <f t="shared" si="61"/>
        <v>-0.41447342123246356</v>
      </c>
      <c r="R126" s="3">
        <f t="shared" si="62"/>
        <v>-0.2279977539218965</v>
      </c>
      <c r="S126" s="3">
        <f t="shared" si="63"/>
        <v>-0.27676808493777061</v>
      </c>
      <c r="T126" s="3">
        <f t="shared" si="64"/>
        <v>-0.15224740234352541</v>
      </c>
      <c r="U126" s="3">
        <f t="shared" si="65"/>
        <v>2.2476023849022541E-2</v>
      </c>
      <c r="V126" s="3">
        <f t="shared" si="66"/>
        <v>1.9693099802602504E-2</v>
      </c>
      <c r="W126" s="3">
        <f t="shared" si="67"/>
        <v>1.0832980579072744E-2</v>
      </c>
      <c r="X126" s="3">
        <f t="shared" si="68"/>
        <v>1.3150231690725794E-2</v>
      </c>
      <c r="Y126" s="3">
        <f t="shared" si="69"/>
        <v>7.2338131601360914E-3</v>
      </c>
      <c r="Z126" s="3">
        <f t="shared" si="70"/>
        <v>0.5121611407078166</v>
      </c>
      <c r="AA126" s="3">
        <f t="shared" si="71"/>
        <v>0.44874665228709515</v>
      </c>
      <c r="AB126" s="3">
        <f t="shared" si="72"/>
        <v>0.24685112135102164</v>
      </c>
      <c r="AC126" s="3">
        <f t="shared" si="73"/>
        <v>0.2996543209125978</v>
      </c>
      <c r="AD126" s="3">
        <f t="shared" si="74"/>
        <v>0.16483689573605953</v>
      </c>
      <c r="AE126" s="3">
        <f t="shared" si="50"/>
        <v>0.86887258498488584</v>
      </c>
      <c r="AF126" s="3">
        <f t="shared" si="75"/>
        <v>0.76129099376252507</v>
      </c>
      <c r="AG126" s="3">
        <f t="shared" si="76"/>
        <v>0.41877869066415585</v>
      </c>
      <c r="AH126" s="3">
        <f t="shared" si="77"/>
        <v>0.50835841245861579</v>
      </c>
      <c r="AI126" s="3">
        <f t="shared" si="78"/>
        <v>0.27964296451921017</v>
      </c>
      <c r="AJ126" s="3">
        <f t="shared" si="51"/>
        <v>0.99999647595530949</v>
      </c>
      <c r="AK126" s="3">
        <f t="shared" si="79"/>
        <v>0.87617945840963929</v>
      </c>
      <c r="AL126" s="3">
        <f t="shared" si="80"/>
        <v>0.48197770548442292</v>
      </c>
      <c r="AM126" s="3">
        <f t="shared" si="81"/>
        <v>0.58507614322955592</v>
      </c>
      <c r="AN126" s="3">
        <f t="shared" si="82"/>
        <v>0.32184463392842605</v>
      </c>
      <c r="AO126" s="3">
        <f t="shared" si="52"/>
        <v>0.8714887912212812</v>
      </c>
      <c r="AP126" s="3">
        <f t="shared" si="83"/>
        <v>0.76358326800389476</v>
      </c>
      <c r="AQ126" s="3">
        <f t="shared" si="84"/>
        <v>0.42003964818671841</v>
      </c>
      <c r="AR126" s="3"/>
      <c r="AS126" s="2"/>
      <c r="AT126" s="2"/>
    </row>
    <row r="127" spans="1:46">
      <c r="A127">
        <f t="shared" si="85"/>
        <v>124</v>
      </c>
      <c r="B127" s="1">
        <f t="shared" si="43"/>
        <v>15.293291999999999</v>
      </c>
      <c r="C127" s="1">
        <f t="shared" si="44"/>
        <v>96.090587592807097</v>
      </c>
      <c r="D127" s="1">
        <f t="shared" si="45"/>
        <v>0.96323237413586604</v>
      </c>
      <c r="E127" s="1">
        <f t="shared" si="46"/>
        <v>-0.26866967342181169</v>
      </c>
      <c r="F127" s="2">
        <f t="shared" si="47"/>
        <v>31562.235203309923</v>
      </c>
      <c r="G127" s="2">
        <f t="shared" si="48"/>
        <v>-8803.4991890125038</v>
      </c>
      <c r="H127" s="2">
        <f t="shared" si="49"/>
        <v>7890.7996089210146</v>
      </c>
      <c r="I127" s="3">
        <f t="shared" si="53"/>
        <v>0.82162231262040053</v>
      </c>
      <c r="J127" s="3">
        <f t="shared" si="54"/>
        <v>0.67506322459569523</v>
      </c>
      <c r="K127" s="3">
        <f t="shared" si="55"/>
        <v>-0.25126042612845467</v>
      </c>
      <c r="L127" s="3">
        <f t="shared" si="56"/>
        <v>-0.24202217678610077</v>
      </c>
      <c r="M127" s="3">
        <f t="shared" si="57"/>
        <v>6.7506056631757155E-2</v>
      </c>
      <c r="N127" s="3">
        <f t="shared" si="58"/>
        <v>-0.16338027108489461</v>
      </c>
      <c r="O127" s="3">
        <f t="shared" si="59"/>
        <v>4.5570856269573606E-2</v>
      </c>
      <c r="P127" s="3">
        <f t="shared" si="60"/>
        <v>0.26232206107678624</v>
      </c>
      <c r="Q127" s="3">
        <f t="shared" si="61"/>
        <v>0.25267710167920648</v>
      </c>
      <c r="R127" s="3">
        <f t="shared" si="62"/>
        <v>-7.0477982480836698E-2</v>
      </c>
      <c r="S127" s="3">
        <f t="shared" si="63"/>
        <v>0.17057301904105948</v>
      </c>
      <c r="T127" s="3">
        <f t="shared" si="64"/>
        <v>-4.7577094116512543E-2</v>
      </c>
      <c r="U127" s="3">
        <f t="shared" si="65"/>
        <v>0.70671038668281438</v>
      </c>
      <c r="V127" s="3">
        <f t="shared" si="66"/>
        <v>0.68072632359096319</v>
      </c>
      <c r="W127" s="3">
        <f t="shared" si="67"/>
        <v>-0.189871648793874</v>
      </c>
      <c r="X127" s="3">
        <f t="shared" si="68"/>
        <v>0.45953330707048828</v>
      </c>
      <c r="Y127" s="3">
        <f t="shared" si="69"/>
        <v>-0.12817536749409392</v>
      </c>
      <c r="Z127" s="3">
        <f t="shared" si="70"/>
        <v>0.9646857491577745</v>
      </c>
      <c r="AA127" s="3">
        <f t="shared" si="71"/>
        <v>0.92921654445627966</v>
      </c>
      <c r="AB127" s="3">
        <f t="shared" si="72"/>
        <v>-0.25918180518089501</v>
      </c>
      <c r="AC127" s="3">
        <f t="shared" si="73"/>
        <v>0.62727991684832529</v>
      </c>
      <c r="AD127" s="3">
        <f t="shared" si="74"/>
        <v>-0.17496410516194827</v>
      </c>
      <c r="AE127" s="3">
        <f t="shared" si="50"/>
        <v>0.96820053997634781</v>
      </c>
      <c r="AF127" s="3">
        <f t="shared" si="75"/>
        <v>0.93260210476104499</v>
      </c>
      <c r="AG127" s="3">
        <f t="shared" si="76"/>
        <v>-0.26012612288226711</v>
      </c>
      <c r="AH127" s="3">
        <f t="shared" si="77"/>
        <v>0.6295653841047234</v>
      </c>
      <c r="AI127" s="3">
        <f t="shared" si="78"/>
        <v>-0.17560157931447931</v>
      </c>
      <c r="AJ127" s="3">
        <f t="shared" si="51"/>
        <v>0.71632764304738494</v>
      </c>
      <c r="AK127" s="3">
        <f t="shared" si="79"/>
        <v>0.68998997627168179</v>
      </c>
      <c r="AL127" s="3">
        <f t="shared" si="80"/>
        <v>-0.19245551392055701</v>
      </c>
      <c r="AM127" s="3">
        <f t="shared" si="81"/>
        <v>0.46578685832066874</v>
      </c>
      <c r="AN127" s="3">
        <f t="shared" si="82"/>
        <v>-0.12991963981843294</v>
      </c>
      <c r="AO127" s="3">
        <f t="shared" si="52"/>
        <v>0.27550498532610057</v>
      </c>
      <c r="AP127" s="3">
        <f t="shared" si="83"/>
        <v>0.2653753211019268</v>
      </c>
      <c r="AQ127" s="3">
        <f t="shared" si="84"/>
        <v>-7.401983443364446E-2</v>
      </c>
      <c r="AR127" s="3"/>
      <c r="AS127" s="2"/>
      <c r="AT127" s="2"/>
    </row>
    <row r="128" spans="1:46">
      <c r="A128">
        <f t="shared" si="85"/>
        <v>125</v>
      </c>
      <c r="B128" s="1">
        <f t="shared" si="43"/>
        <v>15.416625</v>
      </c>
      <c r="C128" s="1">
        <f t="shared" si="44"/>
        <v>96.865511686297481</v>
      </c>
      <c r="D128" s="1">
        <f t="shared" si="45"/>
        <v>0.50022670778321965</v>
      </c>
      <c r="E128" s="1">
        <f t="shared" si="46"/>
        <v>-0.86589447441380607</v>
      </c>
      <c r="F128" s="2">
        <f t="shared" si="47"/>
        <v>16390.928533932758</v>
      </c>
      <c r="G128" s="2">
        <f t="shared" si="48"/>
        <v>-28372.764243117184</v>
      </c>
      <c r="H128" s="2">
        <f t="shared" si="49"/>
        <v>4097.8571901601354</v>
      </c>
      <c r="I128" s="3">
        <f t="shared" si="53"/>
        <v>0.82603012241765583</v>
      </c>
      <c r="J128" s="3">
        <f t="shared" si="54"/>
        <v>0.68232576314132753</v>
      </c>
      <c r="K128" s="3">
        <f t="shared" si="55"/>
        <v>0.47942553860419351</v>
      </c>
      <c r="L128" s="3">
        <f t="shared" si="56"/>
        <v>0.2398214588031726</v>
      </c>
      <c r="M128" s="3">
        <f t="shared" si="57"/>
        <v>-0.41513192477023403</v>
      </c>
      <c r="N128" s="3">
        <f t="shared" si="58"/>
        <v>0.16363635989554118</v>
      </c>
      <c r="O128" s="3">
        <f t="shared" si="59"/>
        <v>-0.28325520737317811</v>
      </c>
      <c r="P128" s="3">
        <f t="shared" si="60"/>
        <v>0.85398597659946651</v>
      </c>
      <c r="Q128" s="3">
        <f t="shared" si="61"/>
        <v>0.42718659356738881</v>
      </c>
      <c r="R128" s="3">
        <f t="shared" si="62"/>
        <v>-0.73946173836435591</v>
      </c>
      <c r="S128" s="3">
        <f t="shared" si="63"/>
        <v>0.2914804184596127</v>
      </c>
      <c r="T128" s="3">
        <f t="shared" si="64"/>
        <v>-0.5045537949432719</v>
      </c>
      <c r="U128" s="3">
        <f t="shared" si="65"/>
        <v>0.99972156181739358</v>
      </c>
      <c r="V128" s="3">
        <f t="shared" si="66"/>
        <v>0.50008742556781327</v>
      </c>
      <c r="W128" s="3">
        <f t="shared" si="67"/>
        <v>-0.86565337633002137</v>
      </c>
      <c r="X128" s="3">
        <f t="shared" si="68"/>
        <v>0.34122253428794003</v>
      </c>
      <c r="Y128" s="3">
        <f t="shared" si="69"/>
        <v>-0.59065760062024864</v>
      </c>
      <c r="Z128" s="3">
        <f t="shared" si="70"/>
        <v>0.87758256189037365</v>
      </c>
      <c r="AA128" s="3">
        <f t="shared" si="71"/>
        <v>0.43899023574238522</v>
      </c>
      <c r="AB128" s="3">
        <f t="shared" si="72"/>
        <v>-0.7598938911827865</v>
      </c>
      <c r="AC128" s="3">
        <f t="shared" si="73"/>
        <v>0.29953434761451431</v>
      </c>
      <c r="AD128" s="3">
        <f t="shared" si="74"/>
        <v>-0.51849517920772781</v>
      </c>
      <c r="AE128" s="3">
        <f t="shared" si="50"/>
        <v>0.5202960232131898</v>
      </c>
      <c r="AF128" s="3">
        <f t="shared" si="75"/>
        <v>0.26026596676463554</v>
      </c>
      <c r="AG128" s="3">
        <f t="shared" si="76"/>
        <v>-0.45052145155977841</v>
      </c>
      <c r="AH128" s="3">
        <f t="shared" si="77"/>
        <v>0.17758617439239532</v>
      </c>
      <c r="AI128" s="3">
        <f t="shared" si="78"/>
        <v>-0.30740239324706442</v>
      </c>
      <c r="AJ128" s="3">
        <f t="shared" si="51"/>
        <v>2.3596585290919764E-2</v>
      </c>
      <c r="AK128" s="3">
        <f t="shared" si="79"/>
        <v>1.1803642175002739E-2</v>
      </c>
      <c r="AL128" s="3">
        <f t="shared" si="80"/>
        <v>-2.0432152818441515E-2</v>
      </c>
      <c r="AM128" s="3">
        <f t="shared" si="81"/>
        <v>8.0539291549059037E-3</v>
      </c>
      <c r="AN128" s="3">
        <f t="shared" si="82"/>
        <v>-1.3941384264463333E-2</v>
      </c>
      <c r="AO128" s="3">
        <f t="shared" si="52"/>
        <v>-0.47942553860419657</v>
      </c>
      <c r="AP128" s="3">
        <f t="shared" si="83"/>
        <v>-0.23982145880317413</v>
      </c>
      <c r="AQ128" s="3">
        <f t="shared" si="84"/>
        <v>0.41513192477023669</v>
      </c>
      <c r="AR128" s="3"/>
      <c r="AS128" s="2"/>
      <c r="AT128" s="2"/>
    </row>
    <row r="129" spans="1:46">
      <c r="A129">
        <f t="shared" si="85"/>
        <v>126</v>
      </c>
      <c r="B129" s="1">
        <f t="shared" si="43"/>
        <v>15.539958</v>
      </c>
      <c r="C129" s="1">
        <f t="shared" si="44"/>
        <v>97.640435779787865</v>
      </c>
      <c r="D129" s="1">
        <f t="shared" si="45"/>
        <v>-0.2484342754339961</v>
      </c>
      <c r="E129" s="1">
        <f t="shared" si="46"/>
        <v>-0.96864875511693371</v>
      </c>
      <c r="F129" s="2">
        <f t="shared" si="47"/>
        <v>-8140.44590314575</v>
      </c>
      <c r="G129" s="2">
        <f t="shared" si="48"/>
        <v>-31739.713758916569</v>
      </c>
      <c r="H129" s="2">
        <f t="shared" si="49"/>
        <v>-2035.173584355296</v>
      </c>
      <c r="I129" s="3">
        <f t="shared" si="53"/>
        <v>0.83038798276479753</v>
      </c>
      <c r="J129" s="3">
        <f t="shared" si="54"/>
        <v>0.68954420192018973</v>
      </c>
      <c r="K129" s="3">
        <f t="shared" si="55"/>
        <v>0.95023277978261111</v>
      </c>
      <c r="L129" s="3">
        <f t="shared" si="56"/>
        <v>-0.23607039213892497</v>
      </c>
      <c r="M129" s="3">
        <f t="shared" si="57"/>
        <v>-0.92044179920772973</v>
      </c>
      <c r="N129" s="3">
        <f t="shared" si="58"/>
        <v>-0.16278097014442125</v>
      </c>
      <c r="O129" s="3">
        <f t="shared" si="59"/>
        <v>-0.63468530584867744</v>
      </c>
      <c r="P129" s="3">
        <f t="shared" si="60"/>
        <v>0.97782752065585421</v>
      </c>
      <c r="Q129" s="3">
        <f t="shared" si="61"/>
        <v>-0.242925871593558</v>
      </c>
      <c r="R129" s="3">
        <f t="shared" si="62"/>
        <v>-0.94717141060237098</v>
      </c>
      <c r="S129" s="3">
        <f t="shared" si="63"/>
        <v>-0.16750812625374642</v>
      </c>
      <c r="T129" s="3">
        <f t="shared" si="64"/>
        <v>-0.65311655440543215</v>
      </c>
      <c r="U129" s="3">
        <f t="shared" si="65"/>
        <v>0.73930340635778591</v>
      </c>
      <c r="V129" s="3">
        <f t="shared" si="66"/>
        <v>-0.18366830608438173</v>
      </c>
      <c r="W129" s="3">
        <f t="shared" si="67"/>
        <v>-0.71612532422217789</v>
      </c>
      <c r="X129" s="3">
        <f t="shared" si="68"/>
        <v>-0.12664741553698813</v>
      </c>
      <c r="Y129" s="3">
        <f t="shared" si="69"/>
        <v>-0.49380006516561881</v>
      </c>
      <c r="Z129" s="3">
        <f t="shared" si="70"/>
        <v>0.29957552966999557</v>
      </c>
      <c r="AA129" s="3">
        <f t="shared" si="71"/>
        <v>-7.4424829651320953E-2</v>
      </c>
      <c r="AB129" s="3">
        <f t="shared" si="72"/>
        <v>-0.29018346387833727</v>
      </c>
      <c r="AC129" s="3">
        <f t="shared" si="73"/>
        <v>-5.1319209764966178E-2</v>
      </c>
      <c r="AD129" s="3">
        <f t="shared" si="74"/>
        <v>-0.20009432501042426</v>
      </c>
      <c r="AE129" s="3">
        <f t="shared" si="50"/>
        <v>-0.22168277575807221</v>
      </c>
      <c r="AF129" s="3">
        <f t="shared" si="75"/>
        <v>5.5073599771653707E-2</v>
      </c>
      <c r="AG129" s="3">
        <f t="shared" si="76"/>
        <v>0.21473274476892301</v>
      </c>
      <c r="AH129" s="3">
        <f t="shared" si="77"/>
        <v>3.7975681401416897E-2</v>
      </c>
      <c r="AI129" s="3">
        <f t="shared" si="78"/>
        <v>0.14806771911781882</v>
      </c>
      <c r="AJ129" s="3">
        <f t="shared" si="51"/>
        <v>-0.68260941200141012</v>
      </c>
      <c r="AK129" s="3">
        <f t="shared" si="79"/>
        <v>0.16958357467499643</v>
      </c>
      <c r="AL129" s="3">
        <f t="shared" si="80"/>
        <v>0.66120875716626804</v>
      </c>
      <c r="AM129" s="3">
        <f t="shared" si="81"/>
        <v>0.11693537065804331</v>
      </c>
      <c r="AN129" s="3">
        <f t="shared" si="82"/>
        <v>0.45593266476285482</v>
      </c>
      <c r="AO129" s="3">
        <f t="shared" si="52"/>
        <v>-0.95776173589043534</v>
      </c>
      <c r="AP129" s="3">
        <f t="shared" si="83"/>
        <v>0.23794084289434664</v>
      </c>
      <c r="AQ129" s="3">
        <f t="shared" si="84"/>
        <v>0.92773471316890366</v>
      </c>
      <c r="AR129" s="3"/>
      <c r="AS129" s="2"/>
      <c r="AT129" s="2"/>
    </row>
    <row r="130" spans="1:46">
      <c r="A130">
        <f t="shared" si="85"/>
        <v>127</v>
      </c>
      <c r="B130" s="1">
        <f t="shared" si="43"/>
        <v>15.663290999999999</v>
      </c>
      <c r="C130" s="1">
        <f t="shared" si="44"/>
        <v>98.415359873278248</v>
      </c>
      <c r="D130" s="1">
        <f t="shared" si="45"/>
        <v>-0.85522644084336252</v>
      </c>
      <c r="E130" s="1">
        <f t="shared" si="46"/>
        <v>-0.51825450782641003</v>
      </c>
      <c r="F130" s="2">
        <f t="shared" si="47"/>
        <v>-28023.20478711446</v>
      </c>
      <c r="G130" s="2">
        <f t="shared" si="48"/>
        <v>-16981.645457947976</v>
      </c>
      <c r="H130" s="2">
        <f t="shared" si="49"/>
        <v>-7006.0150033888258</v>
      </c>
      <c r="I130" s="3">
        <f t="shared" si="53"/>
        <v>0.83469563014513026</v>
      </c>
      <c r="J130" s="3">
        <f t="shared" si="54"/>
        <v>0.69671679498337613</v>
      </c>
      <c r="K130" s="3">
        <f t="shared" si="55"/>
        <v>0.9059542318137308</v>
      </c>
      <c r="L130" s="3">
        <f t="shared" si="56"/>
        <v>-0.77479601324103964</v>
      </c>
      <c r="M130" s="3">
        <f t="shared" si="57"/>
        <v>-0.46951486452187846</v>
      </c>
      <c r="N130" s="3">
        <f t="shared" si="58"/>
        <v>-0.53981339511119453</v>
      </c>
      <c r="O130" s="3">
        <f t="shared" si="59"/>
        <v>-0.32711889160673718</v>
      </c>
      <c r="P130" s="3">
        <f t="shared" si="60"/>
        <v>0.56600501151576288</v>
      </c>
      <c r="Q130" s="3">
        <f t="shared" si="61"/>
        <v>-0.48406245149813232</v>
      </c>
      <c r="R130" s="3">
        <f t="shared" si="62"/>
        <v>-0.29333464867038322</v>
      </c>
      <c r="S130" s="3">
        <f t="shared" si="63"/>
        <v>-0.3372544397795747</v>
      </c>
      <c r="T130" s="3">
        <f t="shared" si="64"/>
        <v>-0.20437117627920406</v>
      </c>
      <c r="U130" s="3">
        <f t="shared" si="65"/>
        <v>6.9619106290100666E-2</v>
      </c>
      <c r="V130" s="3">
        <f t="shared" si="66"/>
        <v>-5.9540100487178546E-2</v>
      </c>
      <c r="W130" s="3">
        <f t="shared" si="67"/>
        <v>-3.6080415665690646E-2</v>
      </c>
      <c r="X130" s="3">
        <f t="shared" si="68"/>
        <v>-4.148258798441519E-2</v>
      </c>
      <c r="Y130" s="3">
        <f t="shared" si="69"/>
        <v>-2.5137831564267982E-2</v>
      </c>
      <c r="Z130" s="3">
        <f t="shared" si="70"/>
        <v>-0.44600864657661637</v>
      </c>
      <c r="AA130" s="3">
        <f t="shared" si="71"/>
        <v>0.3814383873970848</v>
      </c>
      <c r="AB130" s="3">
        <f t="shared" si="72"/>
        <v>0.23114599161788757</v>
      </c>
      <c r="AC130" s="3">
        <f t="shared" si="73"/>
        <v>0.26575453075092431</v>
      </c>
      <c r="AD130" s="3">
        <f t="shared" si="74"/>
        <v>0.16104329445326895</v>
      </c>
      <c r="AE130" s="3">
        <f t="shared" si="50"/>
        <v>-0.83836520448927188</v>
      </c>
      <c r="AF130" s="3">
        <f t="shared" si="75"/>
        <v>0.71699208996227781</v>
      </c>
      <c r="AG130" s="3">
        <f t="shared" si="76"/>
        <v>0.43448654643137519</v>
      </c>
      <c r="AH130" s="3">
        <f t="shared" si="77"/>
        <v>0.49954043094695072</v>
      </c>
      <c r="AI130" s="3">
        <f t="shared" si="78"/>
        <v>0.30271407409306361</v>
      </c>
      <c r="AJ130" s="3">
        <f t="shared" si="51"/>
        <v>-0.99900813676135847</v>
      </c>
      <c r="AK130" s="3">
        <f t="shared" si="79"/>
        <v>0.85437817317597575</v>
      </c>
      <c r="AL130" s="3">
        <f t="shared" si="80"/>
        <v>0.51774047023183678</v>
      </c>
      <c r="AM130" s="3">
        <f t="shared" si="81"/>
        <v>0.59525962251891773</v>
      </c>
      <c r="AN130" s="3">
        <f t="shared" si="82"/>
        <v>0.36071848105311138</v>
      </c>
      <c r="AO130" s="3">
        <f t="shared" si="52"/>
        <v>-0.88353775209968211</v>
      </c>
      <c r="AP130" s="3">
        <f t="shared" si="83"/>
        <v>0.75562484707895627</v>
      </c>
      <c r="AQ130" s="3">
        <f t="shared" si="84"/>
        <v>0.45789742286047341</v>
      </c>
      <c r="AR130" s="3"/>
      <c r="AS130" s="2"/>
      <c r="AT130" s="2"/>
    </row>
    <row r="131" spans="1:46">
      <c r="A131">
        <f t="shared" si="85"/>
        <v>128</v>
      </c>
      <c r="B131" s="1">
        <f t="shared" ref="B131:B194" si="86">A131*0.123333</f>
        <v>15.786624</v>
      </c>
      <c r="C131" s="1">
        <f t="shared" ref="C131:C194" si="87">2*PI() * B131</f>
        <v>99.190283966768632</v>
      </c>
      <c r="D131" s="1">
        <f t="shared" ref="D131:D194" si="88">SIN(C131)</f>
        <v>-0.97364008477654373</v>
      </c>
      <c r="E131" s="1">
        <f t="shared" ref="E131:E194" si="89">COS(C131)</f>
        <v>0.22808986237078729</v>
      </c>
      <c r="F131" s="2">
        <f t="shared" ref="F131:F194" si="90">32767*D131</f>
        <v>-31903.264657873009</v>
      </c>
      <c r="G131" s="2">
        <f t="shared" ref="G131:G194" si="91">32767*E131</f>
        <v>7473.8205203035868</v>
      </c>
      <c r="H131" s="2">
        <f t="shared" ref="H131:H194" si="92">8192*SIN(C131)</f>
        <v>-7976.0595744894463</v>
      </c>
      <c r="I131" s="3">
        <f t="shared" si="53"/>
        <v>0.8389528040783012</v>
      </c>
      <c r="J131" s="3">
        <f t="shared" si="54"/>
        <v>0.70384180747084446</v>
      </c>
      <c r="K131" s="3">
        <f t="shared" si="55"/>
        <v>0.37059164596113908</v>
      </c>
      <c r="L131" s="3">
        <f t="shared" si="56"/>
        <v>-0.36082288159108233</v>
      </c>
      <c r="M131" s="3">
        <f t="shared" si="57"/>
        <v>8.452819752303975E-2</v>
      </c>
      <c r="N131" s="3">
        <f t="shared" si="58"/>
        <v>-0.25396222915590588</v>
      </c>
      <c r="O131" s="3">
        <f t="shared" si="59"/>
        <v>5.9494479326868847E-2</v>
      </c>
      <c r="P131" s="3">
        <f t="shared" si="60"/>
        <v>-0.15588091084745082</v>
      </c>
      <c r="Q131" s="3">
        <f t="shared" si="61"/>
        <v>0.15177190325255688</v>
      </c>
      <c r="R131" s="3">
        <f t="shared" si="62"/>
        <v>-3.555485550142802E-2</v>
      </c>
      <c r="S131" s="3">
        <f t="shared" si="63"/>
        <v>0.10682341070856977</v>
      </c>
      <c r="T131" s="3">
        <f t="shared" si="64"/>
        <v>-2.5024993760489795E-2</v>
      </c>
      <c r="U131" s="3">
        <f t="shared" si="65"/>
        <v>-0.63860518017206969</v>
      </c>
      <c r="V131" s="3">
        <f t="shared" si="66"/>
        <v>0.62177160176147395</v>
      </c>
      <c r="W131" s="3">
        <f t="shared" si="67"/>
        <v>-0.14565936765471921</v>
      </c>
      <c r="X131" s="3">
        <f t="shared" si="68"/>
        <v>0.43762884801783791</v>
      </c>
      <c r="Y131" s="3">
        <f t="shared" si="69"/>
        <v>-0.10252115260515782</v>
      </c>
      <c r="Z131" s="3">
        <f t="shared" si="70"/>
        <v>-0.94210363628436311</v>
      </c>
      <c r="AA131" s="3">
        <f t="shared" si="71"/>
        <v>0.91726986430019741</v>
      </c>
      <c r="AB131" s="3">
        <f t="shared" si="72"/>
        <v>-0.21488428873911863</v>
      </c>
      <c r="AC131" s="3">
        <f t="shared" si="73"/>
        <v>0.64561287922758726</v>
      </c>
      <c r="AD131" s="3">
        <f t="shared" si="74"/>
        <v>-0.15124454618322811</v>
      </c>
      <c r="AE131" s="3">
        <f t="shared" ref="AE131:AE194" si="93">SIN(0.5+A131*92/750*2*PI())</f>
        <v>-0.98119883419280329</v>
      </c>
      <c r="AF131" s="3">
        <f t="shared" si="75"/>
        <v>0.95533451610612685</v>
      </c>
      <c r="AG131" s="3">
        <f t="shared" si="76"/>
        <v>-0.22380150704941346</v>
      </c>
      <c r="AH131" s="3">
        <f t="shared" si="77"/>
        <v>0.67240437255542096</v>
      </c>
      <c r="AI131" s="3">
        <f t="shared" si="78"/>
        <v>-0.15752085723635811</v>
      </c>
      <c r="AJ131" s="3">
        <f t="shared" ref="AJ131:AJ194" si="94">SIN(0.5+A131*92.5/750*2*PI())</f>
        <v>-0.74491862889231064</v>
      </c>
      <c r="AK131" s="3">
        <f t="shared" si="79"/>
        <v>0.7252826369863361</v>
      </c>
      <c r="AL131" s="3">
        <f t="shared" si="80"/>
        <v>-0.16990838754148271</v>
      </c>
      <c r="AM131" s="3">
        <f t="shared" si="81"/>
        <v>0.51048424214368304</v>
      </c>
      <c r="AN131" s="3">
        <f t="shared" si="82"/>
        <v>-0.1195886265916539</v>
      </c>
      <c r="AO131" s="3">
        <f t="shared" ref="AO131:AO194" si="95">SIN(0.5+A131*93/750*2*PI())</f>
        <v>-0.29957552967000584</v>
      </c>
      <c r="AP131" s="3">
        <f t="shared" si="83"/>
        <v>0.29167874410488248</v>
      </c>
      <c r="AQ131" s="3">
        <f t="shared" si="84"/>
        <v>-6.8330141332087341E-2</v>
      </c>
      <c r="AR131" s="3"/>
      <c r="AS131" s="2"/>
      <c r="AT131" s="2"/>
    </row>
    <row r="132" spans="1:46">
      <c r="A132">
        <f t="shared" si="85"/>
        <v>129</v>
      </c>
      <c r="B132" s="1">
        <f t="shared" si="86"/>
        <v>15.909957</v>
      </c>
      <c r="C132" s="1">
        <f t="shared" si="87"/>
        <v>99.965208060259016</v>
      </c>
      <c r="D132" s="1">
        <f t="shared" si="88"/>
        <v>-0.53605489337880663</v>
      </c>
      <c r="E132" s="1">
        <f t="shared" si="89"/>
        <v>0.84418312662871686</v>
      </c>
      <c r="F132" s="2">
        <f t="shared" si="90"/>
        <v>-17564.910691343357</v>
      </c>
      <c r="G132" s="2">
        <f t="shared" si="91"/>
        <v>27661.348510243166</v>
      </c>
      <c r="H132" s="2">
        <f t="shared" si="92"/>
        <v>-4391.3616865591839</v>
      </c>
      <c r="I132" s="3">
        <f t="shared" ref="I132:I195" si="96">SIN(PI()*A132/404)</f>
        <v>0.84315924713605028</v>
      </c>
      <c r="J132" s="3">
        <f t="shared" ref="J132:J195" si="97">I132*I132</f>
        <v>0.71091751603103115</v>
      </c>
      <c r="K132" s="3">
        <f t="shared" ref="K132:K195" si="98">SIN(0.5+A132*90/750*2*PI())</f>
        <v>-0.36565486483347537</v>
      </c>
      <c r="L132" s="3">
        <f t="shared" ref="L132:L195" si="99">K132*D132</f>
        <v>0.1960110795817506</v>
      </c>
      <c r="M132" s="3">
        <f t="shared" ref="M132:M195" si="100">K132*E132</f>
        <v>-0.30867966706212407</v>
      </c>
      <c r="N132" s="3">
        <f t="shared" ref="N132:N195" si="101">K132*J132*D132</f>
        <v>0.1393477098108189</v>
      </c>
      <c r="O132" s="3">
        <f t="shared" ref="O132:O195" si="102">K132*J132*E132</f>
        <v>-0.21944578215709096</v>
      </c>
      <c r="P132" s="3">
        <f t="shared" ref="P132:P195" si="103">SIN(0.5+A132*90.5/750*2*PI())</f>
        <v>-0.79237365419224204</v>
      </c>
      <c r="Q132" s="3">
        <f t="shared" ref="Q132:Q195" si="104">P132*D132</f>
        <v>0.42475577471419768</v>
      </c>
      <c r="R132" s="3">
        <f t="shared" ref="R132:R195" si="105">P132*E132</f>
        <v>-0.66890846885422861</v>
      </c>
      <c r="S132" s="3">
        <f t="shared" ref="S132:S195" si="106">P132*J132*D132</f>
        <v>0.3019663202796537</v>
      </c>
      <c r="T132" s="3">
        <f t="shared" ref="T132:T195" si="107">P132*J132*E132</f>
        <v>-0.47553874712996852</v>
      </c>
      <c r="U132" s="3">
        <f t="shared" ref="U132:U195" si="108">SIN(0.5+A132*91/750*2*PI())</f>
        <v>-0.99330819543735871</v>
      </c>
      <c r="V132" s="3">
        <f t="shared" ref="V132:V195" si="109">U132*D132</f>
        <v>0.53246771879746813</v>
      </c>
      <c r="W132" s="3">
        <f t="shared" ref="W132:W195" si="110">U132*E132</f>
        <v>-0.83853401813023798</v>
      </c>
      <c r="X132" s="3">
        <f t="shared" ref="X132:X195" si="111">U132*J132*D132</f>
        <v>0.37854062801420563</v>
      </c>
      <c r="Y132" s="3">
        <f t="shared" ref="Y132:Y195" si="112">U132*J132*E132</f>
        <v>-0.59612852127666849</v>
      </c>
      <c r="Z132" s="3">
        <f t="shared" ref="Z132:Z195" si="113">SIN(0.5+A132*91.5/750*2*PI())</f>
        <v>-0.91120285661406275</v>
      </c>
      <c r="AA132" s="3">
        <f t="shared" ref="AA132:AA195" si="114">Z132*D132</f>
        <v>0.48845475014871542</v>
      </c>
      <c r="AB132" s="3">
        <f t="shared" ref="AB132:AB195" si="115">Z132*E132</f>
        <v>-0.76922207648947782</v>
      </c>
      <c r="AC132" s="3">
        <f t="shared" ref="AC132:AC195" si="116">Z132*J132*D132</f>
        <v>0.34725103766928272</v>
      </c>
      <c r="AD132" s="3">
        <f t="shared" ref="AD132:AD195" si="117">Z132*J132*E132</f>
        <v>-0.54685344789413148</v>
      </c>
      <c r="AE132" s="3">
        <f t="shared" si="93"/>
        <v>-0.56945328205536194</v>
      </c>
      <c r="AF132" s="3">
        <f t="shared" ref="AF132:AF195" si="118">AE132*D132</f>
        <v>0.30525821839639855</v>
      </c>
      <c r="AG132" s="3">
        <f t="shared" ref="AG132:AG195" si="119">AE132*E132</f>
        <v>-0.48072285211448001</v>
      </c>
      <c r="AH132" s="3">
        <f t="shared" ref="AH132:AH195" si="120">AE132*J132*D132</f>
        <v>0.21701341437042568</v>
      </c>
      <c r="AI132" s="3">
        <f t="shared" ref="AI132:AI195" si="121">AE132*J132*E132</f>
        <v>-0.3417542959245789</v>
      </c>
      <c r="AJ132" s="3">
        <f t="shared" si="94"/>
        <v>-6.5439881024806634E-2</v>
      </c>
      <c r="AK132" s="3">
        <f t="shared" ref="AK132:AK195" si="122">AJ132*D132</f>
        <v>3.5079368445474511E-2</v>
      </c>
      <c r="AL132" s="3">
        <f t="shared" ref="AL132:AL195" si="123">AJ132*E132</f>
        <v>-5.5243243369732506E-2</v>
      </c>
      <c r="AM132" s="3">
        <f t="shared" ref="AM132:AM195" si="124">AJ132*J132*D132</f>
        <v>2.4938537479194074E-2</v>
      </c>
      <c r="AN132" s="3">
        <f t="shared" ref="AN132:AN195" si="125">AJ132*J132*E132</f>
        <v>-3.9273389353907964E-2</v>
      </c>
      <c r="AO132" s="3">
        <f t="shared" si="95"/>
        <v>0.45722039734153636</v>
      </c>
      <c r="AP132" s="3">
        <f t="shared" ref="AP132:AP195" si="126">AO132*D132</f>
        <v>-0.24509523134753286</v>
      </c>
      <c r="AQ132" s="3">
        <f t="shared" ref="AQ132:AQ195" si="127">AO132*E132</f>
        <v>0.38597774458620243</v>
      </c>
      <c r="AR132" s="3"/>
      <c r="AS132" s="2"/>
      <c r="AT132" s="2"/>
    </row>
    <row r="133" spans="1:46">
      <c r="A133">
        <f t="shared" ref="A133:A196" si="128">A132+1</f>
        <v>130</v>
      </c>
      <c r="B133" s="1">
        <f t="shared" si="86"/>
        <v>16.033290000000001</v>
      </c>
      <c r="C133" s="1">
        <f t="shared" si="87"/>
        <v>100.7401321537494</v>
      </c>
      <c r="D133" s="1">
        <f t="shared" si="88"/>
        <v>0.20764536153386318</v>
      </c>
      <c r="E133" s="1">
        <f t="shared" si="89"/>
        <v>0.97820417287674211</v>
      </c>
      <c r="F133" s="2">
        <f t="shared" si="90"/>
        <v>6803.9155613800949</v>
      </c>
      <c r="G133" s="2">
        <f t="shared" si="91"/>
        <v>32052.816132652209</v>
      </c>
      <c r="H133" s="2">
        <f t="shared" si="92"/>
        <v>1701.0308016854071</v>
      </c>
      <c r="I133" s="3">
        <f t="shared" si="96"/>
        <v>0.8473147049577775</v>
      </c>
      <c r="J133" s="3">
        <f t="shared" si="97"/>
        <v>0.71794220923768548</v>
      </c>
      <c r="K133" s="3">
        <f t="shared" si="98"/>
        <v>-0.9036934958163686</v>
      </c>
      <c r="L133" s="3">
        <f t="shared" si="99"/>
        <v>-0.18764776265459052</v>
      </c>
      <c r="M133" s="3">
        <f t="shared" si="100"/>
        <v>-0.88399674860914246</v>
      </c>
      <c r="N133" s="3">
        <f t="shared" si="101"/>
        <v>-0.13472024927874557</v>
      </c>
      <c r="O133" s="3">
        <f t="shared" si="102"/>
        <v>-0.63465857865537856</v>
      </c>
      <c r="P133" s="3">
        <f t="shared" si="103"/>
        <v>-0.99479589503569188</v>
      </c>
      <c r="Q133" s="3">
        <f t="shared" si="104"/>
        <v>-0.20656475327708926</v>
      </c>
      <c r="R133" s="3">
        <f t="shared" si="105"/>
        <v>-0.97311349568456729</v>
      </c>
      <c r="S133" s="3">
        <f t="shared" si="106"/>
        <v>-0.1483015553183909</v>
      </c>
      <c r="T133" s="3">
        <f t="shared" si="107"/>
        <v>-0.69863925293078522</v>
      </c>
      <c r="U133" s="3">
        <f t="shared" si="108"/>
        <v>-0.79813221371945808</v>
      </c>
      <c r="V133" s="3">
        <f t="shared" si="109"/>
        <v>-0.16572845206959944</v>
      </c>
      <c r="W133" s="3">
        <f t="shared" si="110"/>
        <v>-0.78073626196772561</v>
      </c>
      <c r="X133" s="3">
        <f t="shared" si="111"/>
        <v>-0.11898345101239008</v>
      </c>
      <c r="Y133" s="3">
        <f t="shared" si="112"/>
        <v>-0.5605235167490813</v>
      </c>
      <c r="Z133" s="3">
        <f t="shared" si="113"/>
        <v>-0.37059164596113586</v>
      </c>
      <c r="AA133" s="3">
        <f t="shared" si="114"/>
        <v>-7.6951636307029475E-2</v>
      </c>
      <c r="AB133" s="3">
        <f t="shared" si="115"/>
        <v>-0.36251429451244332</v>
      </c>
      <c r="AC133" s="3">
        <f t="shared" si="116"/>
        <v>-5.5246827774723631E-2</v>
      </c>
      <c r="AD133" s="3">
        <f t="shared" si="117"/>
        <v>-0.26026431348250456</v>
      </c>
      <c r="AE133" s="3">
        <f t="shared" si="93"/>
        <v>0.16415051558104721</v>
      </c>
      <c r="AF133" s="3">
        <f t="shared" si="118"/>
        <v>3.408509315379659E-2</v>
      </c>
      <c r="AG133" s="3">
        <f t="shared" si="119"/>
        <v>0.16057271932124906</v>
      </c>
      <c r="AH133" s="3">
        <f t="shared" si="120"/>
        <v>2.4471127080909032E-2</v>
      </c>
      <c r="AI133" s="3">
        <f t="shared" si="121"/>
        <v>0.11528193285280033</v>
      </c>
      <c r="AJ133" s="3">
        <f t="shared" si="94"/>
        <v>0.65140861459103072</v>
      </c>
      <c r="AK133" s="3">
        <f t="shared" si="122"/>
        <v>0.13526197728302752</v>
      </c>
      <c r="AL133" s="3">
        <f t="shared" si="123"/>
        <v>0.63721062504080372</v>
      </c>
      <c r="AM133" s="3">
        <f t="shared" si="124"/>
        <v>9.7110282796434397E-2</v>
      </c>
      <c r="AN133" s="3">
        <f t="shared" si="125"/>
        <v>0.457480403891521</v>
      </c>
      <c r="AO133" s="3">
        <f t="shared" si="95"/>
        <v>0.95023277978261766</v>
      </c>
      <c r="AP133" s="3">
        <f t="shared" si="126"/>
        <v>0.19731142909928945</v>
      </c>
      <c r="AQ133" s="3">
        <f t="shared" si="127"/>
        <v>0.9295216703876229</v>
      </c>
      <c r="AR133" s="3"/>
      <c r="AS133" s="2"/>
      <c r="AT133" s="2"/>
    </row>
    <row r="134" spans="1:46">
      <c r="A134">
        <f t="shared" si="128"/>
        <v>131</v>
      </c>
      <c r="B134" s="1">
        <f t="shared" si="86"/>
        <v>16.156623</v>
      </c>
      <c r="C134" s="1">
        <f t="shared" si="87"/>
        <v>101.51505624723977</v>
      </c>
      <c r="D134" s="1">
        <f t="shared" si="88"/>
        <v>0.83276937767016868</v>
      </c>
      <c r="E134" s="1">
        <f t="shared" si="89"/>
        <v>0.55362005347967669</v>
      </c>
      <c r="F134" s="2">
        <f t="shared" si="90"/>
        <v>27287.354198118417</v>
      </c>
      <c r="G134" s="2">
        <f t="shared" si="91"/>
        <v>18140.468292368565</v>
      </c>
      <c r="H134" s="2">
        <f t="shared" si="92"/>
        <v>6822.0467418740218</v>
      </c>
      <c r="I134" s="3">
        <f t="shared" si="96"/>
        <v>0.85141892626592341</v>
      </c>
      <c r="J134" s="3">
        <f t="shared" si="97"/>
        <v>0.72491418800381791</v>
      </c>
      <c r="K134" s="3">
        <f t="shared" si="98"/>
        <v>-0.95187354967635629</v>
      </c>
      <c r="L134" s="3">
        <f t="shared" si="99"/>
        <v>-0.79269114358467363</v>
      </c>
      <c r="M134" s="3">
        <f t="shared" si="100"/>
        <v>-0.52697628547771402</v>
      </c>
      <c r="N134" s="3">
        <f t="shared" si="101"/>
        <v>-0.57463305668950149</v>
      </c>
      <c r="O134" s="3">
        <f t="shared" si="102"/>
        <v>-0.38201258608434518</v>
      </c>
      <c r="P134" s="3">
        <f t="shared" si="103"/>
        <v>-0.65225863128202111</v>
      </c>
      <c r="Q134" s="3">
        <f t="shared" si="104"/>
        <v>-0.54318101445272471</v>
      </c>
      <c r="R134" s="3">
        <f t="shared" si="105"/>
        <v>-0.36110345833293322</v>
      </c>
      <c r="S134" s="3">
        <f t="shared" si="106"/>
        <v>-0.39375962403108705</v>
      </c>
      <c r="T134" s="3">
        <f t="shared" si="107"/>
        <v>-0.26176902028278881</v>
      </c>
      <c r="U134" s="3">
        <f t="shared" si="108"/>
        <v>-0.16112343211533114</v>
      </c>
      <c r="V134" s="3">
        <f t="shared" si="109"/>
        <v>-0.134178660290766</v>
      </c>
      <c r="W134" s="3">
        <f t="shared" si="110"/>
        <v>-8.9201163104518685E-2</v>
      </c>
      <c r="X134" s="3">
        <f t="shared" si="111"/>
        <v>-9.7268014572120753E-2</v>
      </c>
      <c r="Y134" s="3">
        <f t="shared" si="112"/>
        <v>-6.4663188720908288E-2</v>
      </c>
      <c r="Z134" s="3">
        <f t="shared" si="113"/>
        <v>0.37732184234632338</v>
      </c>
      <c r="AA134" s="3">
        <f t="shared" si="114"/>
        <v>0.3142220758321092</v>
      </c>
      <c r="AB134" s="3">
        <f t="shared" si="115"/>
        <v>0.20889293853882168</v>
      </c>
      <c r="AC134" s="3">
        <f t="shared" si="116"/>
        <v>0.22778404095470756</v>
      </c>
      <c r="AD134" s="3">
        <f t="shared" si="117"/>
        <v>0.15142945492060136</v>
      </c>
      <c r="AE134" s="3">
        <f t="shared" si="93"/>
        <v>0.80497550482780655</v>
      </c>
      <c r="AF134" s="3">
        <f t="shared" si="118"/>
        <v>0.67035895019518232</v>
      </c>
      <c r="AG134" s="3">
        <f t="shared" si="119"/>
        <v>0.4456505820326</v>
      </c>
      <c r="AH134" s="3">
        <f t="shared" si="120"/>
        <v>0.48595271405183238</v>
      </c>
      <c r="AI134" s="3">
        <f t="shared" si="121"/>
        <v>0.32305842980759109</v>
      </c>
      <c r="AJ134" s="3">
        <f t="shared" si="94"/>
        <v>0.99626719783028139</v>
      </c>
      <c r="AK134" s="3">
        <f t="shared" si="122"/>
        <v>0.82966081433032624</v>
      </c>
      <c r="AL134" s="3">
        <f t="shared" si="123"/>
        <v>0.55155349934284803</v>
      </c>
      <c r="AM134" s="3">
        <f t="shared" si="124"/>
        <v>0.60143289553885482</v>
      </c>
      <c r="AN134" s="3">
        <f t="shared" si="125"/>
        <v>0.39982895711678496</v>
      </c>
      <c r="AO134" s="3">
        <f t="shared" si="95"/>
        <v>0.89502865159663192</v>
      </c>
      <c r="AP134" s="3">
        <f t="shared" si="126"/>
        <v>0.74535245318709742</v>
      </c>
      <c r="AQ134" s="3">
        <f t="shared" si="127"/>
        <v>0.49550580996277027</v>
      </c>
      <c r="AR134" s="3"/>
      <c r="AS134" s="2"/>
      <c r="AT134" s="2"/>
    </row>
    <row r="135" spans="1:46">
      <c r="A135">
        <f t="shared" si="128"/>
        <v>132</v>
      </c>
      <c r="B135" s="1">
        <f t="shared" si="86"/>
        <v>16.279955999999999</v>
      </c>
      <c r="C135" s="1">
        <f t="shared" si="87"/>
        <v>102.28998034073014</v>
      </c>
      <c r="D135" s="1">
        <f t="shared" si="88"/>
        <v>0.98233901665681422</v>
      </c>
      <c r="E135" s="1">
        <f t="shared" si="89"/>
        <v>-0.18710974414424097</v>
      </c>
      <c r="F135" s="2">
        <f t="shared" si="90"/>
        <v>32188.302558793832</v>
      </c>
      <c r="G135" s="2">
        <f t="shared" si="91"/>
        <v>-6131.0249863743438</v>
      </c>
      <c r="H135" s="2">
        <f t="shared" si="92"/>
        <v>8047.3212244526221</v>
      </c>
      <c r="I135" s="3">
        <f t="shared" si="96"/>
        <v>0.85547166288116394</v>
      </c>
      <c r="J135" s="3">
        <f t="shared" si="97"/>
        <v>0.73183176599266375</v>
      </c>
      <c r="K135" s="3">
        <f t="shared" si="98"/>
        <v>-0.48407841415627129</v>
      </c>
      <c r="L135" s="3">
        <f t="shared" si="99"/>
        <v>-0.4755291133470616</v>
      </c>
      <c r="M135" s="3">
        <f t="shared" si="100"/>
        <v>9.0575788218529837E-2</v>
      </c>
      <c r="N135" s="3">
        <f t="shared" si="101"/>
        <v>-0.34800731080170566</v>
      </c>
      <c r="O135" s="3">
        <f t="shared" si="102"/>
        <v>6.6286239048144194E-2</v>
      </c>
      <c r="P135" s="3">
        <f t="shared" si="103"/>
        <v>4.7592672815451903E-2</v>
      </c>
      <c r="Q135" s="3">
        <f t="shared" si="104"/>
        <v>4.6752139413600513E-2</v>
      </c>
      <c r="R135" s="3">
        <f t="shared" si="105"/>
        <v>-8.9050528336397788E-3</v>
      </c>
      <c r="S135" s="3">
        <f t="shared" si="106"/>
        <v>3.4214700750990486E-2</v>
      </c>
      <c r="T135" s="3">
        <f t="shared" si="107"/>
        <v>-6.5170005415005729E-3</v>
      </c>
      <c r="U135" s="3">
        <f t="shared" si="108"/>
        <v>0.56508061803589116</v>
      </c>
      <c r="V135" s="3">
        <f t="shared" si="109"/>
        <v>0.5551007386532022</v>
      </c>
      <c r="W135" s="3">
        <f t="shared" si="110"/>
        <v>-0.10573208986156515</v>
      </c>
      <c r="X135" s="3">
        <f t="shared" si="111"/>
        <v>0.40624035387240504</v>
      </c>
      <c r="Y135" s="3">
        <f t="shared" si="112"/>
        <v>-7.7378102045484246E-2</v>
      </c>
      <c r="Z135" s="3">
        <f t="shared" si="113"/>
        <v>0.91416830261991222</v>
      </c>
      <c r="AA135" s="3">
        <f t="shared" si="114"/>
        <v>0.89802319145447351</v>
      </c>
      <c r="AB135" s="3">
        <f t="shared" si="115"/>
        <v>-0.17104979720798683</v>
      </c>
      <c r="AC135" s="3">
        <f t="shared" si="116"/>
        <v>0.65720189810449536</v>
      </c>
      <c r="AD135" s="3">
        <f t="shared" si="117"/>
        <v>-0.12517967516340803</v>
      </c>
      <c r="AE135" s="3">
        <f t="shared" si="93"/>
        <v>0.99082374388643335</v>
      </c>
      <c r="AF135" s="3">
        <f t="shared" si="118"/>
        <v>0.97332482224962213</v>
      </c>
      <c r="AG135" s="3">
        <f t="shared" si="119"/>
        <v>-0.18539277721062949</v>
      </c>
      <c r="AH135" s="3">
        <f t="shared" si="120"/>
        <v>0.71231002355143647</v>
      </c>
      <c r="AI135" s="3">
        <f t="shared" si="121"/>
        <v>-0.13567632354833944</v>
      </c>
      <c r="AJ135" s="3">
        <f t="shared" si="94"/>
        <v>0.77220277433710871</v>
      </c>
      <c r="AK135" s="3">
        <f t="shared" si="122"/>
        <v>0.75856491400197923</v>
      </c>
      <c r="AL135" s="3">
        <f t="shared" si="123"/>
        <v>-0.14448666353368947</v>
      </c>
      <c r="AM135" s="3">
        <f t="shared" si="124"/>
        <v>0.55514190063414159</v>
      </c>
      <c r="AN135" s="3">
        <f t="shared" si="125"/>
        <v>-0.10573993013624777</v>
      </c>
      <c r="AO135" s="3">
        <f t="shared" si="95"/>
        <v>0.32345685568844917</v>
      </c>
      <c r="AP135" s="3">
        <f t="shared" si="126"/>
        <v>0.31774428954789624</v>
      </c>
      <c r="AQ135" s="3">
        <f t="shared" si="127"/>
        <v>-6.0521929509566398E-2</v>
      </c>
      <c r="AR135" s="3"/>
      <c r="AS135" s="2"/>
      <c r="AT135" s="2"/>
    </row>
    <row r="136" spans="1:46">
      <c r="A136">
        <f t="shared" si="128"/>
        <v>133</v>
      </c>
      <c r="B136" s="1">
        <f t="shared" si="86"/>
        <v>16.403289000000001</v>
      </c>
      <c r="C136" s="1">
        <f t="shared" si="87"/>
        <v>103.06490443422054</v>
      </c>
      <c r="D136" s="1">
        <f t="shared" si="88"/>
        <v>0.57094228038718275</v>
      </c>
      <c r="E136" s="1">
        <f t="shared" si="89"/>
        <v>-0.82099020241796039</v>
      </c>
      <c r="F136" s="2">
        <f t="shared" si="90"/>
        <v>18708.065701446816</v>
      </c>
      <c r="G136" s="2">
        <f t="shared" si="91"/>
        <v>-26901.385962629309</v>
      </c>
      <c r="H136" s="2">
        <f t="shared" si="92"/>
        <v>4677.1591609318011</v>
      </c>
      <c r="I136" s="3">
        <f t="shared" si="96"/>
        <v>0.85947266973741721</v>
      </c>
      <c r="J136" s="3">
        <f t="shared" si="97"/>
        <v>0.7386932700255634</v>
      </c>
      <c r="K136" s="3">
        <f t="shared" si="98"/>
        <v>0.24611759541269213</v>
      </c>
      <c r="L136" s="3">
        <f t="shared" si="99"/>
        <v>0.14051894116833247</v>
      </c>
      <c r="M136" s="3">
        <f t="shared" si="100"/>
        <v>-0.2020601344764878</v>
      </c>
      <c r="N136" s="3">
        <f t="shared" si="101"/>
        <v>0.10380039615216528</v>
      </c>
      <c r="O136" s="3">
        <f t="shared" si="102"/>
        <v>-0.14926046147824185</v>
      </c>
      <c r="P136" s="3">
        <f t="shared" si="103"/>
        <v>0.72137221733954027</v>
      </c>
      <c r="Q136" s="3">
        <f t="shared" si="104"/>
        <v>0.41186189877579554</v>
      </c>
      <c r="R136" s="3">
        <f t="shared" si="105"/>
        <v>-0.59223952273228209</v>
      </c>
      <c r="S136" s="3">
        <f t="shared" si="106"/>
        <v>0.30423961280563</v>
      </c>
      <c r="T136" s="3">
        <f t="shared" si="107"/>
        <v>-0.43748334968548841</v>
      </c>
      <c r="U136" s="3">
        <f t="shared" si="108"/>
        <v>0.97846537918145426</v>
      </c>
      <c r="V136" s="3">
        <f t="shared" si="109"/>
        <v>0.55864725486976896</v>
      </c>
      <c r="W136" s="3">
        <f t="shared" si="110"/>
        <v>-0.80331048971314856</v>
      </c>
      <c r="X136" s="3">
        <f t="shared" si="111"/>
        <v>0.41266896749055398</v>
      </c>
      <c r="Y136" s="3">
        <f t="shared" si="112"/>
        <v>-0.59340005249204242</v>
      </c>
      <c r="Z136" s="3">
        <f t="shared" si="113"/>
        <v>0.93964551494084292</v>
      </c>
      <c r="AA136" s="3">
        <f t="shared" si="114"/>
        <v>0.53648335305591344</v>
      </c>
      <c r="AB136" s="3">
        <f t="shared" si="115"/>
        <v>-0.77143976151241123</v>
      </c>
      <c r="AC136" s="3">
        <f t="shared" si="116"/>
        <v>0.39629664238315154</v>
      </c>
      <c r="AD136" s="3">
        <f t="shared" si="117"/>
        <v>-0.56985736005934384</v>
      </c>
      <c r="AE136" s="3">
        <f t="shared" si="93"/>
        <v>0.61665274720554708</v>
      </c>
      <c r="AF136" s="3">
        <f t="shared" si="118"/>
        <v>0.35207312569655597</v>
      </c>
      <c r="AG136" s="3">
        <f t="shared" si="119"/>
        <v>-0.50626586374987348</v>
      </c>
      <c r="AH136" s="3">
        <f t="shared" si="120"/>
        <v>0.26007404850891014</v>
      </c>
      <c r="AI136" s="3">
        <f t="shared" si="121"/>
        <v>-0.37397518639571037</v>
      </c>
      <c r="AJ136" s="3">
        <f t="shared" si="94"/>
        <v>0.10716837297076916</v>
      </c>
      <c r="AK136" s="3">
        <f t="shared" si="122"/>
        <v>6.1186955249315063E-2</v>
      </c>
      <c r="AL136" s="3">
        <f t="shared" si="123"/>
        <v>-8.7984184218075245E-2</v>
      </c>
      <c r="AM136" s="3">
        <f t="shared" si="124"/>
        <v>4.5198392056024356E-2</v>
      </c>
      <c r="AN136" s="3">
        <f t="shared" si="125"/>
        <v>-6.4993324750581574E-2</v>
      </c>
      <c r="AO136" s="3">
        <f t="shared" si="95"/>
        <v>-0.43472646587612762</v>
      </c>
      <c r="AP136" s="3">
        <f t="shared" si="126"/>
        <v>-0.24820371977197708</v>
      </c>
      <c r="AQ136" s="3">
        <f t="shared" si="127"/>
        <v>0.35690616921608659</v>
      </c>
      <c r="AR136" s="3"/>
      <c r="AS136" s="2"/>
      <c r="AT136" s="2"/>
    </row>
    <row r="137" spans="1:46">
      <c r="A137">
        <f t="shared" si="128"/>
        <v>134</v>
      </c>
      <c r="B137" s="1">
        <f t="shared" si="86"/>
        <v>16.526622</v>
      </c>
      <c r="C137" s="1">
        <f t="shared" si="87"/>
        <v>103.83982852771091</v>
      </c>
      <c r="D137" s="1">
        <f t="shared" si="88"/>
        <v>-0.16649202140574071</v>
      </c>
      <c r="E137" s="1">
        <f t="shared" si="89"/>
        <v>-0.98604280171209113</v>
      </c>
      <c r="F137" s="2">
        <f t="shared" si="90"/>
        <v>-5455.4440654019054</v>
      </c>
      <c r="G137" s="2">
        <f t="shared" si="91"/>
        <v>-32309.664483700089</v>
      </c>
      <c r="H137" s="2">
        <f t="shared" si="92"/>
        <v>-1363.9026393558279</v>
      </c>
      <c r="I137" s="3">
        <f t="shared" si="96"/>
        <v>0.86342170489666348</v>
      </c>
      <c r="J137" s="3">
        <f t="shared" si="97"/>
        <v>0.74549704048666099</v>
      </c>
      <c r="K137" s="3">
        <f t="shared" si="98"/>
        <v>0.842902425580762</v>
      </c>
      <c r="L137" s="3">
        <f t="shared" si="99"/>
        <v>-0.14033652868274299</v>
      </c>
      <c r="M137" s="3">
        <f t="shared" si="100"/>
        <v>-0.83113786928957201</v>
      </c>
      <c r="N137" s="3">
        <f t="shared" si="101"/>
        <v>-0.10462046680515631</v>
      </c>
      <c r="O137" s="3">
        <f t="shared" si="102"/>
        <v>-0.61961082179176519</v>
      </c>
      <c r="P137" s="3">
        <f t="shared" si="103"/>
        <v>0.99997658255977395</v>
      </c>
      <c r="Q137" s="3">
        <f t="shared" si="104"/>
        <v>-0.16648812258878132</v>
      </c>
      <c r="R137" s="3">
        <f t="shared" si="105"/>
        <v>-0.98601971111372166</v>
      </c>
      <c r="S137" s="3">
        <f t="shared" si="106"/>
        <v>-0.1241164026661169</v>
      </c>
      <c r="T137" s="3">
        <f t="shared" si="107"/>
        <v>-0.73507477649679198</v>
      </c>
      <c r="U137" s="3">
        <f t="shared" si="108"/>
        <v>0.8501878810619794</v>
      </c>
      <c r="V137" s="3">
        <f t="shared" si="109"/>
        <v>-0.1415494988926724</v>
      </c>
      <c r="W137" s="3">
        <f t="shared" si="110"/>
        <v>-0.83832164022402023</v>
      </c>
      <c r="X137" s="3">
        <f t="shared" si="111"/>
        <v>-0.10552473250685718</v>
      </c>
      <c r="Y137" s="3">
        <f t="shared" si="112"/>
        <v>-0.62496630176293044</v>
      </c>
      <c r="Z137" s="3">
        <f t="shared" si="113"/>
        <v>0.4395019865947582</v>
      </c>
      <c r="AA137" s="3">
        <f t="shared" si="114"/>
        <v>-7.3173574160000046E-2</v>
      </c>
      <c r="AB137" s="3">
        <f t="shared" si="115"/>
        <v>-0.43336777021992529</v>
      </c>
      <c r="AC137" s="3">
        <f t="shared" si="116"/>
        <v>-5.4550682978111248E-2</v>
      </c>
      <c r="AD137" s="3">
        <f t="shared" si="117"/>
        <v>-0.32307439014125766</v>
      </c>
      <c r="AE137" s="3">
        <f t="shared" si="93"/>
        <v>-0.10605390209521512</v>
      </c>
      <c r="AF137" s="3">
        <f t="shared" si="118"/>
        <v>1.7657128537798886E-2</v>
      </c>
      <c r="AG137" s="3">
        <f t="shared" si="119"/>
        <v>0.10457368675446573</v>
      </c>
      <c r="AH137" s="3">
        <f t="shared" si="120"/>
        <v>1.3163337068421632E-2</v>
      </c>
      <c r="AI137" s="3">
        <f t="shared" si="121"/>
        <v>7.7959373988233341E-2</v>
      </c>
      <c r="AJ137" s="3">
        <f t="shared" si="94"/>
        <v>-0.61906502512050288</v>
      </c>
      <c r="AK137" s="3">
        <f t="shared" si="122"/>
        <v>0.10306938741390817</v>
      </c>
      <c r="AL137" s="3">
        <f t="shared" si="123"/>
        <v>0.61042461181178675</v>
      </c>
      <c r="AM137" s="3">
        <f t="shared" si="124"/>
        <v>7.683792328184165E-2</v>
      </c>
      <c r="AN137" s="3">
        <f t="shared" si="125"/>
        <v>0.4550697415459059</v>
      </c>
      <c r="AO137" s="3">
        <f t="shared" si="95"/>
        <v>-0.94210363628436544</v>
      </c>
      <c r="AP137" s="3">
        <f t="shared" si="126"/>
        <v>0.15685273877868272</v>
      </c>
      <c r="AQ137" s="3">
        <f t="shared" si="127"/>
        <v>0.92895450902498455</v>
      </c>
      <c r="AR137" s="3"/>
      <c r="AS137" s="2"/>
      <c r="AT137" s="2"/>
    </row>
    <row r="138" spans="1:46">
      <c r="A138">
        <f t="shared" si="128"/>
        <v>135</v>
      </c>
      <c r="B138" s="1">
        <f t="shared" si="86"/>
        <v>16.649954999999999</v>
      </c>
      <c r="C138" s="1">
        <f t="shared" si="87"/>
        <v>104.61475262120128</v>
      </c>
      <c r="D138" s="1">
        <f t="shared" si="88"/>
        <v>-0.80885076967446412</v>
      </c>
      <c r="E138" s="1">
        <f t="shared" si="89"/>
        <v>-0.58801397296070013</v>
      </c>
      <c r="F138" s="2">
        <f t="shared" si="90"/>
        <v>-26503.613169923166</v>
      </c>
      <c r="G138" s="2">
        <f t="shared" si="91"/>
        <v>-19267.453852003262</v>
      </c>
      <c r="H138" s="2">
        <f t="shared" si="92"/>
        <v>-6626.1055051732101</v>
      </c>
      <c r="I138" s="3">
        <f t="shared" si="96"/>
        <v>0.8673185295635738</v>
      </c>
      <c r="J138" s="3">
        <f t="shared" si="97"/>
        <v>0.7522414317243199</v>
      </c>
      <c r="K138" s="3">
        <f t="shared" si="98"/>
        <v>0.98278125303889707</v>
      </c>
      <c r="L138" s="3">
        <f t="shared" si="99"/>
        <v>-0.79492337294214621</v>
      </c>
      <c r="M138" s="3">
        <f t="shared" si="100"/>
        <v>-0.57788910915069702</v>
      </c>
      <c r="N138" s="3">
        <f t="shared" si="101"/>
        <v>-0.59797429617312547</v>
      </c>
      <c r="O138" s="3">
        <f t="shared" si="102"/>
        <v>-0.4347121308454121</v>
      </c>
      <c r="P138" s="3">
        <f t="shared" si="103"/>
        <v>0.73078340884771809</v>
      </c>
      <c r="Q138" s="3">
        <f t="shared" si="104"/>
        <v>-0.59109472271180541</v>
      </c>
      <c r="R138" s="3">
        <f t="shared" si="105"/>
        <v>-0.42971085561031036</v>
      </c>
      <c r="S138" s="3">
        <f t="shared" si="106"/>
        <v>-0.44464594049741835</v>
      </c>
      <c r="T138" s="3">
        <f t="shared" si="107"/>
        <v>-0.32324630925178238</v>
      </c>
      <c r="U138" s="3">
        <f t="shared" si="108"/>
        <v>0.25126042612847221</v>
      </c>
      <c r="V138" s="3">
        <f t="shared" si="109"/>
        <v>-0.20323218906274859</v>
      </c>
      <c r="W138" s="3">
        <f t="shared" si="110"/>
        <v>-0.14774464141560145</v>
      </c>
      <c r="X138" s="3">
        <f t="shared" si="111"/>
        <v>-0.15287967287302967</v>
      </c>
      <c r="Y138" s="3">
        <f t="shared" si="112"/>
        <v>-0.11113964058806829</v>
      </c>
      <c r="Z138" s="3">
        <f t="shared" si="113"/>
        <v>-0.30649102014010771</v>
      </c>
      <c r="AA138" s="3">
        <f t="shared" si="114"/>
        <v>0.2479054975386378</v>
      </c>
      <c r="AB138" s="3">
        <f t="shared" si="115"/>
        <v>0.1802210024293627</v>
      </c>
      <c r="AC138" s="3">
        <f t="shared" si="116"/>
        <v>0.18648478640079477</v>
      </c>
      <c r="AD138" s="3">
        <f t="shared" si="117"/>
        <v>0.13556970489425593</v>
      </c>
      <c r="AE138" s="3">
        <f t="shared" si="93"/>
        <v>-0.76881828056825907</v>
      </c>
      <c r="AF138" s="3">
        <f t="shared" si="118"/>
        <v>0.62185925797743447</v>
      </c>
      <c r="AG138" s="3">
        <f t="shared" si="119"/>
        <v>0.45207589164175627</v>
      </c>
      <c r="AH138" s="3">
        <f t="shared" si="120"/>
        <v>0.46778829855196846</v>
      </c>
      <c r="AI138" s="3">
        <f t="shared" si="121"/>
        <v>0.34007021597664322</v>
      </c>
      <c r="AJ138" s="3">
        <f t="shared" si="94"/>
        <v>-0.99177846770034073</v>
      </c>
      <c r="AK138" s="3">
        <f t="shared" si="122"/>
        <v>0.80220077694598124</v>
      </c>
      <c r="AL138" s="3">
        <f t="shared" si="123"/>
        <v>0.58317959708935274</v>
      </c>
      <c r="AM138" s="3">
        <f t="shared" si="124"/>
        <v>0.60344866098020677</v>
      </c>
      <c r="AN138" s="3">
        <f t="shared" si="125"/>
        <v>0.43869185506690672</v>
      </c>
      <c r="AO138" s="3">
        <f t="shared" si="95"/>
        <v>-0.90595423181373247</v>
      </c>
      <c r="AP138" s="3">
        <f t="shared" si="126"/>
        <v>0.7327817776923754</v>
      </c>
      <c r="AQ138" s="3">
        <f t="shared" si="127"/>
        <v>0.53271374716935194</v>
      </c>
      <c r="AR138" s="3"/>
      <c r="AS138" s="2"/>
      <c r="AT138" s="2"/>
    </row>
    <row r="139" spans="1:46">
      <c r="A139">
        <f t="shared" si="128"/>
        <v>136</v>
      </c>
      <c r="B139" s="1">
        <f t="shared" si="86"/>
        <v>16.773288000000001</v>
      </c>
      <c r="C139" s="1">
        <f t="shared" si="87"/>
        <v>105.38967671469167</v>
      </c>
      <c r="D139" s="1">
        <f t="shared" si="88"/>
        <v>-0.98931390279016029</v>
      </c>
      <c r="E139" s="1">
        <f t="shared" si="89"/>
        <v>0.1458012405506251</v>
      </c>
      <c r="F139" s="2">
        <f t="shared" si="90"/>
        <v>-32416.848652725181</v>
      </c>
      <c r="G139" s="2">
        <f t="shared" si="91"/>
        <v>4777.4692491223323</v>
      </c>
      <c r="H139" s="2">
        <f t="shared" si="92"/>
        <v>-8104.4594916569931</v>
      </c>
      <c r="I139" s="3">
        <f t="shared" si="96"/>
        <v>0.87116290809995045</v>
      </c>
      <c r="J139" s="3">
        <f t="shared" si="97"/>
        <v>0.75892481244916277</v>
      </c>
      <c r="K139" s="3">
        <f t="shared" si="98"/>
        <v>0.58993097658574412</v>
      </c>
      <c r="L139" s="3">
        <f t="shared" si="99"/>
        <v>-0.58362691682285317</v>
      </c>
      <c r="M139" s="3">
        <f t="shared" si="100"/>
        <v>8.6012668225443262E-2</v>
      </c>
      <c r="N139" s="3">
        <f t="shared" si="101"/>
        <v>-0.44292894839006697</v>
      </c>
      <c r="O139" s="3">
        <f t="shared" si="102"/>
        <v>6.5277148101246588E-2</v>
      </c>
      <c r="P139" s="3">
        <f t="shared" si="103"/>
        <v>6.1259507555435425E-2</v>
      </c>
      <c r="Q139" s="3">
        <f t="shared" si="104"/>
        <v>-6.0604882502671133E-2</v>
      </c>
      <c r="R139" s="3">
        <f t="shared" si="105"/>
        <v>8.9317121971028753E-3</v>
      </c>
      <c r="S139" s="3">
        <f t="shared" si="106"/>
        <v>-4.599454908684323E-2</v>
      </c>
      <c r="T139" s="3">
        <f t="shared" si="107"/>
        <v>6.7784980040361993E-3</v>
      </c>
      <c r="U139" s="3">
        <f t="shared" si="108"/>
        <v>-0.4867606472164705</v>
      </c>
      <c r="V139" s="3">
        <f t="shared" si="109"/>
        <v>0.48155907562239081</v>
      </c>
      <c r="W139" s="3">
        <f t="shared" si="110"/>
        <v>-7.097030621538658E-2</v>
      </c>
      <c r="X139" s="3">
        <f t="shared" si="111"/>
        <v>0.36546713114991514</v>
      </c>
      <c r="Y139" s="3">
        <f t="shared" si="112"/>
        <v>-5.3861126333971915E-2</v>
      </c>
      <c r="Z139" s="3">
        <f t="shared" si="113"/>
        <v>-0.88103848230279891</v>
      </c>
      <c r="AA139" s="3">
        <f t="shared" si="114"/>
        <v>0.87162361943530153</v>
      </c>
      <c r="AB139" s="3">
        <f t="shared" si="115"/>
        <v>-0.12845650369258804</v>
      </c>
      <c r="AC139" s="3">
        <f t="shared" si="116"/>
        <v>0.6614967919061967</v>
      </c>
      <c r="AD139" s="3">
        <f t="shared" si="117"/>
        <v>-9.7488827972772557E-2</v>
      </c>
      <c r="AE139" s="3">
        <f t="shared" si="93"/>
        <v>-0.9970421783927782</v>
      </c>
      <c r="AF139" s="3">
        <f t="shared" si="118"/>
        <v>0.98638768875216265</v>
      </c>
      <c r="AG139" s="3">
        <f t="shared" si="119"/>
        <v>-0.14536998649096472</v>
      </c>
      <c r="AH139" s="3">
        <f t="shared" si="120"/>
        <v>0.74859409168839808</v>
      </c>
      <c r="AI139" s="3">
        <f t="shared" si="121"/>
        <v>-0.11032488973339272</v>
      </c>
      <c r="AJ139" s="3">
        <f t="shared" si="94"/>
        <v>-0.79813221371946252</v>
      </c>
      <c r="AK139" s="3">
        <f t="shared" si="122"/>
        <v>0.78960329529735174</v>
      </c>
      <c r="AL139" s="3">
        <f t="shared" si="123"/>
        <v>-0.11636866688371428</v>
      </c>
      <c r="AM139" s="3">
        <f t="shared" si="124"/>
        <v>0.59924953279278359</v>
      </c>
      <c r="AN139" s="3">
        <f t="shared" si="125"/>
        <v>-8.8315068689681961E-2</v>
      </c>
      <c r="AO139" s="3">
        <f t="shared" si="95"/>
        <v>-0.34713387942403273</v>
      </c>
      <c r="AP139" s="3">
        <f t="shared" si="126"/>
        <v>0.34342437304367873</v>
      </c>
      <c r="AQ139" s="3">
        <f t="shared" si="127"/>
        <v>-5.0612550257175086E-2</v>
      </c>
      <c r="AR139" s="3"/>
      <c r="AS139" s="2"/>
      <c r="AT139" s="2"/>
    </row>
    <row r="140" spans="1:46">
      <c r="A140">
        <f t="shared" si="128"/>
        <v>137</v>
      </c>
      <c r="B140" s="1">
        <f t="shared" si="86"/>
        <v>16.896621</v>
      </c>
      <c r="C140" s="1">
        <f t="shared" si="87"/>
        <v>106.16460080818204</v>
      </c>
      <c r="D140" s="1">
        <f t="shared" si="88"/>
        <v>-0.60482763999612144</v>
      </c>
      <c r="E140" s="1">
        <f t="shared" si="89"/>
        <v>0.79635640632616389</v>
      </c>
      <c r="F140" s="2">
        <f t="shared" si="90"/>
        <v>-19818.387279752911</v>
      </c>
      <c r="G140" s="2">
        <f t="shared" si="91"/>
        <v>26094.210366089414</v>
      </c>
      <c r="H140" s="2">
        <f t="shared" si="92"/>
        <v>-4954.7480268482268</v>
      </c>
      <c r="I140" s="3">
        <f t="shared" si="96"/>
        <v>0.87495460803897573</v>
      </c>
      <c r="J140" s="3">
        <f t="shared" si="97"/>
        <v>0.76554556612863767</v>
      </c>
      <c r="K140" s="3">
        <f t="shared" si="98"/>
        <v>-0.1226989044887396</v>
      </c>
      <c r="L140" s="3">
        <f t="shared" si="99"/>
        <v>7.4211688832033884E-2</v>
      </c>
      <c r="M140" s="3">
        <f t="shared" si="100"/>
        <v>-9.7712058638809884E-2</v>
      </c>
      <c r="N140" s="3">
        <f t="shared" si="101"/>
        <v>5.6812429340281675E-2</v>
      </c>
      <c r="O140" s="3">
        <f t="shared" si="102"/>
        <v>-7.4803033248242362E-2</v>
      </c>
      <c r="P140" s="3">
        <f t="shared" si="103"/>
        <v>-0.64182298706825158</v>
      </c>
      <c r="Q140" s="3">
        <f t="shared" si="104"/>
        <v>0.38819228256375177</v>
      </c>
      <c r="R140" s="3">
        <f t="shared" si="105"/>
        <v>-0.51111984747919681</v>
      </c>
      <c r="S140" s="3">
        <f t="shared" si="106"/>
        <v>0.29717888072203541</v>
      </c>
      <c r="T140" s="3">
        <f t="shared" si="107"/>
        <v>-0.39128553299804464</v>
      </c>
      <c r="U140" s="3">
        <f t="shared" si="108"/>
        <v>-0.95531907272283734</v>
      </c>
      <c r="V140" s="3">
        <f t="shared" si="109"/>
        <v>0.57780338019823685</v>
      </c>
      <c r="W140" s="3">
        <f t="shared" si="110"/>
        <v>-0.76077446364840196</v>
      </c>
      <c r="X140" s="3">
        <f t="shared" si="111"/>
        <v>0.44233481580489964</v>
      </c>
      <c r="Y140" s="3">
        <f t="shared" si="112"/>
        <v>-0.58240751746992658</v>
      </c>
      <c r="Z140" s="3">
        <f t="shared" si="113"/>
        <v>-0.96274892001239087</v>
      </c>
      <c r="AA140" s="3">
        <f t="shared" si="114"/>
        <v>0.58229715719990904</v>
      </c>
      <c r="AB140" s="3">
        <f t="shared" si="115"/>
        <v>-0.76669127013546301</v>
      </c>
      <c r="AC140" s="3">
        <f t="shared" si="116"/>
        <v>0.4457750068637007</v>
      </c>
      <c r="AD140" s="3">
        <f t="shared" si="117"/>
        <v>-0.58693710244173725</v>
      </c>
      <c r="AE140" s="3">
        <f t="shared" si="93"/>
        <v>-0.66173214579951822</v>
      </c>
      <c r="AF140" s="3">
        <f t="shared" si="118"/>
        <v>0.40023389205349197</v>
      </c>
      <c r="AG140" s="3">
        <f t="shared" si="119"/>
        <v>-0.52697463357940544</v>
      </c>
      <c r="AH140" s="3">
        <f t="shared" si="120"/>
        <v>0.30639728147595857</v>
      </c>
      <c r="AI140" s="3">
        <f t="shared" si="121"/>
        <v>-0.40342309419897732</v>
      </c>
      <c r="AJ140" s="3">
        <f t="shared" si="94"/>
        <v>-0.14870885517445495</v>
      </c>
      <c r="AK140" s="3">
        <f t="shared" si="122"/>
        <v>8.99432259216906E-2</v>
      </c>
      <c r="AL140" s="3">
        <f t="shared" si="123"/>
        <v>-0.11842524949560691</v>
      </c>
      <c r="AM140" s="3">
        <f t="shared" si="124"/>
        <v>6.8855637807656592E-2</v>
      </c>
      <c r="AN140" s="3">
        <f t="shared" si="125"/>
        <v>-9.0659924669039549E-2</v>
      </c>
      <c r="AO140" s="3">
        <f t="shared" si="95"/>
        <v>0.41195795185719247</v>
      </c>
      <c r="AP140" s="3">
        <f t="shared" si="126"/>
        <v>-0.24916355579942154</v>
      </c>
      <c r="AQ140" s="3">
        <f t="shared" si="127"/>
        <v>0.32806535409848064</v>
      </c>
      <c r="AR140" s="3"/>
      <c r="AS140" s="2"/>
      <c r="AT140" s="2"/>
    </row>
    <row r="141" spans="1:46">
      <c r="A141">
        <f t="shared" si="128"/>
        <v>138</v>
      </c>
      <c r="B141" s="1">
        <f t="shared" si="86"/>
        <v>17.019953999999998</v>
      </c>
      <c r="C141" s="1">
        <f t="shared" si="87"/>
        <v>106.93952490167241</v>
      </c>
      <c r="D141" s="1">
        <f t="shared" si="88"/>
        <v>0.12504648086968007</v>
      </c>
      <c r="E141" s="1">
        <f t="shared" si="89"/>
        <v>0.99215088450401978</v>
      </c>
      <c r="F141" s="2">
        <f t="shared" si="90"/>
        <v>4097.3980386568064</v>
      </c>
      <c r="G141" s="2">
        <f t="shared" si="91"/>
        <v>32509.808032543217</v>
      </c>
      <c r="H141" s="2">
        <f t="shared" si="92"/>
        <v>1024.3807712844191</v>
      </c>
      <c r="I141" s="3">
        <f t="shared" si="96"/>
        <v>0.87869340009926877</v>
      </c>
      <c r="J141" s="3">
        <f t="shared" si="97"/>
        <v>0.77210209137801367</v>
      </c>
      <c r="K141" s="3">
        <f t="shared" si="98"/>
        <v>-0.76881828056825907</v>
      </c>
      <c r="L141" s="3">
        <f t="shared" si="99"/>
        <v>-9.6138020413339131E-2</v>
      </c>
      <c r="M141" s="3">
        <f t="shared" si="100"/>
        <v>-0.76278373708865788</v>
      </c>
      <c r="N141" s="3">
        <f t="shared" si="101"/>
        <v>-7.4228366622081307E-2</v>
      </c>
      <c r="O141" s="3">
        <f t="shared" si="102"/>
        <v>-0.58894691867528959</v>
      </c>
      <c r="P141" s="3">
        <f t="shared" si="103"/>
        <v>-0.99330819543735949</v>
      </c>
      <c r="Q141" s="3">
        <f t="shared" si="104"/>
        <v>-0.1242096942584542</v>
      </c>
      <c r="R141" s="3">
        <f t="shared" si="105"/>
        <v>-0.98551160468826793</v>
      </c>
      <c r="S141" s="3">
        <f t="shared" si="106"/>
        <v>-9.5902564706376148E-2</v>
      </c>
      <c r="T141" s="3">
        <f t="shared" si="107"/>
        <v>-0.76091557105711394</v>
      </c>
      <c r="U141" s="3">
        <f t="shared" si="108"/>
        <v>-0.89502865159663669</v>
      </c>
      <c r="V141" s="3">
        <f t="shared" si="109"/>
        <v>-0.11192018315969438</v>
      </c>
      <c r="W141" s="3">
        <f t="shared" si="110"/>
        <v>-0.88800346833804322</v>
      </c>
      <c r="X141" s="3">
        <f t="shared" si="111"/>
        <v>-8.6413807485010374E-2</v>
      </c>
      <c r="Y141" s="3">
        <f t="shared" si="112"/>
        <v>-0.685629335054733</v>
      </c>
      <c r="Z141" s="3">
        <f t="shared" si="113"/>
        <v>-0.50591498926923206</v>
      </c>
      <c r="AA141" s="3">
        <f t="shared" si="114"/>
        <v>-6.3262889027339425E-2</v>
      </c>
      <c r="AB141" s="3">
        <f t="shared" si="115"/>
        <v>-0.50194400408731021</v>
      </c>
      <c r="AC141" s="3">
        <f t="shared" si="116"/>
        <v>-4.8845408924623961E-2</v>
      </c>
      <c r="AD141" s="3">
        <f t="shared" si="117"/>
        <v>-0.38755201531046651</v>
      </c>
      <c r="AE141" s="3">
        <f t="shared" si="93"/>
        <v>4.7592672815458759E-2</v>
      </c>
      <c r="AF141" s="3">
        <f t="shared" si="118"/>
        <v>5.9512962507552065E-3</v>
      </c>
      <c r="AG141" s="3">
        <f t="shared" si="119"/>
        <v>4.7219112429767826E-2</v>
      </c>
      <c r="AH141" s="3">
        <f t="shared" si="120"/>
        <v>4.5950082816182264E-3</v>
      </c>
      <c r="AI141" s="3">
        <f t="shared" si="121"/>
        <v>3.6457975460037297E-2</v>
      </c>
      <c r="AJ141" s="3">
        <f t="shared" si="94"/>
        <v>0.58563538523620418</v>
      </c>
      <c r="AK141" s="3">
        <f t="shared" si="122"/>
        <v>7.3231643996546719E-2</v>
      </c>
      <c r="AL141" s="3">
        <f t="shared" si="123"/>
        <v>0.58103866545895233</v>
      </c>
      <c r="AM141" s="3">
        <f t="shared" si="124"/>
        <v>5.6542305484783881E-2</v>
      </c>
      <c r="AN141" s="3">
        <f t="shared" si="125"/>
        <v>0.44862116877234715</v>
      </c>
      <c r="AO141" s="3">
        <f t="shared" si="95"/>
        <v>0.93337943993695138</v>
      </c>
      <c r="AP141" s="3">
        <f t="shared" si="126"/>
        <v>0.11671581428022869</v>
      </c>
      <c r="AQ141" s="3">
        <f t="shared" si="127"/>
        <v>0.92605323691131292</v>
      </c>
      <c r="AR141" s="3"/>
      <c r="AS141" s="2"/>
      <c r="AT141" s="2"/>
    </row>
    <row r="142" spans="1:46">
      <c r="A142">
        <f t="shared" si="128"/>
        <v>139</v>
      </c>
      <c r="B142" s="1">
        <f t="shared" si="86"/>
        <v>17.143287000000001</v>
      </c>
      <c r="C142" s="1">
        <f t="shared" si="87"/>
        <v>107.71444899516281</v>
      </c>
      <c r="D142" s="1">
        <f t="shared" si="88"/>
        <v>0.78351259500606563</v>
      </c>
      <c r="E142" s="1">
        <f t="shared" si="89"/>
        <v>0.62137590351321226</v>
      </c>
      <c r="F142" s="2">
        <f t="shared" si="90"/>
        <v>25673.357200563751</v>
      </c>
      <c r="G142" s="2">
        <f t="shared" si="91"/>
        <v>20360.624230417427</v>
      </c>
      <c r="H142" s="2">
        <f t="shared" si="92"/>
        <v>6418.5351782896896</v>
      </c>
      <c r="I142" s="3">
        <f t="shared" si="96"/>
        <v>0.88237905819875062</v>
      </c>
      <c r="J142" s="3">
        <f t="shared" si="97"/>
        <v>0.77859280234771411</v>
      </c>
      <c r="K142" s="3">
        <f t="shared" si="98"/>
        <v>-0.99818990895594506</v>
      </c>
      <c r="L142" s="3">
        <f t="shared" si="99"/>
        <v>-0.78209436587494086</v>
      </c>
      <c r="M142" s="3">
        <f t="shared" si="100"/>
        <v>-0.62025115655527141</v>
      </c>
      <c r="N142" s="3">
        <f t="shared" si="101"/>
        <v>-0.60893304402692872</v>
      </c>
      <c r="O142" s="3">
        <f t="shared" si="102"/>
        <v>-0.48292308614177953</v>
      </c>
      <c r="P142" s="3">
        <f t="shared" si="103"/>
        <v>-0.80064887647267358</v>
      </c>
      <c r="Q142" s="3">
        <f t="shared" si="104"/>
        <v>-0.62731847889379533</v>
      </c>
      <c r="R142" s="3">
        <f t="shared" si="105"/>
        <v>-0.49750391901504581</v>
      </c>
      <c r="S142" s="3">
        <f t="shared" si="106"/>
        <v>-0.4884256524464255</v>
      </c>
      <c r="T142" s="3">
        <f t="shared" si="107"/>
        <v>-0.38735297048489475</v>
      </c>
      <c r="U142" s="3">
        <f t="shared" si="108"/>
        <v>-0.33926516433463516</v>
      </c>
      <c r="V142" s="3">
        <f t="shared" si="109"/>
        <v>-0.26581852930298933</v>
      </c>
      <c r="W142" s="3">
        <f t="shared" si="110"/>
        <v>-0.21081119801899237</v>
      </c>
      <c r="X142" s="3">
        <f t="shared" si="111"/>
        <v>-0.20696439364596239</v>
      </c>
      <c r="Y142" s="3">
        <f t="shared" si="112"/>
        <v>-0.16413608143188613</v>
      </c>
      <c r="Z142" s="3">
        <f t="shared" si="113"/>
        <v>0.23391865481900329</v>
      </c>
      <c r="AA142" s="3">
        <f t="shared" si="114"/>
        <v>0.18327821225756538</v>
      </c>
      <c r="AB142" s="3">
        <f t="shared" si="115"/>
        <v>0.1453514154867534</v>
      </c>
      <c r="AC142" s="3">
        <f t="shared" si="116"/>
        <v>0.14269909689089699</v>
      </c>
      <c r="AD142" s="3">
        <f t="shared" si="117"/>
        <v>0.11316956590903826</v>
      </c>
      <c r="AE142" s="3">
        <f t="shared" si="93"/>
        <v>0.73001784109265666</v>
      </c>
      <c r="AF142" s="3">
        <f t="shared" si="118"/>
        <v>0.57197817307523302</v>
      </c>
      <c r="AG142" s="3">
        <f t="shared" si="119"/>
        <v>0.45361549558971415</v>
      </c>
      <c r="AH142" s="3">
        <f t="shared" si="120"/>
        <v>0.44533808865637153</v>
      </c>
      <c r="AI142" s="3">
        <f t="shared" si="121"/>
        <v>0.35318175989954265</v>
      </c>
      <c r="AJ142" s="3">
        <f t="shared" si="94"/>
        <v>0.98554982112946743</v>
      </c>
      <c r="AK142" s="3">
        <f t="shared" si="122"/>
        <v>0.77219069786091288</v>
      </c>
      <c r="AL142" s="3">
        <f t="shared" si="123"/>
        <v>0.6123969105616075</v>
      </c>
      <c r="AM142" s="3">
        <f t="shared" si="124"/>
        <v>0.6012221193943651</v>
      </c>
      <c r="AN142" s="3">
        <f t="shared" si="125"/>
        <v>0.47680782674324446</v>
      </c>
      <c r="AO142" s="3">
        <f t="shared" si="95"/>
        <v>0.91630759192033384</v>
      </c>
      <c r="AP142" s="3">
        <f t="shared" si="126"/>
        <v>0.71793853916925976</v>
      </c>
      <c r="AQ142" s="3">
        <f t="shared" si="127"/>
        <v>0.56937145782551324</v>
      </c>
      <c r="AR142" s="3"/>
      <c r="AS142" s="2"/>
      <c r="AT142" s="2"/>
    </row>
    <row r="143" spans="1:46">
      <c r="A143">
        <f t="shared" si="128"/>
        <v>140</v>
      </c>
      <c r="B143" s="1">
        <f t="shared" si="86"/>
        <v>17.26662</v>
      </c>
      <c r="C143" s="1">
        <f t="shared" si="87"/>
        <v>108.48937308865318</v>
      </c>
      <c r="D143" s="1">
        <f t="shared" si="88"/>
        <v>0.9945525019619299</v>
      </c>
      <c r="E143" s="1">
        <f t="shared" si="89"/>
        <v>-0.10423684972822959</v>
      </c>
      <c r="F143" s="2">
        <f t="shared" si="90"/>
        <v>32588.501831786558</v>
      </c>
      <c r="G143" s="2">
        <f t="shared" si="91"/>
        <v>-3415.528855044899</v>
      </c>
      <c r="H143" s="2">
        <f t="shared" si="92"/>
        <v>8147.3740960721298</v>
      </c>
      <c r="I143" s="3">
        <f t="shared" si="96"/>
        <v>0.88601135946831477</v>
      </c>
      <c r="J143" s="3">
        <f t="shared" si="97"/>
        <v>0.78501612910689134</v>
      </c>
      <c r="K143" s="3">
        <f t="shared" si="98"/>
        <v>-0.68647997510677572</v>
      </c>
      <c r="L143" s="3">
        <f t="shared" si="99"/>
        <v>-0.68274037678920718</v>
      </c>
      <c r="M143" s="3">
        <f t="shared" si="100"/>
        <v>7.1556510006643773E-2</v>
      </c>
      <c r="N143" s="3">
        <f t="shared" si="101"/>
        <v>-0.53596220777204384</v>
      </c>
      <c r="O143" s="3">
        <f t="shared" si="102"/>
        <v>5.6173014497814026E-2</v>
      </c>
      <c r="P143" s="3">
        <f t="shared" si="103"/>
        <v>-0.16938580245012522</v>
      </c>
      <c r="Q143" s="3">
        <f t="shared" si="104"/>
        <v>-0.16846307362360122</v>
      </c>
      <c r="R143" s="3">
        <f t="shared" si="105"/>
        <v>1.7656242436089285E-2</v>
      </c>
      <c r="S143" s="3">
        <f t="shared" si="106"/>
        <v>-0.1322462299534487</v>
      </c>
      <c r="T143" s="3">
        <f t="shared" si="107"/>
        <v>1.3860435091751642E-2</v>
      </c>
      <c r="U143" s="3">
        <f t="shared" si="108"/>
        <v>0.40430990963590868</v>
      </c>
      <c r="V143" s="3">
        <f t="shared" si="109"/>
        <v>0.40210743219639478</v>
      </c>
      <c r="W143" s="3">
        <f t="shared" si="110"/>
        <v>-4.2143991294352298E-2</v>
      </c>
      <c r="X143" s="3">
        <f t="shared" si="111"/>
        <v>0.3156608199079256</v>
      </c>
      <c r="Y143" s="3">
        <f t="shared" si="112"/>
        <v>-3.3083712911006972E-2</v>
      </c>
      <c r="Z143" s="3">
        <f t="shared" si="113"/>
        <v>0.84290242558076567</v>
      </c>
      <c r="AA143" s="3">
        <f t="shared" si="114"/>
        <v>0.83831071627112996</v>
      </c>
      <c r="AB143" s="3">
        <f t="shared" si="115"/>
        <v>-8.7861493470822505E-2</v>
      </c>
      <c r="AC143" s="3">
        <f t="shared" si="116"/>
        <v>0.65808743347598786</v>
      </c>
      <c r="AD143" s="3">
        <f t="shared" si="117"/>
        <v>-6.8972689502015488E-2</v>
      </c>
      <c r="AE143" s="3">
        <f t="shared" si="93"/>
        <v>0.99983275858867893</v>
      </c>
      <c r="AF143" s="3">
        <f t="shared" si="118"/>
        <v>0.99438617159786891</v>
      </c>
      <c r="AG143" s="3">
        <f t="shared" si="119"/>
        <v>-0.10421941701036938</v>
      </c>
      <c r="AH143" s="3">
        <f t="shared" si="120"/>
        <v>0.78060918326518003</v>
      </c>
      <c r="AI143" s="3">
        <f t="shared" si="121"/>
        <v>-8.1813923319257076E-2</v>
      </c>
      <c r="AJ143" s="3">
        <f t="shared" si="94"/>
        <v>0.82266145799180324</v>
      </c>
      <c r="AK143" s="3">
        <f t="shared" si="122"/>
        <v>0.81818001131339702</v>
      </c>
      <c r="AL143" s="3">
        <f t="shared" si="123"/>
        <v>-8.5751638773897854E-2</v>
      </c>
      <c r="AM143" s="3">
        <f t="shared" si="124"/>
        <v>0.64228450539387549</v>
      </c>
      <c r="AN143" s="3">
        <f t="shared" si="125"/>
        <v>-6.7316419534857702E-2</v>
      </c>
      <c r="AO143" s="3">
        <f t="shared" si="95"/>
        <v>0.37059164596113953</v>
      </c>
      <c r="AP143" s="3">
        <f t="shared" si="126"/>
        <v>0.36857284869684104</v>
      </c>
      <c r="AQ143" s="3">
        <f t="shared" si="127"/>
        <v>-3.8629305710588563E-2</v>
      </c>
      <c r="AR143" s="3"/>
      <c r="AS143" s="2"/>
      <c r="AT143" s="2"/>
    </row>
    <row r="144" spans="1:46">
      <c r="A144">
        <f t="shared" si="128"/>
        <v>141</v>
      </c>
      <c r="B144" s="1">
        <f t="shared" si="86"/>
        <v>17.389952999999998</v>
      </c>
      <c r="C144" s="1">
        <f t="shared" si="87"/>
        <v>109.26429718214355</v>
      </c>
      <c r="D144" s="1">
        <f t="shared" si="88"/>
        <v>0.63765150199306053</v>
      </c>
      <c r="E144" s="1">
        <f t="shared" si="89"/>
        <v>-0.77032497168791947</v>
      </c>
      <c r="F144" s="2">
        <f t="shared" si="90"/>
        <v>20893.926765806613</v>
      </c>
      <c r="G144" s="2">
        <f t="shared" si="91"/>
        <v>-25241.238347298058</v>
      </c>
      <c r="H144" s="2">
        <f t="shared" si="92"/>
        <v>5223.6411043271519</v>
      </c>
      <c r="I144" s="3">
        <f t="shared" si="96"/>
        <v>0.88959008426530384</v>
      </c>
      <c r="J144" s="3">
        <f t="shared" si="97"/>
        <v>0.79137051802315039</v>
      </c>
      <c r="K144" s="3">
        <f t="shared" si="98"/>
        <v>-2.6548214557869021E-3</v>
      </c>
      <c r="L144" s="3">
        <f t="shared" si="99"/>
        <v>-1.6928508888059217E-3</v>
      </c>
      <c r="M144" s="3">
        <f t="shared" si="100"/>
        <v>2.0450752627655263E-3</v>
      </c>
      <c r="N144" s="3">
        <f t="shared" si="101"/>
        <v>-1.3396722848102926E-3</v>
      </c>
      <c r="O144" s="3">
        <f t="shared" si="102"/>
        <v>1.618412270091085E-3</v>
      </c>
      <c r="P144" s="3">
        <f t="shared" si="103"/>
        <v>0.55466857021934191</v>
      </c>
      <c r="Q144" s="3">
        <f t="shared" si="104"/>
        <v>0.35368524690870673</v>
      </c>
      <c r="R144" s="3">
        <f t="shared" si="105"/>
        <v>-0.42727505065039334</v>
      </c>
      <c r="S144" s="3">
        <f t="shared" si="106"/>
        <v>0.27989607706328912</v>
      </c>
      <c r="T144" s="3">
        <f t="shared" si="107"/>
        <v>-0.33813287817156962</v>
      </c>
      <c r="U144" s="3">
        <f t="shared" si="108"/>
        <v>0.92406570112978748</v>
      </c>
      <c r="V144" s="3">
        <f t="shared" si="109"/>
        <v>0.58923188226567957</v>
      </c>
      <c r="W144" s="3">
        <f t="shared" si="110"/>
        <v>-0.71183088506058101</v>
      </c>
      <c r="X144" s="3">
        <f t="shared" si="111"/>
        <v>0.46630073990434678</v>
      </c>
      <c r="Y144" s="3">
        <f t="shared" si="112"/>
        <v>-0.56332197625526959</v>
      </c>
      <c r="Z144" s="3">
        <f t="shared" si="113"/>
        <v>0.98038179367245726</v>
      </c>
      <c r="AA144" s="3">
        <f t="shared" si="114"/>
        <v>0.62514192326189311</v>
      </c>
      <c r="AB144" s="3">
        <f t="shared" si="115"/>
        <v>-0.75521257745408732</v>
      </c>
      <c r="AC144" s="3">
        <f t="shared" si="116"/>
        <v>0.49471888764975291</v>
      </c>
      <c r="AD144" s="3">
        <f t="shared" si="117"/>
        <v>-0.59765296863743966</v>
      </c>
      <c r="AE144" s="3">
        <f t="shared" si="93"/>
        <v>0.7045364938113805</v>
      </c>
      <c r="AF144" s="3">
        <f t="shared" si="118"/>
        <v>0.4492487534877514</v>
      </c>
      <c r="AG144" s="3">
        <f t="shared" si="119"/>
        <v>-0.54272205464835777</v>
      </c>
      <c r="AH144" s="3">
        <f t="shared" si="120"/>
        <v>0.35552221876885637</v>
      </c>
      <c r="AI144" s="3">
        <f t="shared" si="121"/>
        <v>-0.42949423352965937</v>
      </c>
      <c r="AJ144" s="3">
        <f t="shared" si="94"/>
        <v>0.18998845151458435</v>
      </c>
      <c r="AK144" s="3">
        <f t="shared" si="122"/>
        <v>0.12114642146961047</v>
      </c>
      <c r="AL144" s="3">
        <f t="shared" si="123"/>
        <v>-0.14635284853400385</v>
      </c>
      <c r="AM144" s="3">
        <f t="shared" si="124"/>
        <v>9.5871706315056551E-2</v>
      </c>
      <c r="AN144" s="3">
        <f t="shared" si="125"/>
        <v>-0.1158193295585183</v>
      </c>
      <c r="AO144" s="3">
        <f t="shared" si="95"/>
        <v>-0.38892923636623078</v>
      </c>
      <c r="AP144" s="3">
        <f t="shared" si="126"/>
        <v>-0.24800131173794113</v>
      </c>
      <c r="AQ144" s="3">
        <f t="shared" si="127"/>
        <v>0.29960190299242084</v>
      </c>
      <c r="AR144" s="3"/>
      <c r="AS144" s="2"/>
      <c r="AT144" s="2"/>
    </row>
    <row r="145" spans="1:46">
      <c r="A145">
        <f t="shared" si="128"/>
        <v>142</v>
      </c>
      <c r="B145" s="1">
        <f t="shared" si="86"/>
        <v>17.513286000000001</v>
      </c>
      <c r="C145" s="1">
        <f t="shared" si="87"/>
        <v>110.03922127563395</v>
      </c>
      <c r="D145" s="1">
        <f t="shared" si="88"/>
        <v>-8.3381478569577311E-2</v>
      </c>
      <c r="E145" s="1">
        <f t="shared" si="89"/>
        <v>-0.99651770131370532</v>
      </c>
      <c r="F145" s="2">
        <f t="shared" si="90"/>
        <v>-2732.1609082893397</v>
      </c>
      <c r="G145" s="2">
        <f t="shared" si="91"/>
        <v>-32652.895518946181</v>
      </c>
      <c r="H145" s="2">
        <f t="shared" si="92"/>
        <v>-683.06107244197733</v>
      </c>
      <c r="I145" s="3">
        <f t="shared" si="96"/>
        <v>0.89311501618679157</v>
      </c>
      <c r="J145" s="3">
        <f t="shared" si="97"/>
        <v>0.79765443213833298</v>
      </c>
      <c r="K145" s="3">
        <f t="shared" si="98"/>
        <v>0.68260941200140723</v>
      </c>
      <c r="L145" s="3">
        <f t="shared" si="99"/>
        <v>-5.6916982058187106E-2</v>
      </c>
      <c r="M145" s="3">
        <f t="shared" si="100"/>
        <v>-0.6802323621427423</v>
      </c>
      <c r="N145" s="3">
        <f t="shared" si="101"/>
        <v>-4.5400083002650929E-2</v>
      </c>
      <c r="O145" s="3">
        <f t="shared" si="102"/>
        <v>-0.54259035854708604</v>
      </c>
      <c r="P145" s="3">
        <f t="shared" si="103"/>
        <v>0.97486974973559082</v>
      </c>
      <c r="Q145" s="3">
        <f t="shared" si="104"/>
        <v>-8.1286081145707359E-2</v>
      </c>
      <c r="R145" s="3">
        <f t="shared" si="105"/>
        <v>-0.97147496208677819</v>
      </c>
      <c r="S145" s="3">
        <f t="shared" si="106"/>
        <v>-6.4838202897029656E-2</v>
      </c>
      <c r="T145" s="3">
        <f t="shared" si="107"/>
        <v>-0.77490130921993761</v>
      </c>
      <c r="U145" s="3">
        <f t="shared" si="108"/>
        <v>0.93227399586705517</v>
      </c>
      <c r="V145" s="3">
        <f t="shared" si="109"/>
        <v>-7.7734384207363061E-2</v>
      </c>
      <c r="W145" s="3">
        <f t="shared" si="110"/>
        <v>-0.92902753935598059</v>
      </c>
      <c r="X145" s="3">
        <f t="shared" si="111"/>
        <v>-6.2005176092547187E-2</v>
      </c>
      <c r="Y145" s="3">
        <f t="shared" si="112"/>
        <v>-0.74104293434586754</v>
      </c>
      <c r="Z145" s="3">
        <f t="shared" si="113"/>
        <v>0.5694532820553535</v>
      </c>
      <c r="AA145" s="3">
        <f t="shared" si="114"/>
        <v>-4.7481856634073921E-2</v>
      </c>
      <c r="AB145" s="3">
        <f t="shared" si="115"/>
        <v>-0.56747027563934593</v>
      </c>
      <c r="AC145" s="3">
        <f t="shared" si="116"/>
        <v>-3.7874113390325974E-2</v>
      </c>
      <c r="AD145" s="3">
        <f t="shared" si="117"/>
        <v>-0.4526451804704858</v>
      </c>
      <c r="AE145" s="3">
        <f t="shared" si="93"/>
        <v>1.1032181185690141E-2</v>
      </c>
      <c r="AF145" s="3">
        <f t="shared" si="118"/>
        <v>-9.1987957911031642E-4</v>
      </c>
      <c r="AG145" s="3">
        <f t="shared" si="119"/>
        <v>-1.0993763835640246E-2</v>
      </c>
      <c r="AH145" s="3">
        <f t="shared" si="120"/>
        <v>-7.3374602331088823E-4</v>
      </c>
      <c r="AI145" s="3">
        <f t="shared" si="121"/>
        <v>-8.7692244493805631E-3</v>
      </c>
      <c r="AJ145" s="3">
        <f t="shared" si="94"/>
        <v>-0.5511783418859596</v>
      </c>
      <c r="AK145" s="3">
        <f t="shared" si="122"/>
        <v>4.5958065101979299E-2</v>
      </c>
      <c r="AL145" s="3">
        <f t="shared" si="123"/>
        <v>0.54925897427009607</v>
      </c>
      <c r="AM145" s="3">
        <f t="shared" si="124"/>
        <v>3.6658654321095829E-2</v>
      </c>
      <c r="AN145" s="3">
        <f t="shared" si="125"/>
        <v>0.43811885521829669</v>
      </c>
      <c r="AO145" s="3">
        <f t="shared" si="95"/>
        <v>-0.92406570112978337</v>
      </c>
      <c r="AP145" s="3">
        <f t="shared" si="126"/>
        <v>7.7049964455634459E-2</v>
      </c>
      <c r="AQ145" s="3">
        <f t="shared" si="127"/>
        <v>0.92084782835268919</v>
      </c>
      <c r="AR145" s="3"/>
      <c r="AS145" s="2"/>
      <c r="AT145" s="2"/>
    </row>
    <row r="146" spans="1:46">
      <c r="A146">
        <f t="shared" si="128"/>
        <v>143</v>
      </c>
      <c r="B146" s="1">
        <f t="shared" si="86"/>
        <v>17.636619</v>
      </c>
      <c r="C146" s="1">
        <f t="shared" si="87"/>
        <v>110.81414536912432</v>
      </c>
      <c r="D146" s="1">
        <f t="shared" si="88"/>
        <v>-0.75679932321316101</v>
      </c>
      <c r="E146" s="1">
        <f t="shared" si="89"/>
        <v>-0.65364729356442797</v>
      </c>
      <c r="F146" s="2">
        <f t="shared" si="90"/>
        <v>-24798.043423725649</v>
      </c>
      <c r="G146" s="2">
        <f t="shared" si="91"/>
        <v>-21418.06086822561</v>
      </c>
      <c r="H146" s="2">
        <f t="shared" si="92"/>
        <v>-6199.700055762215</v>
      </c>
      <c r="I146" s="3">
        <f t="shared" si="96"/>
        <v>0.89658594208266829</v>
      </c>
      <c r="J146" s="3">
        <f t="shared" si="97"/>
        <v>0.80386635154026576</v>
      </c>
      <c r="K146" s="3">
        <f t="shared" si="98"/>
        <v>0.9978565137190113</v>
      </c>
      <c r="L146" s="3">
        <f t="shared" si="99"/>
        <v>-0.7551771342463921</v>
      </c>
      <c r="M146" s="3">
        <f t="shared" si="100"/>
        <v>-0.65224620955806722</v>
      </c>
      <c r="N146" s="3">
        <f t="shared" si="101"/>
        <v>-0.60706148767328061</v>
      </c>
      <c r="O146" s="3">
        <f t="shared" si="102"/>
        <v>-0.5243187807834111</v>
      </c>
      <c r="P146" s="3">
        <f t="shared" si="103"/>
        <v>0.86102717362941628</v>
      </c>
      <c r="Q146" s="3">
        <f t="shared" si="104"/>
        <v>-0.65162478227088316</v>
      </c>
      <c r="R146" s="3">
        <f t="shared" si="105"/>
        <v>-0.56280808172829677</v>
      </c>
      <c r="S146" s="3">
        <f t="shared" si="106"/>
        <v>-0.52381923629731486</v>
      </c>
      <c r="T146" s="3">
        <f t="shared" si="107"/>
        <v>-0.45242247927630164</v>
      </c>
      <c r="U146" s="3">
        <f t="shared" si="108"/>
        <v>0.4243908175694493</v>
      </c>
      <c r="V146" s="3">
        <f t="shared" si="109"/>
        <v>-0.32117868351443929</v>
      </c>
      <c r="W146" s="3">
        <f t="shared" si="110"/>
        <v>-0.2774019093178654</v>
      </c>
      <c r="X146" s="3">
        <f t="shared" si="111"/>
        <v>-0.25818473650925805</v>
      </c>
      <c r="Y146" s="3">
        <f t="shared" si="112"/>
        <v>-0.22299406075365613</v>
      </c>
      <c r="Z146" s="3">
        <f t="shared" si="113"/>
        <v>-0.16001711703943908</v>
      </c>
      <c r="AA146" s="3">
        <f t="shared" si="114"/>
        <v>0.12110084587796867</v>
      </c>
      <c r="AB146" s="3">
        <f t="shared" si="115"/>
        <v>0.10459475547681166</v>
      </c>
      <c r="AC146" s="3">
        <f t="shared" si="116"/>
        <v>9.7348895144362693E-2</v>
      </c>
      <c r="AD146" s="3">
        <f t="shared" si="117"/>
        <v>8.4080204475390816E-2</v>
      </c>
      <c r="AE146" s="3">
        <f t="shared" si="93"/>
        <v>-0.68870758321865511</v>
      </c>
      <c r="AF146" s="3">
        <f t="shared" si="118"/>
        <v>0.52121343287165001</v>
      </c>
      <c r="AG146" s="3">
        <f t="shared" si="119"/>
        <v>0.45017184782817193</v>
      </c>
      <c r="AH146" s="3">
        <f t="shared" si="120"/>
        <v>0.41898594065631051</v>
      </c>
      <c r="AI146" s="3">
        <f t="shared" si="121"/>
        <v>0.36187800087977234</v>
      </c>
      <c r="AJ146" s="3">
        <f t="shared" si="94"/>
        <v>-0.97759218528025416</v>
      </c>
      <c r="AK146" s="3">
        <f t="shared" si="122"/>
        <v>0.73984110419857141</v>
      </c>
      <c r="AL146" s="3">
        <f t="shared" si="123"/>
        <v>0.63900048611817295</v>
      </c>
      <c r="AM146" s="3">
        <f t="shared" si="124"/>
        <v>0.59473336915162722</v>
      </c>
      <c r="AN146" s="3">
        <f t="shared" si="125"/>
        <v>0.51367098940827194</v>
      </c>
      <c r="AO146" s="3">
        <f t="shared" si="95"/>
        <v>-0.92608219251229684</v>
      </c>
      <c r="AP146" s="3">
        <f t="shared" si="126"/>
        <v>0.70085837653306648</v>
      </c>
      <c r="AQ146" s="3">
        <f t="shared" si="127"/>
        <v>0.60533111875387435</v>
      </c>
      <c r="AR146" s="3"/>
      <c r="AS146" s="2"/>
      <c r="AT146" s="2"/>
    </row>
    <row r="147" spans="1:46">
      <c r="A147">
        <f t="shared" si="128"/>
        <v>144</v>
      </c>
      <c r="B147" s="1">
        <f t="shared" si="86"/>
        <v>17.759951999999998</v>
      </c>
      <c r="C147" s="1">
        <f t="shared" si="87"/>
        <v>111.5890694626147</v>
      </c>
      <c r="D147" s="1">
        <f t="shared" si="88"/>
        <v>-0.99804562021313836</v>
      </c>
      <c r="E147" s="1">
        <f t="shared" si="89"/>
        <v>6.2489518908149799E-2</v>
      </c>
      <c r="F147" s="2">
        <f t="shared" si="90"/>
        <v>-32702.960837523904</v>
      </c>
      <c r="G147" s="2">
        <f t="shared" si="91"/>
        <v>2047.5940660633444</v>
      </c>
      <c r="H147" s="2">
        <f t="shared" si="92"/>
        <v>-8175.9897207860295</v>
      </c>
      <c r="I147" s="3">
        <f t="shared" si="96"/>
        <v>0.90000265206853003</v>
      </c>
      <c r="J147" s="3">
        <f t="shared" si="97"/>
        <v>0.81000477373038748</v>
      </c>
      <c r="K147" s="3">
        <f t="shared" si="98"/>
        <v>0.77220277433710438</v>
      </c>
      <c r="L147" s="3">
        <f t="shared" si="99"/>
        <v>-0.77069359684358152</v>
      </c>
      <c r="M147" s="3">
        <f t="shared" si="100"/>
        <v>4.8254579867864217E-2</v>
      </c>
      <c r="N147" s="3">
        <f t="shared" si="101"/>
        <v>-0.62426549252674368</v>
      </c>
      <c r="O147" s="3">
        <f t="shared" si="102"/>
        <v>3.908644004732427E-2</v>
      </c>
      <c r="P147" s="3">
        <f t="shared" si="103"/>
        <v>0.27550498532610107</v>
      </c>
      <c r="Q147" s="3">
        <f t="shared" si="104"/>
        <v>-0.27496654395160014</v>
      </c>
      <c r="R147" s="3">
        <f t="shared" si="105"/>
        <v>1.7216173989824925E-2</v>
      </c>
      <c r="S147" s="3">
        <f t="shared" si="106"/>
        <v>-0.2227242132169425</v>
      </c>
      <c r="T147" s="3">
        <f t="shared" si="107"/>
        <v>1.3945183117131121E-2</v>
      </c>
      <c r="U147" s="3">
        <f t="shared" si="108"/>
        <v>-0.31842810188674336</v>
      </c>
      <c r="V147" s="3">
        <f t="shared" si="109"/>
        <v>0.31780577244084718</v>
      </c>
      <c r="W147" s="3">
        <f t="shared" si="110"/>
        <v>-1.9898418893737901E-2</v>
      </c>
      <c r="X147" s="3">
        <f t="shared" si="111"/>
        <v>0.25742419279615941</v>
      </c>
      <c r="Y147" s="3">
        <f t="shared" si="112"/>
        <v>-1.6117814293614634E-2</v>
      </c>
      <c r="Z147" s="3">
        <f t="shared" si="113"/>
        <v>-0.79997682913545787</v>
      </c>
      <c r="AA147" s="3">
        <f t="shared" si="114"/>
        <v>0.79841337059063788</v>
      </c>
      <c r="AB147" s="3">
        <f t="shared" si="115"/>
        <v>-4.9990167190341918E-2</v>
      </c>
      <c r="AC147" s="3">
        <f t="shared" si="116"/>
        <v>0.64671864158858561</v>
      </c>
      <c r="AD147" s="3">
        <f t="shared" si="117"/>
        <v>-4.049227406375714E-2</v>
      </c>
      <c r="AE147" s="3">
        <f t="shared" si="93"/>
        <v>-0.99918589039420402</v>
      </c>
      <c r="AF147" s="3">
        <f t="shared" si="118"/>
        <v>0.99723310168670021</v>
      </c>
      <c r="AG147" s="3">
        <f t="shared" si="119"/>
        <v>-6.2438645590545107E-2</v>
      </c>
      <c r="AH147" s="3">
        <f t="shared" si="120"/>
        <v>0.80776357288818812</v>
      </c>
      <c r="AI147" s="3">
        <f t="shared" si="121"/>
        <v>-5.0575600993601345E-2</v>
      </c>
      <c r="AJ147" s="3">
        <f t="shared" si="94"/>
        <v>-0.84574747452456878</v>
      </c>
      <c r="AK147" s="3">
        <f t="shared" si="122"/>
        <v>0.84409456275556871</v>
      </c>
      <c r="AL147" s="3">
        <f t="shared" si="123"/>
        <v>-5.2850352800822981E-2</v>
      </c>
      <c r="AM147" s="3">
        <f t="shared" si="124"/>
        <v>0.68372062531187483</v>
      </c>
      <c r="AN147" s="3">
        <f t="shared" si="125"/>
        <v>-4.2809038062001772E-2</v>
      </c>
      <c r="AO147" s="3">
        <f t="shared" si="95"/>
        <v>-0.39381533887159192</v>
      </c>
      <c r="AP147" s="3">
        <f t="shared" si="126"/>
        <v>0.39304567413354524</v>
      </c>
      <c r="AQ147" s="3">
        <f t="shared" si="127"/>
        <v>-2.4609331064735764E-2</v>
      </c>
      <c r="AR147" s="3"/>
      <c r="AS147" s="2"/>
      <c r="AT147" s="2"/>
    </row>
    <row r="148" spans="1:46">
      <c r="A148">
        <f t="shared" si="128"/>
        <v>145</v>
      </c>
      <c r="B148" s="1">
        <f t="shared" si="86"/>
        <v>17.883285000000001</v>
      </c>
      <c r="C148" s="1">
        <f t="shared" si="87"/>
        <v>112.36399355610509</v>
      </c>
      <c r="D148" s="1">
        <f t="shared" si="88"/>
        <v>-0.66935625913779662</v>
      </c>
      <c r="E148" s="1">
        <f t="shared" si="89"/>
        <v>0.74294158475148964</v>
      </c>
      <c r="F148" s="2">
        <f t="shared" si="90"/>
        <v>-21932.796543168181</v>
      </c>
      <c r="G148" s="2">
        <f t="shared" si="91"/>
        <v>24343.966907552061</v>
      </c>
      <c r="H148" s="2">
        <f t="shared" si="92"/>
        <v>-5483.3664748568299</v>
      </c>
      <c r="I148" s="3">
        <f t="shared" si="96"/>
        <v>0.90336493953837016</v>
      </c>
      <c r="J148" s="3">
        <f t="shared" si="97"/>
        <v>0.81606821398716323</v>
      </c>
      <c r="K148" s="3">
        <f t="shared" si="98"/>
        <v>0.12796667928005628</v>
      </c>
      <c r="L148" s="3">
        <f t="shared" si="99"/>
        <v>-8.5655297737184666E-2</v>
      </c>
      <c r="M148" s="3">
        <f t="shared" si="100"/>
        <v>9.5071767499710622E-2</v>
      </c>
      <c r="N148" s="3">
        <f t="shared" si="101"/>
        <v>-6.9900565842922993E-2</v>
      </c>
      <c r="O148" s="3">
        <f t="shared" si="102"/>
        <v>7.7585047504091689E-2</v>
      </c>
      <c r="P148" s="3">
        <f t="shared" si="103"/>
        <v>-0.46094169016757358</v>
      </c>
      <c r="Q148" s="3">
        <f t="shared" si="104"/>
        <v>0.30853420541122034</v>
      </c>
      <c r="R148" s="3">
        <f t="shared" si="105"/>
        <v>-0.34245274977112722</v>
      </c>
      <c r="S148" s="3">
        <f t="shared" si="106"/>
        <v>0.25178495796388312</v>
      </c>
      <c r="T148" s="3">
        <f t="shared" si="107"/>
        <v>-0.27946480388071671</v>
      </c>
      <c r="U148" s="3">
        <f t="shared" si="108"/>
        <v>-0.88497048795577593</v>
      </c>
      <c r="V148" s="3">
        <f t="shared" si="109"/>
        <v>0.59236053526542864</v>
      </c>
      <c r="W148" s="3">
        <f t="shared" si="110"/>
        <v>-0.65748137678016327</v>
      </c>
      <c r="X148" s="3">
        <f t="shared" si="111"/>
        <v>0.48340660405053842</v>
      </c>
      <c r="Y148" s="3">
        <f t="shared" si="112"/>
        <v>-0.53654965287880896</v>
      </c>
      <c r="Z148" s="3">
        <f t="shared" si="113"/>
        <v>-0.99244394241552147</v>
      </c>
      <c r="AA148" s="3">
        <f t="shared" si="114"/>
        <v>0.66429856469922033</v>
      </c>
      <c r="AB148" s="3">
        <f t="shared" si="115"/>
        <v>-0.73732787535520361</v>
      </c>
      <c r="AC148" s="3">
        <f t="shared" si="116"/>
        <v>0.5421129432483287</v>
      </c>
      <c r="AD148" s="3">
        <f t="shared" si="117"/>
        <v>-0.60170984236407077</v>
      </c>
      <c r="AE148" s="3">
        <f t="shared" si="93"/>
        <v>-0.74491862889231097</v>
      </c>
      <c r="AF148" s="3">
        <f t="shared" si="118"/>
        <v>0.49861594679741383</v>
      </c>
      <c r="AG148" s="3">
        <f t="shared" si="119"/>
        <v>-0.55343102666016031</v>
      </c>
      <c r="AH148" s="3">
        <f t="shared" si="120"/>
        <v>0.40690462516848391</v>
      </c>
      <c r="AI148" s="3">
        <f t="shared" si="121"/>
        <v>-0.45163746949163913</v>
      </c>
      <c r="AJ148" s="3">
        <f t="shared" si="94"/>
        <v>-0.23093474355224744</v>
      </c>
      <c r="AK148" s="3">
        <f t="shared" si="122"/>
        <v>0.15457761604907874</v>
      </c>
      <c r="AL148" s="3">
        <f t="shared" si="123"/>
        <v>-0.17157102434888558</v>
      </c>
      <c r="AM148" s="3">
        <f t="shared" si="124"/>
        <v>0.12614587905156516</v>
      </c>
      <c r="AN148" s="3">
        <f t="shared" si="125"/>
        <v>-0.14001365941234314</v>
      </c>
      <c r="AO148" s="3">
        <f t="shared" si="95"/>
        <v>0.36565486483347814</v>
      </c>
      <c r="AP148" s="3">
        <f t="shared" si="126"/>
        <v>-0.2447533724604736</v>
      </c>
      <c r="AQ148" s="3">
        <f t="shared" si="127"/>
        <v>0.27166020475147601</v>
      </c>
      <c r="AR148" s="3"/>
      <c r="AS148" s="2"/>
      <c r="AT148" s="2"/>
    </row>
    <row r="149" spans="1:46">
      <c r="A149">
        <f t="shared" si="128"/>
        <v>146</v>
      </c>
      <c r="B149" s="1">
        <f t="shared" si="86"/>
        <v>18.006618</v>
      </c>
      <c r="C149" s="1">
        <f t="shared" si="87"/>
        <v>113.13891764959547</v>
      </c>
      <c r="D149" s="1">
        <f t="shared" si="88"/>
        <v>4.157013831376271E-2</v>
      </c>
      <c r="E149" s="1">
        <f t="shared" si="89"/>
        <v>0.99913558819640425</v>
      </c>
      <c r="F149" s="2">
        <f t="shared" si="90"/>
        <v>1362.1287221270627</v>
      </c>
      <c r="G149" s="2">
        <f t="shared" si="91"/>
        <v>32738.675818431577</v>
      </c>
      <c r="H149" s="2">
        <f t="shared" si="92"/>
        <v>340.54257306634412</v>
      </c>
      <c r="I149" s="3">
        <f t="shared" si="96"/>
        <v>0.9066726011770726</v>
      </c>
      <c r="J149" s="3">
        <f t="shared" si="97"/>
        <v>0.82205520572519897</v>
      </c>
      <c r="K149" s="3">
        <f t="shared" si="98"/>
        <v>-0.58563538523620695</v>
      </c>
      <c r="L149" s="3">
        <f t="shared" si="99"/>
        <v>-2.4344943965702831E-2</v>
      </c>
      <c r="M149" s="3">
        <f t="shared" si="100"/>
        <v>-0.58512915509660546</v>
      </c>
      <c r="N149" s="3">
        <f t="shared" si="101"/>
        <v>-2.0012887920094282E-2</v>
      </c>
      <c r="O149" s="3">
        <f t="shared" si="102"/>
        <v>-0.48100846796875185</v>
      </c>
      <c r="P149" s="3">
        <f t="shared" si="103"/>
        <v>-0.9448797290902764</v>
      </c>
      <c r="Q149" s="3">
        <f t="shared" si="104"/>
        <v>-3.927878102815343E-2</v>
      </c>
      <c r="R149" s="3">
        <f t="shared" si="105"/>
        <v>-0.94406296389947242</v>
      </c>
      <c r="S149" s="3">
        <f t="shared" si="106"/>
        <v>-3.2289326418733708E-2</v>
      </c>
      <c r="T149" s="3">
        <f t="shared" si="107"/>
        <v>-0.77607187400592181</v>
      </c>
      <c r="U149" s="3">
        <f t="shared" si="108"/>
        <v>-0.96160784101279939</v>
      </c>
      <c r="V149" s="3">
        <f t="shared" si="109"/>
        <v>-3.9974170954500815E-2</v>
      </c>
      <c r="W149" s="3">
        <f t="shared" si="110"/>
        <v>-0.96077661584459773</v>
      </c>
      <c r="X149" s="3">
        <f t="shared" si="111"/>
        <v>-3.286097532769644E-2</v>
      </c>
      <c r="Y149" s="3">
        <f t="shared" si="112"/>
        <v>-0.78981141859409121</v>
      </c>
      <c r="Z149" s="3">
        <f t="shared" si="113"/>
        <v>-0.62975582769901883</v>
      </c>
      <c r="AA149" s="3">
        <f t="shared" si="114"/>
        <v>-2.617903686134633E-2</v>
      </c>
      <c r="AB149" s="3">
        <f t="shared" si="115"/>
        <v>-0.62921145932817257</v>
      </c>
      <c r="AC149" s="3">
        <f t="shared" si="116"/>
        <v>-2.1520613532741623E-2</v>
      </c>
      <c r="AD149" s="3">
        <f t="shared" si="117"/>
        <v>-0.51724655564267352</v>
      </c>
      <c r="AE149" s="3">
        <f t="shared" si="93"/>
        <v>-6.9619106290097724E-2</v>
      </c>
      <c r="AF149" s="3">
        <f t="shared" si="118"/>
        <v>-2.8940758777599098E-3</v>
      </c>
      <c r="AG149" s="3">
        <f t="shared" si="119"/>
        <v>-6.9558926712864774E-2</v>
      </c>
      <c r="AH149" s="3">
        <f t="shared" si="120"/>
        <v>-2.3790901410762587E-3</v>
      </c>
      <c r="AI149" s="3">
        <f t="shared" si="121"/>
        <v>-5.718127780896809E-2</v>
      </c>
      <c r="AJ149" s="3">
        <f t="shared" si="94"/>
        <v>0.51575434443241208</v>
      </c>
      <c r="AK149" s="3">
        <f t="shared" si="122"/>
        <v>2.1439979433979382E-2</v>
      </c>
      <c r="AL149" s="3">
        <f t="shared" si="123"/>
        <v>0.51530852028932894</v>
      </c>
      <c r="AM149" s="3">
        <f t="shared" si="124"/>
        <v>1.7624846704343958E-2</v>
      </c>
      <c r="AN149" s="3">
        <f t="shared" si="125"/>
        <v>0.42361205165839216</v>
      </c>
      <c r="AO149" s="3">
        <f t="shared" si="95"/>
        <v>0.91416830261991211</v>
      </c>
      <c r="AP149" s="3">
        <f t="shared" si="126"/>
        <v>3.8002102781967431E-2</v>
      </c>
      <c r="AQ149" s="3">
        <f t="shared" si="127"/>
        <v>0.91337808474865434</v>
      </c>
      <c r="AR149" s="3"/>
      <c r="AS149" s="2"/>
      <c r="AT149" s="2"/>
    </row>
    <row r="150" spans="1:46">
      <c r="A150">
        <f t="shared" si="128"/>
        <v>147</v>
      </c>
      <c r="B150" s="1">
        <f t="shared" si="86"/>
        <v>18.129950999999998</v>
      </c>
      <c r="C150" s="1">
        <f t="shared" si="87"/>
        <v>113.91384174308584</v>
      </c>
      <c r="D150" s="1">
        <f t="shared" si="88"/>
        <v>0.72875783719652665</v>
      </c>
      <c r="E150" s="1">
        <f t="shared" si="89"/>
        <v>0.68477150548532661</v>
      </c>
      <c r="F150" s="2">
        <f t="shared" si="90"/>
        <v>23879.208051418587</v>
      </c>
      <c r="G150" s="2">
        <f t="shared" si="91"/>
        <v>22437.907920237696</v>
      </c>
      <c r="H150" s="2">
        <f t="shared" si="92"/>
        <v>5969.9842023139463</v>
      </c>
      <c r="I150" s="3">
        <f t="shared" si="96"/>
        <v>0.909925436972706</v>
      </c>
      <c r="J150" s="3">
        <f t="shared" si="97"/>
        <v>0.82796430084996997</v>
      </c>
      <c r="K150" s="3">
        <f t="shared" si="98"/>
        <v>-0.98178632517014031</v>
      </c>
      <c r="L150" s="3">
        <f t="shared" si="99"/>
        <v>-0.71548447892011724</v>
      </c>
      <c r="M150" s="3">
        <f t="shared" si="100"/>
        <v>-0.67229929995166338</v>
      </c>
      <c r="N150" s="3">
        <f t="shared" si="101"/>
        <v>-0.59239560635809996</v>
      </c>
      <c r="O150" s="3">
        <f t="shared" si="102"/>
        <v>-0.55663981984640321</v>
      </c>
      <c r="P150" s="3">
        <f t="shared" si="103"/>
        <v>-0.91120285661406297</v>
      </c>
      <c r="Q150" s="3">
        <f t="shared" si="104"/>
        <v>-0.66404622303336136</v>
      </c>
      <c r="R150" s="3">
        <f t="shared" si="105"/>
        <v>-0.62396575192614212</v>
      </c>
      <c r="S150" s="3">
        <f t="shared" si="106"/>
        <v>-0.54980656678588025</v>
      </c>
      <c r="T150" s="3">
        <f t="shared" si="107"/>
        <v>-0.51662136754785404</v>
      </c>
      <c r="U150" s="3">
        <f t="shared" si="108"/>
        <v>-0.50591498926922618</v>
      </c>
      <c r="V150" s="3">
        <f t="shared" si="109"/>
        <v>-0.36868951338514527</v>
      </c>
      <c r="W150" s="3">
        <f t="shared" si="110"/>
        <v>-0.34643616884948086</v>
      </c>
      <c r="X150" s="3">
        <f t="shared" si="111"/>
        <v>-0.30526175518064741</v>
      </c>
      <c r="Y150" s="3">
        <f t="shared" si="112"/>
        <v>-0.28683678033060256</v>
      </c>
      <c r="Z150" s="3">
        <f t="shared" si="113"/>
        <v>8.520633008081098E-2</v>
      </c>
      <c r="AA150" s="3">
        <f t="shared" si="114"/>
        <v>6.2094780825145156E-2</v>
      </c>
      <c r="AB150" s="3">
        <f t="shared" si="115"/>
        <v>5.8346866926316604E-2</v>
      </c>
      <c r="AC150" s="3">
        <f t="shared" si="116"/>
        <v>5.141226179232343E-2</v>
      </c>
      <c r="AD150" s="3">
        <f t="shared" si="117"/>
        <v>4.8309122881433963E-2</v>
      </c>
      <c r="AE150" s="3">
        <f t="shared" si="93"/>
        <v>0.64502953257827478</v>
      </c>
      <c r="AF150" s="3">
        <f t="shared" si="118"/>
        <v>0.47007032708963004</v>
      </c>
      <c r="AG150" s="3">
        <f t="shared" si="119"/>
        <v>0.44169784410612173</v>
      </c>
      <c r="AH150" s="3">
        <f t="shared" si="120"/>
        <v>0.38920144971908222</v>
      </c>
      <c r="AI150" s="3">
        <f t="shared" si="121"/>
        <v>0.36571004668226409</v>
      </c>
      <c r="AJ150" s="3">
        <f t="shared" si="94"/>
        <v>0.96791952054999952</v>
      </c>
      <c r="AK150" s="3">
        <f t="shared" si="122"/>
        <v>0.70537893637631666</v>
      </c>
      <c r="AL150" s="3">
        <f t="shared" si="123"/>
        <v>0.66280370727565874</v>
      </c>
      <c r="AM150" s="3">
        <f t="shared" si="124"/>
        <v>0.58402857789111251</v>
      </c>
      <c r="AN150" s="3">
        <f t="shared" si="125"/>
        <v>0.54877780809525889</v>
      </c>
      <c r="AO150" s="3">
        <f t="shared" si="95"/>
        <v>0.93527185974236837</v>
      </c>
      <c r="AP150" s="3">
        <f t="shared" si="126"/>
        <v>0.68158669769662161</v>
      </c>
      <c r="AQ150" s="3">
        <f t="shared" si="127"/>
        <v>0.64044751943384282</v>
      </c>
      <c r="AR150" s="3"/>
      <c r="AS150" s="2"/>
      <c r="AT150" s="2"/>
    </row>
    <row r="151" spans="1:46">
      <c r="A151">
        <f t="shared" si="128"/>
        <v>148</v>
      </c>
      <c r="B151" s="1">
        <f t="shared" si="86"/>
        <v>18.253284000000001</v>
      </c>
      <c r="C151" s="1">
        <f t="shared" si="87"/>
        <v>114.68876583657624</v>
      </c>
      <c r="D151" s="1">
        <f t="shared" si="88"/>
        <v>0.99978712697627237</v>
      </c>
      <c r="E151" s="1">
        <f t="shared" si="89"/>
        <v>-2.063251638872806E-2</v>
      </c>
      <c r="F151" s="2">
        <f t="shared" si="90"/>
        <v>32760.024789631516</v>
      </c>
      <c r="G151" s="2">
        <f t="shared" si="91"/>
        <v>-676.0656645094524</v>
      </c>
      <c r="H151" s="2">
        <f t="shared" si="92"/>
        <v>8190.2561441896232</v>
      </c>
      <c r="I151" s="3">
        <f t="shared" si="96"/>
        <v>0.91312325022861884</v>
      </c>
      <c r="J151" s="3">
        <f t="shared" si="97"/>
        <v>0.83379407010807682</v>
      </c>
      <c r="K151" s="3">
        <f t="shared" si="98"/>
        <v>-0.84574747452456878</v>
      </c>
      <c r="L151" s="3">
        <f t="shared" si="99"/>
        <v>-0.84556743770235676</v>
      </c>
      <c r="M151" s="3">
        <f t="shared" si="100"/>
        <v>1.7449898628853534E-2</v>
      </c>
      <c r="N151" s="3">
        <f t="shared" si="101"/>
        <v>-0.70502911543270574</v>
      </c>
      <c r="O151" s="3">
        <f t="shared" si="102"/>
        <v>1.4549622000725137E-2</v>
      </c>
      <c r="P151" s="3">
        <f t="shared" si="103"/>
        <v>-0.37835961261791756</v>
      </c>
      <c r="Q151" s="3">
        <f t="shared" si="104"/>
        <v>-0.37827907006312317</v>
      </c>
      <c r="R151" s="3">
        <f t="shared" si="105"/>
        <v>7.8065109081719847E-3</v>
      </c>
      <c r="S151" s="3">
        <f t="shared" si="106"/>
        <v>-0.31540684546462983</v>
      </c>
      <c r="T151" s="3">
        <f t="shared" si="107"/>
        <v>6.5090225034678175E-3</v>
      </c>
      <c r="U151" s="3">
        <f t="shared" si="108"/>
        <v>0.22984403743995604</v>
      </c>
      <c r="V151" s="3">
        <f t="shared" si="109"/>
        <v>0.22979510984472043</v>
      </c>
      <c r="W151" s="3">
        <f t="shared" si="110"/>
        <v>-4.7422608693313186E-3</v>
      </c>
      <c r="X151" s="3">
        <f t="shared" si="111"/>
        <v>0.19160179992836204</v>
      </c>
      <c r="Y151" s="3">
        <f t="shared" si="112"/>
        <v>-3.9540689917540268E-3</v>
      </c>
      <c r="Z151" s="3">
        <f t="shared" si="113"/>
        <v>0.75250560476859074</v>
      </c>
      <c r="AA151" s="3">
        <f t="shared" si="114"/>
        <v>0.75234541662513166</v>
      </c>
      <c r="AB151" s="3">
        <f t="shared" si="115"/>
        <v>-1.5526084222997668E-2</v>
      </c>
      <c r="AC151" s="3">
        <f t="shared" si="116"/>
        <v>0.62730114705502527</v>
      </c>
      <c r="AD151" s="3">
        <f t="shared" si="117"/>
        <v>-1.2945556957134024E-2</v>
      </c>
      <c r="AE151" s="3">
        <f t="shared" si="93"/>
        <v>0.9951037977573246</v>
      </c>
      <c r="AF151" s="3">
        <f t="shared" si="118"/>
        <v>0.99489196700297311</v>
      </c>
      <c r="AG151" s="3">
        <f t="shared" si="119"/>
        <v>-2.0531495415713533E-2</v>
      </c>
      <c r="AH151" s="3">
        <f t="shared" si="120"/>
        <v>0.82953502248523947</v>
      </c>
      <c r="AI151" s="3">
        <f t="shared" si="121"/>
        <v>-1.7119039128073107E-2</v>
      </c>
      <c r="AJ151" s="3">
        <f t="shared" si="94"/>
        <v>0.86734976260011099</v>
      </c>
      <c r="AK151" s="3">
        <f t="shared" si="122"/>
        <v>0.86716512723351691</v>
      </c>
      <c r="AL151" s="3">
        <f t="shared" si="123"/>
        <v>-1.7895608191606183E-2</v>
      </c>
      <c r="AM151" s="3">
        <f t="shared" si="124"/>
        <v>0.72303714089182236</v>
      </c>
      <c r="AN151" s="3">
        <f t="shared" si="125"/>
        <v>-1.492125199113876E-2</v>
      </c>
      <c r="AO151" s="3">
        <f t="shared" si="95"/>
        <v>0.4167902895732376</v>
      </c>
      <c r="AP151" s="3">
        <f t="shared" si="126"/>
        <v>0.41670156616403581</v>
      </c>
      <c r="AQ151" s="3">
        <f t="shared" si="127"/>
        <v>-8.5994324802825383E-3</v>
      </c>
      <c r="AR151" s="3"/>
      <c r="AS151" s="2"/>
      <c r="AT151" s="2"/>
    </row>
    <row r="152" spans="1:46">
      <c r="A152">
        <f t="shared" si="128"/>
        <v>149</v>
      </c>
      <c r="B152" s="1">
        <f t="shared" si="86"/>
        <v>18.376617</v>
      </c>
      <c r="C152" s="1">
        <f t="shared" si="87"/>
        <v>115.46368993006661</v>
      </c>
      <c r="D152" s="1">
        <f t="shared" si="88"/>
        <v>0.69988626826564448</v>
      </c>
      <c r="E152" s="1">
        <f t="shared" si="89"/>
        <v>-0.71425430449748806</v>
      </c>
      <c r="F152" s="2">
        <f t="shared" si="90"/>
        <v>22933.173352260372</v>
      </c>
      <c r="G152" s="2">
        <f t="shared" si="91"/>
        <v>-23403.970795469191</v>
      </c>
      <c r="H152" s="2">
        <f t="shared" si="92"/>
        <v>5733.4683096321596</v>
      </c>
      <c r="I152" s="3">
        <f t="shared" si="96"/>
        <v>0.91626584757533269</v>
      </c>
      <c r="J152" s="3">
        <f t="shared" si="97"/>
        <v>0.83954310343294281</v>
      </c>
      <c r="K152" s="3">
        <f t="shared" si="98"/>
        <v>-0.25126042612847604</v>
      </c>
      <c r="L152" s="3">
        <f t="shared" si="99"/>
        <v>-0.17585372200589475</v>
      </c>
      <c r="M152" s="3">
        <f t="shared" si="100"/>
        <v>0.17946384091213713</v>
      </c>
      <c r="N152" s="3">
        <f t="shared" si="101"/>
        <v>-0.14763677952306284</v>
      </c>
      <c r="O152" s="3">
        <f t="shared" si="102"/>
        <v>0.15066762995337155</v>
      </c>
      <c r="P152" s="3">
        <f t="shared" si="103"/>
        <v>0.36175294971855126</v>
      </c>
      <c r="Q152" s="3">
        <f t="shared" si="104"/>
        <v>0.25318592201260615</v>
      </c>
      <c r="R152" s="3">
        <f t="shared" si="105"/>
        <v>-0.25838360150113859</v>
      </c>
      <c r="S152" s="3">
        <f t="shared" si="106"/>
        <v>0.2125604947119944</v>
      </c>
      <c r="T152" s="3">
        <f t="shared" si="107"/>
        <v>-0.21692417068044667</v>
      </c>
      <c r="U152" s="3">
        <f t="shared" si="108"/>
        <v>0.83836520448926566</v>
      </c>
      <c r="V152" s="3">
        <f t="shared" si="109"/>
        <v>0.5867602944137561</v>
      </c>
      <c r="W152" s="3">
        <f t="shared" si="110"/>
        <v>-0.59880595604737474</v>
      </c>
      <c r="X152" s="3">
        <f t="shared" si="111"/>
        <v>0.49261055854335201</v>
      </c>
      <c r="Y152" s="3">
        <f t="shared" si="112"/>
        <v>-0.50272341069414339</v>
      </c>
      <c r="Z152" s="3">
        <f t="shared" si="113"/>
        <v>0.99886682670628346</v>
      </c>
      <c r="AA152" s="3">
        <f t="shared" si="114"/>
        <v>0.69909317583780695</v>
      </c>
      <c r="AB152" s="3">
        <f t="shared" si="115"/>
        <v>-0.71344493059470937</v>
      </c>
      <c r="AC152" s="3">
        <f t="shared" si="116"/>
        <v>0.58691885443166447</v>
      </c>
      <c r="AD152" s="3">
        <f t="shared" si="117"/>
        <v>-0.5989677711599829</v>
      </c>
      <c r="AE152" s="3">
        <f t="shared" si="93"/>
        <v>0.7827397163181713</v>
      </c>
      <c r="AF152" s="3">
        <f t="shared" si="118"/>
        <v>0.54782877907723415</v>
      </c>
      <c r="AG152" s="3">
        <f t="shared" si="119"/>
        <v>-0.55907521168139651</v>
      </c>
      <c r="AH152" s="3">
        <f t="shared" si="120"/>
        <v>0.45992587333638113</v>
      </c>
      <c r="AI152" s="3">
        <f t="shared" si="121"/>
        <v>-0.46936773826742911</v>
      </c>
      <c r="AJ152" s="3">
        <f t="shared" si="94"/>
        <v>0.27147589757756657</v>
      </c>
      <c r="AK152" s="3">
        <f t="shared" si="122"/>
        <v>0.19000225287962938</v>
      </c>
      <c r="AL152" s="3">
        <f t="shared" si="123"/>
        <v>-0.19390282841209611</v>
      </c>
      <c r="AM152" s="3">
        <f t="shared" si="124"/>
        <v>0.15951508104181483</v>
      </c>
      <c r="AN152" s="3">
        <f t="shared" si="125"/>
        <v>-0.16278978232951657</v>
      </c>
      <c r="AO152" s="3">
        <f t="shared" si="95"/>
        <v>-0.34214953785086949</v>
      </c>
      <c r="AP152" s="3">
        <f t="shared" si="126"/>
        <v>-0.23946576323525992</v>
      </c>
      <c r="AQ152" s="3">
        <f t="shared" si="127"/>
        <v>0.24438178019180976</v>
      </c>
      <c r="AR152" s="3"/>
      <c r="AS152" s="2"/>
      <c r="AT152" s="2"/>
    </row>
    <row r="153" spans="1:46">
      <c r="A153">
        <f t="shared" si="128"/>
        <v>150</v>
      </c>
      <c r="B153" s="1">
        <f t="shared" si="86"/>
        <v>18.499949999999998</v>
      </c>
      <c r="C153" s="1">
        <f t="shared" si="87"/>
        <v>116.23861402355698</v>
      </c>
      <c r="D153" s="1">
        <f t="shared" si="88"/>
        <v>3.1415926020519474E-4</v>
      </c>
      <c r="E153" s="1">
        <f t="shared" si="89"/>
        <v>-0.99999995065197844</v>
      </c>
      <c r="F153" s="2">
        <f t="shared" si="90"/>
        <v>10.294056479143617</v>
      </c>
      <c r="G153" s="2">
        <f t="shared" si="91"/>
        <v>-32766.998383013379</v>
      </c>
      <c r="H153" s="2">
        <f t="shared" si="92"/>
        <v>2.5735926596009553</v>
      </c>
      <c r="I153" s="3">
        <f t="shared" si="96"/>
        <v>0.9193530389822363</v>
      </c>
      <c r="J153" s="3">
        <f t="shared" si="97"/>
        <v>0.84521001028587328</v>
      </c>
      <c r="K153" s="3">
        <f t="shared" si="98"/>
        <v>0.47942553860419912</v>
      </c>
      <c r="L153" s="3">
        <f t="shared" si="99"/>
        <v>1.5061597253137221E-4</v>
      </c>
      <c r="M153" s="3">
        <f t="shared" si="100"/>
        <v>-0.47942551494549729</v>
      </c>
      <c r="N153" s="3">
        <f t="shared" si="101"/>
        <v>1.2730212769245793E-4</v>
      </c>
      <c r="O153" s="3">
        <f t="shared" si="102"/>
        <v>-0.40521524441839385</v>
      </c>
      <c r="P153" s="3">
        <f t="shared" si="103"/>
        <v>0.90369349581636993</v>
      </c>
      <c r="Q153" s="3">
        <f t="shared" si="104"/>
        <v>2.8390368009791701E-4</v>
      </c>
      <c r="R153" s="3">
        <f t="shared" si="105"/>
        <v>-0.90369345122088385</v>
      </c>
      <c r="S153" s="3">
        <f t="shared" si="106"/>
        <v>2.3995823237575774E-4</v>
      </c>
      <c r="T153" s="3">
        <f t="shared" si="107"/>
        <v>-0.76381075120167952</v>
      </c>
      <c r="U153" s="3">
        <f t="shared" si="108"/>
        <v>0.98278125303889718</v>
      </c>
      <c r="V153" s="3">
        <f t="shared" si="109"/>
        <v>3.0874983139823426E-4</v>
      </c>
      <c r="W153" s="3">
        <f t="shared" si="110"/>
        <v>-0.98278120454058671</v>
      </c>
      <c r="X153" s="3">
        <f t="shared" si="111"/>
        <v>2.6095844817186316E-4</v>
      </c>
      <c r="Y153" s="3">
        <f t="shared" si="112"/>
        <v>-0.8306565119985122</v>
      </c>
      <c r="Z153" s="3">
        <f t="shared" si="113"/>
        <v>0.68647997510676828</v>
      </c>
      <c r="AA153" s="3">
        <f t="shared" si="114"/>
        <v>2.1566404112522282E-4</v>
      </c>
      <c r="AB153" s="3">
        <f t="shared" si="115"/>
        <v>-0.68647994123033962</v>
      </c>
      <c r="AC153" s="3">
        <f t="shared" si="116"/>
        <v>1.8228140641774257E-4</v>
      </c>
      <c r="AD153" s="3">
        <f t="shared" si="117"/>
        <v>-0.58021971818834106</v>
      </c>
      <c r="AE153" s="3">
        <f t="shared" si="93"/>
        <v>0.12796667928006356</v>
      </c>
      <c r="AF153" s="3">
        <f t="shared" si="118"/>
        <v>4.0201917293540188E-5</v>
      </c>
      <c r="AG153" s="3">
        <f t="shared" si="119"/>
        <v>-0.12796667296516112</v>
      </c>
      <c r="AH153" s="3">
        <f t="shared" si="120"/>
        <v>3.3979062929184929E-5</v>
      </c>
      <c r="AI153" s="3">
        <f t="shared" si="121"/>
        <v>-0.10815871297313281</v>
      </c>
      <c r="AJ153" s="3">
        <f t="shared" si="94"/>
        <v>-0.47942553860420212</v>
      </c>
      <c r="AK153" s="3">
        <f t="shared" si="122"/>
        <v>-1.5061597253137316E-4</v>
      </c>
      <c r="AL153" s="3">
        <f t="shared" si="123"/>
        <v>0.47942551494550029</v>
      </c>
      <c r="AM153" s="3">
        <f t="shared" si="124"/>
        <v>-1.2730212769245872E-4</v>
      </c>
      <c r="AN153" s="3">
        <f t="shared" si="125"/>
        <v>0.4052152444183964</v>
      </c>
      <c r="AO153" s="3">
        <f t="shared" si="95"/>
        <v>-0.90369349581637137</v>
      </c>
      <c r="AP153" s="3">
        <f t="shared" si="126"/>
        <v>-2.839036800979175E-4</v>
      </c>
      <c r="AQ153" s="3">
        <f t="shared" si="127"/>
        <v>0.90369345122088529</v>
      </c>
      <c r="AR153" s="3"/>
      <c r="AS153" s="2"/>
      <c r="AT153" s="2"/>
    </row>
    <row r="154" spans="1:46">
      <c r="A154">
        <f t="shared" si="128"/>
        <v>151</v>
      </c>
      <c r="B154" s="1">
        <f t="shared" si="86"/>
        <v>18.623283000000001</v>
      </c>
      <c r="C154" s="1">
        <f t="shared" si="87"/>
        <v>117.01353811704737</v>
      </c>
      <c r="D154" s="1">
        <f t="shared" si="88"/>
        <v>-0.69943735092800519</v>
      </c>
      <c r="E154" s="1">
        <f t="shared" si="89"/>
        <v>-0.71469391499215562</v>
      </c>
      <c r="F154" s="2">
        <f t="shared" si="90"/>
        <v>-22918.463677857944</v>
      </c>
      <c r="G154" s="2">
        <f t="shared" si="91"/>
        <v>-23418.375512547962</v>
      </c>
      <c r="H154" s="2">
        <f t="shared" si="92"/>
        <v>-5729.7907788022185</v>
      </c>
      <c r="I154" s="3">
        <f t="shared" si="96"/>
        <v>0.92238463776907531</v>
      </c>
      <c r="J154" s="3">
        <f t="shared" si="97"/>
        <v>0.85079341999238822</v>
      </c>
      <c r="K154" s="3">
        <f t="shared" si="98"/>
        <v>0.95023277978261744</v>
      </c>
      <c r="L154" s="3">
        <f t="shared" si="99"/>
        <v>-0.66462829825610847</v>
      </c>
      <c r="M154" s="3">
        <f t="shared" si="100"/>
        <v>-0.67912558553671776</v>
      </c>
      <c r="N154" s="3">
        <f t="shared" si="101"/>
        <v>-0.56546138289703551</v>
      </c>
      <c r="O154" s="3">
        <f t="shared" si="102"/>
        <v>-0.57779557952311722</v>
      </c>
      <c r="P154" s="3">
        <f t="shared" si="103"/>
        <v>0.95058137609065763</v>
      </c>
      <c r="Q154" s="3">
        <f t="shared" si="104"/>
        <v>-0.66487211953434733</v>
      </c>
      <c r="R154" s="3">
        <f t="shared" si="105"/>
        <v>-0.67937472519686282</v>
      </c>
      <c r="S154" s="3">
        <f t="shared" si="106"/>
        <v>-0.56566882443621536</v>
      </c>
      <c r="T154" s="3">
        <f t="shared" si="107"/>
        <v>-0.57800754590662773</v>
      </c>
      <c r="U154" s="3">
        <f t="shared" si="108"/>
        <v>0.58314584590013885</v>
      </c>
      <c r="V154" s="3">
        <f t="shared" si="109"/>
        <v>-0.40787398566106386</v>
      </c>
      <c r="W154" s="3">
        <f t="shared" si="110"/>
        <v>-0.41677078761778252</v>
      </c>
      <c r="X154" s="3">
        <f t="shared" si="111"/>
        <v>-0.34701650318650284</v>
      </c>
      <c r="Y154" s="3">
        <f t="shared" si="112"/>
        <v>-0.35458584375025448</v>
      </c>
      <c r="Z154" s="3">
        <f t="shared" si="113"/>
        <v>-9.9113837578095349E-3</v>
      </c>
      <c r="AA154" s="3">
        <f t="shared" si="114"/>
        <v>6.9323919995931587E-3</v>
      </c>
      <c r="AB154" s="3">
        <f t="shared" si="115"/>
        <v>7.0836056608585595E-3</v>
      </c>
      <c r="AC154" s="3">
        <f t="shared" si="116"/>
        <v>5.8980334980617338E-3</v>
      </c>
      <c r="AD154" s="3">
        <f t="shared" si="117"/>
        <v>6.0266850860792951E-3</v>
      </c>
      <c r="AE154" s="3">
        <f t="shared" si="93"/>
        <v>-0.59913385533038455</v>
      </c>
      <c r="AF154" s="3">
        <f t="shared" si="118"/>
        <v>0.41905659662356687</v>
      </c>
      <c r="AG154" s="3">
        <f t="shared" si="119"/>
        <v>0.42819732067041633</v>
      </c>
      <c r="AH154" s="3">
        <f t="shared" si="120"/>
        <v>0.35653059501173517</v>
      </c>
      <c r="AI154" s="3">
        <f t="shared" si="121"/>
        <v>0.36430746288476085</v>
      </c>
      <c r="AJ154" s="3">
        <f t="shared" si="94"/>
        <v>-0.95654879607944054</v>
      </c>
      <c r="AK154" s="3">
        <f t="shared" si="122"/>
        <v>0.66904595596317651</v>
      </c>
      <c r="AL154" s="3">
        <f t="shared" si="123"/>
        <v>0.6836396039510485</v>
      </c>
      <c r="AM154" s="3">
        <f t="shared" si="124"/>
        <v>0.56921989700598774</v>
      </c>
      <c r="AN154" s="3">
        <f t="shared" si="125"/>
        <v>0.5816360766877543</v>
      </c>
      <c r="AO154" s="3">
        <f t="shared" si="95"/>
        <v>-0.94387078921978107</v>
      </c>
      <c r="AP154" s="3">
        <f t="shared" si="126"/>
        <v>0.66017848443020921</v>
      </c>
      <c r="AQ154" s="3">
        <f t="shared" si="127"/>
        <v>0.67457870959422106</v>
      </c>
      <c r="AR154" s="3"/>
      <c r="AS154" s="2"/>
      <c r="AT154" s="2"/>
    </row>
    <row r="155" spans="1:46">
      <c r="A155">
        <f t="shared" si="128"/>
        <v>152</v>
      </c>
      <c r="B155" s="1">
        <f t="shared" si="86"/>
        <v>18.746616</v>
      </c>
      <c r="C155" s="1">
        <f t="shared" si="87"/>
        <v>117.78846221053774</v>
      </c>
      <c r="D155" s="1">
        <f t="shared" si="88"/>
        <v>-0.99977396583468081</v>
      </c>
      <c r="E155" s="1">
        <f t="shared" si="89"/>
        <v>-2.1260697053351697E-2</v>
      </c>
      <c r="F155" s="2">
        <f t="shared" si="90"/>
        <v>-32759.593538504985</v>
      </c>
      <c r="G155" s="2">
        <f t="shared" si="91"/>
        <v>-696.64926034717507</v>
      </c>
      <c r="H155" s="2">
        <f t="shared" si="92"/>
        <v>-8190.1483281177052</v>
      </c>
      <c r="I155" s="3">
        <f t="shared" si="96"/>
        <v>0.92536046061724153</v>
      </c>
      <c r="J155" s="3">
        <f t="shared" si="97"/>
        <v>0.85629198207375345</v>
      </c>
      <c r="K155" s="3">
        <f t="shared" si="98"/>
        <v>0.90595423181373413</v>
      </c>
      <c r="L155" s="3">
        <f t="shared" si="99"/>
        <v>-0.90574945520512873</v>
      </c>
      <c r="M155" s="3">
        <f t="shared" si="100"/>
        <v>-1.9261218466793757E-2</v>
      </c>
      <c r="N155" s="3">
        <f t="shared" si="101"/>
        <v>-0.77558599625982194</v>
      </c>
      <c r="O155" s="3">
        <f t="shared" si="102"/>
        <v>-1.6493226938086407E-2</v>
      </c>
      <c r="P155" s="3">
        <f t="shared" si="103"/>
        <v>0.47673092362882746</v>
      </c>
      <c r="Q155" s="3">
        <f t="shared" si="104"/>
        <v>-0.47662316615242317</v>
      </c>
      <c r="R155" s="3">
        <f t="shared" si="105"/>
        <v>-1.0135631743237044E-2</v>
      </c>
      <c r="S155" s="3">
        <f t="shared" si="106"/>
        <v>-0.40812859564692638</v>
      </c>
      <c r="T155" s="3">
        <f t="shared" si="107"/>
        <v>-8.6790601949861025E-3</v>
      </c>
      <c r="U155" s="3">
        <f t="shared" si="108"/>
        <v>-0.13930946176034714</v>
      </c>
      <c r="V155" s="3">
        <f t="shared" si="109"/>
        <v>0.13927797306243708</v>
      </c>
      <c r="W155" s="3">
        <f t="shared" si="110"/>
        <v>2.9618162631522235E-3</v>
      </c>
      <c r="X155" s="3">
        <f t="shared" si="111"/>
        <v>0.1192626116128491</v>
      </c>
      <c r="Y155" s="3">
        <f t="shared" si="112"/>
        <v>2.5361795185128953E-3</v>
      </c>
      <c r="Z155" s="3">
        <f t="shared" si="113"/>
        <v>-0.70075849344653385</v>
      </c>
      <c r="AA155" s="3">
        <f t="shared" si="114"/>
        <v>0.70060009808537738</v>
      </c>
      <c r="AB155" s="3">
        <f t="shared" si="115"/>
        <v>1.4898614036729896E-2</v>
      </c>
      <c r="AC155" s="3">
        <f t="shared" si="116"/>
        <v>0.5999182466305939</v>
      </c>
      <c r="AD155" s="3">
        <f t="shared" si="117"/>
        <v>1.2757563743663288E-2</v>
      </c>
      <c r="AE155" s="3">
        <f t="shared" si="93"/>
        <v>-0.98760051500792367</v>
      </c>
      <c r="AF155" s="3">
        <f t="shared" si="118"/>
        <v>0.98737728354984511</v>
      </c>
      <c r="AG155" s="3">
        <f t="shared" si="119"/>
        <v>2.099707535931758E-2</v>
      </c>
      <c r="AH155" s="3">
        <f t="shared" si="120"/>
        <v>0.84548325118549539</v>
      </c>
      <c r="AI155" s="3">
        <f t="shared" si="121"/>
        <v>1.7979627277182022E-2</v>
      </c>
      <c r="AJ155" s="3">
        <f t="shared" si="94"/>
        <v>-0.88743042446462206</v>
      </c>
      <c r="AK155" s="3">
        <f t="shared" si="122"/>
        <v>0.88722983486934937</v>
      </c>
      <c r="AL155" s="3">
        <f t="shared" si="123"/>
        <v>1.8867389410469636E-2</v>
      </c>
      <c r="AM155" s="3">
        <f t="shared" si="124"/>
        <v>0.75972779385524414</v>
      </c>
      <c r="AN155" s="3">
        <f t="shared" si="125"/>
        <v>1.615599427484839E-2</v>
      </c>
      <c r="AO155" s="3">
        <f t="shared" si="95"/>
        <v>-0.43950198659475559</v>
      </c>
      <c r="AP155" s="3">
        <f t="shared" si="126"/>
        <v>0.43940264413005953</v>
      </c>
      <c r="AQ155" s="3">
        <f t="shared" si="127"/>
        <v>9.344118591337337E-3</v>
      </c>
      <c r="AR155" s="3"/>
      <c r="AS155" s="2"/>
      <c r="AT155" s="2"/>
    </row>
    <row r="156" spans="1:46">
      <c r="A156">
        <f t="shared" si="128"/>
        <v>153</v>
      </c>
      <c r="B156" s="1">
        <f t="shared" si="86"/>
        <v>18.869948999999998</v>
      </c>
      <c r="C156" s="1">
        <f t="shared" si="87"/>
        <v>118.56338630402811</v>
      </c>
      <c r="D156" s="1">
        <f t="shared" si="88"/>
        <v>-0.72918794794341379</v>
      </c>
      <c r="E156" s="1">
        <f t="shared" si="89"/>
        <v>0.68431347829344513</v>
      </c>
      <c r="F156" s="2">
        <f t="shared" si="90"/>
        <v>-23893.301490261842</v>
      </c>
      <c r="G156" s="2">
        <f t="shared" si="91"/>
        <v>22422.899743241316</v>
      </c>
      <c r="H156" s="2">
        <f t="shared" si="92"/>
        <v>-5973.5076695524458</v>
      </c>
      <c r="I156" s="3">
        <f t="shared" si="96"/>
        <v>0.92828032758085788</v>
      </c>
      <c r="J156" s="3">
        <f t="shared" si="97"/>
        <v>0.86170436657362481</v>
      </c>
      <c r="K156" s="3">
        <f t="shared" si="98"/>
        <v>0.37059164596113314</v>
      </c>
      <c r="L156" s="3">
        <f t="shared" si="99"/>
        <v>-0.27023096184337081</v>
      </c>
      <c r="M156" s="3">
        <f t="shared" si="100"/>
        <v>0.25360085827415602</v>
      </c>
      <c r="N156" s="3">
        <f t="shared" si="101"/>
        <v>-0.23285919980382319</v>
      </c>
      <c r="O156" s="3">
        <f t="shared" si="102"/>
        <v>0.21852896694165919</v>
      </c>
      <c r="P156" s="3">
        <f t="shared" si="103"/>
        <v>-0.25827767118496153</v>
      </c>
      <c r="Q156" s="3">
        <f t="shared" si="104"/>
        <v>0.18833296505096586</v>
      </c>
      <c r="R156" s="3">
        <f t="shared" si="105"/>
        <v>-0.17674289153411174</v>
      </c>
      <c r="S156" s="3">
        <f t="shared" si="106"/>
        <v>0.16228733835417516</v>
      </c>
      <c r="T156" s="3">
        <f t="shared" si="107"/>
        <v>-0.15230012139579263</v>
      </c>
      <c r="U156" s="3">
        <f t="shared" si="108"/>
        <v>-0.78464535426354587</v>
      </c>
      <c r="V156" s="3">
        <f t="shared" si="109"/>
        <v>0.57215393573876794</v>
      </c>
      <c r="W156" s="3">
        <f t="shared" si="110"/>
        <v>-0.53694339160287952</v>
      </c>
      <c r="X156" s="3">
        <f t="shared" si="111"/>
        <v>0.49302754477838145</v>
      </c>
      <c r="Y156" s="3">
        <f t="shared" si="112"/>
        <v>-0.46268646514705308</v>
      </c>
      <c r="Z156" s="3">
        <f t="shared" si="113"/>
        <v>-0.99961395043497137</v>
      </c>
      <c r="AA156" s="3">
        <f t="shared" si="114"/>
        <v>0.72890644525328607</v>
      </c>
      <c r="AB156" s="3">
        <f t="shared" si="115"/>
        <v>-0.68404929937280667</v>
      </c>
      <c r="AC156" s="3">
        <f t="shared" si="116"/>
        <v>0.6281018666984155</v>
      </c>
      <c r="AD156" s="3">
        <f t="shared" si="117"/>
        <v>-0.58944826822117624</v>
      </c>
      <c r="AE156" s="3">
        <f t="shared" si="93"/>
        <v>-0.81786972630651111</v>
      </c>
      <c r="AF156" s="3">
        <f t="shared" si="118"/>
        <v>0.5963807474104863</v>
      </c>
      <c r="AG156" s="3">
        <f t="shared" si="119"/>
        <v>-0.55967927719971655</v>
      </c>
      <c r="AH156" s="3">
        <f t="shared" si="120"/>
        <v>0.51390389418405802</v>
      </c>
      <c r="AI156" s="3">
        <f t="shared" si="121"/>
        <v>-0.48227807704376596</v>
      </c>
      <c r="AJ156" s="3">
        <f t="shared" si="94"/>
        <v>-0.3115407906303776</v>
      </c>
      <c r="AK156" s="3">
        <f t="shared" si="122"/>
        <v>0.22717178982043376</v>
      </c>
      <c r="AL156" s="3">
        <f t="shared" si="123"/>
        <v>-0.21319156206656364</v>
      </c>
      <c r="AM156" s="3">
        <f t="shared" si="124"/>
        <v>0.1957549232506135</v>
      </c>
      <c r="AN156" s="3">
        <f t="shared" si="125"/>
        <v>-0.18370809994940984</v>
      </c>
      <c r="AO156" s="3">
        <f t="shared" si="95"/>
        <v>0.3184281018867397</v>
      </c>
      <c r="AP156" s="3">
        <f t="shared" si="126"/>
        <v>-0.23219393418230802</v>
      </c>
      <c r="AQ156" s="3">
        <f t="shared" si="127"/>
        <v>0.21790464198849438</v>
      </c>
      <c r="AR156" s="3"/>
      <c r="AS156" s="2"/>
      <c r="AT156" s="2"/>
    </row>
    <row r="157" spans="1:46">
      <c r="A157">
        <f t="shared" si="128"/>
        <v>154</v>
      </c>
      <c r="B157" s="1">
        <f t="shared" si="86"/>
        <v>18.993282000000001</v>
      </c>
      <c r="C157" s="1">
        <f t="shared" si="87"/>
        <v>119.33831039751851</v>
      </c>
      <c r="D157" s="1">
        <f t="shared" si="88"/>
        <v>-4.2197905471603639E-2</v>
      </c>
      <c r="E157" s="1">
        <f t="shared" si="89"/>
        <v>0.99910927168844232</v>
      </c>
      <c r="F157" s="2">
        <f t="shared" si="90"/>
        <v>-1382.6987685880365</v>
      </c>
      <c r="G157" s="2">
        <f t="shared" si="91"/>
        <v>32737.81350541519</v>
      </c>
      <c r="H157" s="2">
        <f t="shared" si="92"/>
        <v>-345.68524162337701</v>
      </c>
      <c r="I157" s="3">
        <f t="shared" si="96"/>
        <v>0.93114406209765954</v>
      </c>
      <c r="J157" s="3">
        <f t="shared" si="97"/>
        <v>0.86702926437973005</v>
      </c>
      <c r="K157" s="3">
        <f t="shared" si="98"/>
        <v>-0.3656548648334681</v>
      </c>
      <c r="L157" s="3">
        <f t="shared" si="99"/>
        <v>1.5429869421474693E-2</v>
      </c>
      <c r="M157" s="3">
        <f t="shared" si="100"/>
        <v>-0.36532916569310214</v>
      </c>
      <c r="N157" s="3">
        <f t="shared" si="101"/>
        <v>1.3378148333976492E-2</v>
      </c>
      <c r="O157" s="3">
        <f t="shared" si="102"/>
        <v>-0.31675107778735084</v>
      </c>
      <c r="P157" s="3">
        <f t="shared" si="103"/>
        <v>-0.85179908009476679</v>
      </c>
      <c r="Q157" s="3">
        <f t="shared" si="104"/>
        <v>3.5944137062637903E-2</v>
      </c>
      <c r="R157" s="3">
        <f t="shared" si="105"/>
        <v>-0.85104035853836757</v>
      </c>
      <c r="S157" s="3">
        <f t="shared" si="106"/>
        <v>3.1164618716183135E-2</v>
      </c>
      <c r="T157" s="3">
        <f t="shared" si="107"/>
        <v>-0.73787689602098261</v>
      </c>
      <c r="U157" s="3">
        <f t="shared" si="108"/>
        <v>-0.99561454932902149</v>
      </c>
      <c r="V157" s="3">
        <f t="shared" si="109"/>
        <v>4.201284863873931E-2</v>
      </c>
      <c r="W157" s="3">
        <f t="shared" si="110"/>
        <v>-0.99472772726253544</v>
      </c>
      <c r="X157" s="3">
        <f t="shared" si="111"/>
        <v>3.6426369249743087E-2</v>
      </c>
      <c r="Y157" s="3">
        <f t="shared" si="112"/>
        <v>-0.86245804962655681</v>
      </c>
      <c r="Z157" s="3">
        <f t="shared" si="113"/>
        <v>-0.73930340635778891</v>
      </c>
      <c r="AA157" s="3">
        <f t="shared" si="114"/>
        <v>3.1197055256320549E-2</v>
      </c>
      <c r="AB157" s="3">
        <f t="shared" si="115"/>
        <v>-0.73864488788291505</v>
      </c>
      <c r="AC157" s="3">
        <f t="shared" si="116"/>
        <v>2.7048759869701396E-2</v>
      </c>
      <c r="AD157" s="3">
        <f t="shared" si="117"/>
        <v>-0.64042673377897197</v>
      </c>
      <c r="AE157" s="3">
        <f t="shared" si="93"/>
        <v>-0.18587429983602247</v>
      </c>
      <c r="AF157" s="3">
        <f t="shared" si="118"/>
        <v>7.8435061340809877E-3</v>
      </c>
      <c r="AG157" s="3">
        <f t="shared" si="119"/>
        <v>-0.18570873633476756</v>
      </c>
      <c r="AH157" s="3">
        <f t="shared" si="120"/>
        <v>6.8005493535901393E-3</v>
      </c>
      <c r="AI157" s="3">
        <f t="shared" si="121"/>
        <v>-0.16101490905322277</v>
      </c>
      <c r="AJ157" s="3">
        <f t="shared" si="94"/>
        <v>0.4422556574713874</v>
      </c>
      <c r="AK157" s="3">
        <f t="shared" si="122"/>
        <v>-1.8662262428259524E-2</v>
      </c>
      <c r="AL157" s="3">
        <f t="shared" si="123"/>
        <v>0.4418617278363311</v>
      </c>
      <c r="AM157" s="3">
        <f t="shared" si="124"/>
        <v>-1.6180727664835328E-2</v>
      </c>
      <c r="AN157" s="3">
        <f t="shared" si="125"/>
        <v>0.38310704884349062</v>
      </c>
      <c r="AO157" s="3">
        <f t="shared" si="95"/>
        <v>0.8926478968316427</v>
      </c>
      <c r="AP157" s="3">
        <f t="shared" si="126"/>
        <v>-3.7667871569927458E-2</v>
      </c>
      <c r="AQ157" s="3">
        <f t="shared" si="127"/>
        <v>0.89185279007768237</v>
      </c>
      <c r="AR157" s="3"/>
      <c r="AS157" s="2"/>
      <c r="AT157" s="2"/>
    </row>
    <row r="158" spans="1:46">
      <c r="A158">
        <f t="shared" si="128"/>
        <v>155</v>
      </c>
      <c r="B158" s="1">
        <f t="shared" si="86"/>
        <v>19.116614999999999</v>
      </c>
      <c r="C158" s="1">
        <f t="shared" si="87"/>
        <v>120.11323449100888</v>
      </c>
      <c r="D158" s="1">
        <f t="shared" si="88"/>
        <v>0.66888932307793525</v>
      </c>
      <c r="E158" s="1">
        <f t="shared" si="89"/>
        <v>0.74336200701430899</v>
      </c>
      <c r="F158" s="2">
        <f t="shared" si="90"/>
        <v>21917.496449294704</v>
      </c>
      <c r="G158" s="2">
        <f t="shared" si="91"/>
        <v>24357.742883837862</v>
      </c>
      <c r="H158" s="2">
        <f t="shared" si="92"/>
        <v>5479.5413346544456</v>
      </c>
      <c r="I158" s="3">
        <f t="shared" si="96"/>
        <v>0.93395149099967045</v>
      </c>
      <c r="J158" s="3">
        <f t="shared" si="97"/>
        <v>0.87226538754050753</v>
      </c>
      <c r="K158" s="3">
        <f t="shared" si="98"/>
        <v>-0.90369349581637137</v>
      </c>
      <c r="L158" s="3">
        <f t="shared" si="99"/>
        <v>-0.60447093068654556</v>
      </c>
      <c r="M158" s="3">
        <f t="shared" si="100"/>
        <v>-0.67177141077583491</v>
      </c>
      <c r="N158" s="3">
        <f t="shared" si="101"/>
        <v>-0.52725907061227095</v>
      </c>
      <c r="O158" s="3">
        <f t="shared" si="102"/>
        <v>-0.5859629499590171</v>
      </c>
      <c r="P158" s="3">
        <f t="shared" si="103"/>
        <v>-0.97869612211564039</v>
      </c>
      <c r="Q158" s="3">
        <f t="shared" si="104"/>
        <v>-0.65463938662093091</v>
      </c>
      <c r="R158" s="3">
        <f t="shared" si="105"/>
        <v>-0.72752551359300366</v>
      </c>
      <c r="S158" s="3">
        <f t="shared" si="106"/>
        <v>-0.5710192782701865</v>
      </c>
      <c r="T158" s="3">
        <f t="shared" si="107"/>
        <v>-0.63459532405980812</v>
      </c>
      <c r="U158" s="3">
        <f t="shared" si="108"/>
        <v>-0.65542798802236324</v>
      </c>
      <c r="V158" s="3">
        <f t="shared" si="109"/>
        <v>-0.43840878323461158</v>
      </c>
      <c r="W158" s="3">
        <f t="shared" si="110"/>
        <v>-0.4872202646296544</v>
      </c>
      <c r="X158" s="3">
        <f t="shared" si="111"/>
        <v>-0.38240880720930082</v>
      </c>
      <c r="Y158" s="3">
        <f t="shared" si="112"/>
        <v>-0.42498537294477412</v>
      </c>
      <c r="Z158" s="3">
        <f t="shared" si="113"/>
        <v>-6.5439881024800278E-2</v>
      </c>
      <c r="AA158" s="3">
        <f t="shared" si="114"/>
        <v>-4.3772037720979276E-2</v>
      </c>
      <c r="AB158" s="3">
        <f t="shared" si="115"/>
        <v>-4.864552129737313E-2</v>
      </c>
      <c r="AC158" s="3">
        <f t="shared" si="116"/>
        <v>-3.8180833446127702E-2</v>
      </c>
      <c r="AD158" s="3">
        <f t="shared" si="117"/>
        <v>-4.2431804486563189E-2</v>
      </c>
      <c r="AE158" s="3">
        <f t="shared" si="93"/>
        <v>0.55117834188595638</v>
      </c>
      <c r="AF158" s="3">
        <f t="shared" si="118"/>
        <v>0.36867730799931614</v>
      </c>
      <c r="AG158" s="3">
        <f t="shared" si="119"/>
        <v>0.40972503844716351</v>
      </c>
      <c r="AH158" s="3">
        <f t="shared" si="120"/>
        <v>0.32158445493941457</v>
      </c>
      <c r="AI158" s="3">
        <f t="shared" si="121"/>
        <v>0.35738896944616444</v>
      </c>
      <c r="AJ158" s="3">
        <f t="shared" si="94"/>
        <v>0.943499959983089</v>
      </c>
      <c r="AK158" s="3">
        <f t="shared" si="122"/>
        <v>0.6310970495571474</v>
      </c>
      <c r="AL158" s="3">
        <f t="shared" si="123"/>
        <v>0.70136202387094926</v>
      </c>
      <c r="AM158" s="3">
        <f t="shared" si="124"/>
        <v>0.55048411250763607</v>
      </c>
      <c r="AN158" s="3">
        <f t="shared" si="125"/>
        <v>0.61177381755798821</v>
      </c>
      <c r="AO158" s="3">
        <f t="shared" si="95"/>
        <v>0.95187354967636195</v>
      </c>
      <c r="AP158" s="3">
        <f t="shared" si="126"/>
        <v>0.6366980542988131</v>
      </c>
      <c r="AQ158" s="3">
        <f t="shared" si="127"/>
        <v>0.70758663231125496</v>
      </c>
      <c r="AR158" s="3"/>
      <c r="AS158" s="2"/>
      <c r="AT158" s="2"/>
    </row>
    <row r="159" spans="1:46">
      <c r="A159">
        <f t="shared" si="128"/>
        <v>156</v>
      </c>
      <c r="B159" s="1">
        <f t="shared" si="86"/>
        <v>19.239947999999998</v>
      </c>
      <c r="C159" s="1">
        <f t="shared" si="87"/>
        <v>120.88815858449925</v>
      </c>
      <c r="D159" s="1">
        <f t="shared" si="88"/>
        <v>0.99800615988671193</v>
      </c>
      <c r="E159" s="1">
        <f t="shared" si="89"/>
        <v>6.3116597089662302E-2</v>
      </c>
      <c r="F159" s="2">
        <f t="shared" si="90"/>
        <v>32701.667841007889</v>
      </c>
      <c r="G159" s="2">
        <f t="shared" si="91"/>
        <v>2068.1415368369649</v>
      </c>
      <c r="H159" s="2">
        <f t="shared" si="92"/>
        <v>8175.6664617919441</v>
      </c>
      <c r="I159" s="3">
        <f t="shared" si="96"/>
        <v>0.93670244452367502</v>
      </c>
      <c r="J159" s="3">
        <f t="shared" si="97"/>
        <v>0.87741146957662852</v>
      </c>
      <c r="K159" s="3">
        <f t="shared" si="98"/>
        <v>-0.95187354967636306</v>
      </c>
      <c r="L159" s="3">
        <f t="shared" si="99"/>
        <v>-0.94997566601024042</v>
      </c>
      <c r="M159" s="3">
        <f t="shared" si="100"/>
        <v>-6.0079019315229659E-2</v>
      </c>
      <c r="N159" s="3">
        <f t="shared" si="101"/>
        <v>-0.83351954517608151</v>
      </c>
      <c r="O159" s="3">
        <f t="shared" si="102"/>
        <v>-5.271402062809831E-2</v>
      </c>
      <c r="P159" s="3">
        <f t="shared" si="103"/>
        <v>-0.56945328205535672</v>
      </c>
      <c r="Q159" s="3">
        <f t="shared" si="104"/>
        <v>-0.56831788325895116</v>
      </c>
      <c r="R159" s="3">
        <f t="shared" si="105"/>
        <v>-3.5941953364873776E-2</v>
      </c>
      <c r="S159" s="3">
        <f t="shared" si="106"/>
        <v>-0.49864862913691521</v>
      </c>
      <c r="T159" s="3">
        <f t="shared" si="107"/>
        <v>-3.1535882121328546E-2</v>
      </c>
      <c r="U159" s="3">
        <f t="shared" si="108"/>
        <v>4.7592672815458266E-2</v>
      </c>
      <c r="V159" s="3">
        <f t="shared" si="109"/>
        <v>4.7497780635300212E-2</v>
      </c>
      <c r="W159" s="3">
        <f t="shared" si="110"/>
        <v>3.0038875545134033E-3</v>
      </c>
      <c r="X159" s="3">
        <f t="shared" si="111"/>
        <v>4.1675097508847084E-2</v>
      </c>
      <c r="Y159" s="3">
        <f t="shared" si="112"/>
        <v>2.6356453936485498E-3</v>
      </c>
      <c r="Z159" s="3">
        <f t="shared" si="113"/>
        <v>0.64502953257826912</v>
      </c>
      <c r="AA159" s="3">
        <f t="shared" si="114"/>
        <v>0.64374344682195916</v>
      </c>
      <c r="AB159" s="3">
        <f t="shared" si="115"/>
        <v>4.0712069118675816E-2</v>
      </c>
      <c r="AC159" s="3">
        <f t="shared" si="116"/>
        <v>0.56482788370637926</v>
      </c>
      <c r="AD159" s="3">
        <f t="shared" si="117"/>
        <v>3.5721236394922619E-2</v>
      </c>
      <c r="AE159" s="3">
        <f t="shared" si="93"/>
        <v>0.97670183860744797</v>
      </c>
      <c r="AF159" s="3">
        <f t="shared" si="118"/>
        <v>0.97475445130291027</v>
      </c>
      <c r="AG159" s="3">
        <f t="shared" si="119"/>
        <v>6.1646096424118668E-2</v>
      </c>
      <c r="AH159" s="3">
        <f t="shared" si="120"/>
        <v>0.85526073559404669</v>
      </c>
      <c r="AI159" s="3">
        <f t="shared" si="121"/>
        <v>5.4088992057148511E-2</v>
      </c>
      <c r="AJ159" s="3">
        <f t="shared" si="94"/>
        <v>0.90595423181373724</v>
      </c>
      <c r="AK159" s="3">
        <f t="shared" si="122"/>
        <v>0.90414790392554389</v>
      </c>
      <c r="AL159" s="3">
        <f t="shared" si="123"/>
        <v>5.7180748231062173E-2</v>
      </c>
      <c r="AM159" s="3">
        <f t="shared" si="124"/>
        <v>0.79330974109793984</v>
      </c>
      <c r="AN159" s="3">
        <f t="shared" si="125"/>
        <v>5.0171044336907465E-2</v>
      </c>
      <c r="AO159" s="3">
        <f t="shared" si="95"/>
        <v>0.4619360847415056</v>
      </c>
      <c r="AP159" s="3">
        <f t="shared" si="126"/>
        <v>0.46101505804597276</v>
      </c>
      <c r="AQ159" s="3">
        <f t="shared" si="127"/>
        <v>2.915583374180571E-2</v>
      </c>
      <c r="AR159" s="3"/>
      <c r="AS159" s="2"/>
      <c r="AT159" s="2"/>
    </row>
    <row r="160" spans="1:46">
      <c r="A160">
        <f t="shared" si="128"/>
        <v>157</v>
      </c>
      <c r="B160" s="1">
        <f t="shared" si="86"/>
        <v>19.363281000000001</v>
      </c>
      <c r="C160" s="1">
        <f t="shared" si="87"/>
        <v>121.66308267798965</v>
      </c>
      <c r="D160" s="1">
        <f t="shared" si="88"/>
        <v>0.75720987250705352</v>
      </c>
      <c r="E160" s="1">
        <f t="shared" si="89"/>
        <v>-0.6531716535320955</v>
      </c>
      <c r="F160" s="2">
        <f t="shared" si="90"/>
        <v>24811.495892438623</v>
      </c>
      <c r="G160" s="2">
        <f t="shared" si="91"/>
        <v>-21402.475571286173</v>
      </c>
      <c r="H160" s="2">
        <f t="shared" si="92"/>
        <v>6203.0632755777824</v>
      </c>
      <c r="I160" s="3">
        <f t="shared" si="96"/>
        <v>0.93939675632148301</v>
      </c>
      <c r="J160" s="3">
        <f t="shared" si="97"/>
        <v>0.88246626578732368</v>
      </c>
      <c r="K160" s="3">
        <f t="shared" si="98"/>
        <v>-0.48407841415627811</v>
      </c>
      <c r="L160" s="3">
        <f t="shared" si="99"/>
        <v>-0.36654895426669198</v>
      </c>
      <c r="M160" s="3">
        <f t="shared" si="100"/>
        <v>0.31618629821365074</v>
      </c>
      <c r="N160" s="3">
        <f t="shared" si="101"/>
        <v>-0.32346708689997616</v>
      </c>
      <c r="O160" s="3">
        <f t="shared" si="102"/>
        <v>0.2790237418777175</v>
      </c>
      <c r="P160" s="3">
        <f t="shared" si="103"/>
        <v>0.15174196957870353</v>
      </c>
      <c r="Q160" s="3">
        <f t="shared" si="104"/>
        <v>0.1149005174386593</v>
      </c>
      <c r="R160" s="3">
        <f t="shared" si="105"/>
        <v>-9.9113553179938724E-2</v>
      </c>
      <c r="S160" s="3">
        <f t="shared" si="106"/>
        <v>0.10139583056112493</v>
      </c>
      <c r="T160" s="3">
        <f t="shared" si="107"/>
        <v>-8.7464367163613846E-2</v>
      </c>
      <c r="U160" s="3">
        <f t="shared" si="108"/>
        <v>0.72426681671953996</v>
      </c>
      <c r="V160" s="3">
        <f t="shared" si="109"/>
        <v>0.54842198394929231</v>
      </c>
      <c r="W160" s="3">
        <f t="shared" si="110"/>
        <v>-0.47307055427512906</v>
      </c>
      <c r="X160" s="3">
        <f t="shared" si="111"/>
        <v>0.48396390025140756</v>
      </c>
      <c r="Y160" s="3">
        <f t="shared" si="112"/>
        <v>-0.41746880548511256</v>
      </c>
      <c r="Z160" s="3">
        <f t="shared" si="113"/>
        <v>0.9946810682955235</v>
      </c>
      <c r="AA160" s="3">
        <f t="shared" si="114"/>
        <v>0.75318232490923309</v>
      </c>
      <c r="AB160" s="3">
        <f t="shared" si="115"/>
        <v>-0.64969747811565826</v>
      </c>
      <c r="AC160" s="3">
        <f t="shared" si="116"/>
        <v>0.66465799371966572</v>
      </c>
      <c r="AD160" s="3">
        <f t="shared" si="117"/>
        <v>-0.57333610740416641</v>
      </c>
      <c r="AE160" s="3">
        <f t="shared" si="93"/>
        <v>0.85018788106197607</v>
      </c>
      <c r="AF160" s="3">
        <f t="shared" si="118"/>
        <v>0.64377065702598091</v>
      </c>
      <c r="AG160" s="3">
        <f t="shared" si="119"/>
        <v>-0.55531862408619947</v>
      </c>
      <c r="AH160" s="3">
        <f t="shared" si="120"/>
        <v>0.56810588772916915</v>
      </c>
      <c r="AI160" s="3">
        <f t="shared" si="121"/>
        <v>-0.49004995251950295</v>
      </c>
      <c r="AJ160" s="3">
        <f t="shared" si="94"/>
        <v>0.35105913527417809</v>
      </c>
      <c r="AK160" s="3">
        <f t="shared" si="122"/>
        <v>0.26582544306339684</v>
      </c>
      <c r="AL160" s="3">
        <f t="shared" si="123"/>
        <v>-0.22930187587458251</v>
      </c>
      <c r="AM160" s="3">
        <f t="shared" si="124"/>
        <v>0.23458198609141664</v>
      </c>
      <c r="AN160" s="3">
        <f t="shared" si="125"/>
        <v>-0.20235117014107123</v>
      </c>
      <c r="AO160" s="3">
        <f t="shared" si="95"/>
        <v>-0.2945055399084478</v>
      </c>
      <c r="AP160" s="3">
        <f t="shared" si="126"/>
        <v>-0.22300250232669672</v>
      </c>
      <c r="AQ160" s="3">
        <f t="shared" si="127"/>
        <v>0.19236267047636338</v>
      </c>
      <c r="AR160" s="3"/>
      <c r="AS160" s="2"/>
      <c r="AT160" s="2"/>
    </row>
    <row r="161" spans="1:46">
      <c r="A161">
        <f t="shared" si="128"/>
        <v>158</v>
      </c>
      <c r="B161" s="1">
        <f t="shared" si="86"/>
        <v>19.486613999999999</v>
      </c>
      <c r="C161" s="1">
        <f t="shared" si="87"/>
        <v>122.43800677148002</v>
      </c>
      <c r="D161" s="1">
        <f t="shared" si="88"/>
        <v>8.4007592607473425E-2</v>
      </c>
      <c r="E161" s="1">
        <f t="shared" si="89"/>
        <v>-0.99646511448434394</v>
      </c>
      <c r="F161" s="2">
        <f t="shared" si="90"/>
        <v>2752.6767869690816</v>
      </c>
      <c r="G161" s="2">
        <f t="shared" si="91"/>
        <v>-32651.172406308498</v>
      </c>
      <c r="H161" s="2">
        <f t="shared" si="92"/>
        <v>688.1901986404223</v>
      </c>
      <c r="I161" s="3">
        <f t="shared" si="96"/>
        <v>0.94203426346998909</v>
      </c>
      <c r="J161" s="3">
        <f t="shared" si="97"/>
        <v>0.88742855355144479</v>
      </c>
      <c r="K161" s="3">
        <f t="shared" si="98"/>
        <v>0.24611759541269829</v>
      </c>
      <c r="L161" s="3">
        <f t="shared" si="99"/>
        <v>2.0675746688960928E-2</v>
      </c>
      <c r="M161" s="3">
        <f t="shared" si="100"/>
        <v>-0.24524759788952585</v>
      </c>
      <c r="N161" s="3">
        <f t="shared" si="101"/>
        <v>1.834824797778067E-2</v>
      </c>
      <c r="O161" s="3">
        <f t="shared" si="102"/>
        <v>-0.21763972105706827</v>
      </c>
      <c r="P161" s="3">
        <f t="shared" si="103"/>
        <v>0.78981139713081538</v>
      </c>
      <c r="Q161" s="3">
        <f t="shared" si="104"/>
        <v>6.635015408690495E-2</v>
      </c>
      <c r="R161" s="3">
        <f t="shared" si="105"/>
        <v>-0.7870195042629976</v>
      </c>
      <c r="S161" s="3">
        <f t="shared" si="106"/>
        <v>5.8881021269257539E-2</v>
      </c>
      <c r="T161" s="3">
        <f t="shared" si="107"/>
        <v>-0.69842358028488705</v>
      </c>
      <c r="U161" s="3">
        <f t="shared" si="108"/>
        <v>0.99999882347495306</v>
      </c>
      <c r="V161" s="3">
        <f t="shared" si="109"/>
        <v>8.4007493770436592E-2</v>
      </c>
      <c r="W161" s="3">
        <f t="shared" si="110"/>
        <v>-0.99646394211817835</v>
      </c>
      <c r="X161" s="3">
        <f t="shared" si="111"/>
        <v>7.4550648684180557E-2</v>
      </c>
      <c r="Y161" s="3">
        <f t="shared" si="112"/>
        <v>-0.88429055482010566</v>
      </c>
      <c r="Z161" s="3">
        <f t="shared" si="113"/>
        <v>0.7879259681785481</v>
      </c>
      <c r="AA161" s="3">
        <f t="shared" si="114"/>
        <v>6.6191763739592541E-2</v>
      </c>
      <c r="AB161" s="3">
        <f t="shared" si="115"/>
        <v>-0.78514074008622448</v>
      </c>
      <c r="AC161" s="3">
        <f t="shared" si="116"/>
        <v>5.8740461152445578E-2</v>
      </c>
      <c r="AD161" s="3">
        <f t="shared" si="117"/>
        <v>-0.69675631130902904</v>
      </c>
      <c r="AE161" s="3">
        <f t="shared" si="93"/>
        <v>0.24314288020524322</v>
      </c>
      <c r="AF161" s="3">
        <f t="shared" si="118"/>
        <v>2.0425848025689787E-2</v>
      </c>
      <c r="AG161" s="3">
        <f t="shared" si="119"/>
        <v>-0.2422833979597708</v>
      </c>
      <c r="AH161" s="3">
        <f t="shared" si="120"/>
        <v>1.8126480768499521E-2</v>
      </c>
      <c r="AI161" s="3">
        <f t="shared" si="121"/>
        <v>-0.21500920540096849</v>
      </c>
      <c r="AJ161" s="3">
        <f t="shared" si="94"/>
        <v>-0.40430990963591135</v>
      </c>
      <c r="AK161" s="3">
        <f t="shared" si="122"/>
        <v>-3.3965102175858033E-2</v>
      </c>
      <c r="AL161" s="3">
        <f t="shared" si="123"/>
        <v>0.40288072039250317</v>
      </c>
      <c r="AM161" s="3">
        <f t="shared" si="124"/>
        <v>-3.0141601495148728E-2</v>
      </c>
      <c r="AN161" s="3">
        <f t="shared" si="125"/>
        <v>0.35752785495168315</v>
      </c>
      <c r="AO161" s="3">
        <f t="shared" si="95"/>
        <v>-0.88103848230279525</v>
      </c>
      <c r="AP161" s="3">
        <f t="shared" si="126"/>
        <v>-7.4013921892799914E-2</v>
      </c>
      <c r="AQ161" s="3">
        <f t="shared" si="127"/>
        <v>0.8779241121329675</v>
      </c>
      <c r="AR161" s="3"/>
      <c r="AS161" s="2"/>
      <c r="AT161" s="2"/>
    </row>
    <row r="162" spans="1:46">
      <c r="A162">
        <f t="shared" si="128"/>
        <v>159</v>
      </c>
      <c r="B162" s="1">
        <f t="shared" si="86"/>
        <v>19.609946999999998</v>
      </c>
      <c r="C162" s="1">
        <f t="shared" si="87"/>
        <v>123.21293086497039</v>
      </c>
      <c r="D162" s="1">
        <f t="shared" si="88"/>
        <v>-0.63716736670313112</v>
      </c>
      <c r="E162" s="1">
        <f t="shared" si="89"/>
        <v>-0.77072546786037743</v>
      </c>
      <c r="F162" s="2">
        <f t="shared" si="90"/>
        <v>-20878.063104761499</v>
      </c>
      <c r="G162" s="2">
        <f t="shared" si="91"/>
        <v>-25254.361405380987</v>
      </c>
      <c r="H162" s="2">
        <f t="shared" si="92"/>
        <v>-5219.6750680320501</v>
      </c>
      <c r="I162" s="3">
        <f t="shared" si="96"/>
        <v>0.94461480648102425</v>
      </c>
      <c r="J162" s="3">
        <f t="shared" si="97"/>
        <v>0.89229713262318289</v>
      </c>
      <c r="K162" s="3">
        <f t="shared" si="98"/>
        <v>0.84290242558076545</v>
      </c>
      <c r="L162" s="3">
        <f t="shared" si="99"/>
        <v>-0.53706991889497824</v>
      </c>
      <c r="M162" s="3">
        <f t="shared" si="100"/>
        <v>-0.6496463663163824</v>
      </c>
      <c r="N162" s="3">
        <f t="shared" si="101"/>
        <v>-0.47922594864815454</v>
      </c>
      <c r="O162" s="3">
        <f t="shared" si="102"/>
        <v>-0.57967758988317797</v>
      </c>
      <c r="P162" s="3">
        <f t="shared" si="103"/>
        <v>0.99521395316337924</v>
      </c>
      <c r="Q162" s="3">
        <f t="shared" si="104"/>
        <v>-0.63411785384332364</v>
      </c>
      <c r="R162" s="3">
        <f t="shared" si="105"/>
        <v>-0.76703673967302122</v>
      </c>
      <c r="S162" s="3">
        <f t="shared" si="106"/>
        <v>-0.5658215427295642</v>
      </c>
      <c r="T162" s="3">
        <f t="shared" si="107"/>
        <v>-0.68442468342687157</v>
      </c>
      <c r="U162" s="3">
        <f t="shared" si="108"/>
        <v>0.72214801216586422</v>
      </c>
      <c r="V162" s="3">
        <f t="shared" si="109"/>
        <v>-0.46012914728162441</v>
      </c>
      <c r="W162" s="3">
        <f t="shared" si="110"/>
        <v>-0.55657786454097724</v>
      </c>
      <c r="X162" s="3">
        <f t="shared" si="111"/>
        <v>-0.41057191875574367</v>
      </c>
      <c r="Y162" s="3">
        <f t="shared" si="112"/>
        <v>-0.4966328326114483</v>
      </c>
      <c r="Z162" s="3">
        <f t="shared" si="113"/>
        <v>0.1404193033495742</v>
      </c>
      <c r="AA162" s="3">
        <f t="shared" si="114"/>
        <v>-8.9470597749536349E-2</v>
      </c>
      <c r="AB162" s="3">
        <f t="shared" si="115"/>
        <v>-0.10822473327072883</v>
      </c>
      <c r="AC162" s="3">
        <f t="shared" si="116"/>
        <v>-7.9834357825993477E-2</v>
      </c>
      <c r="AD162" s="3">
        <f t="shared" si="117"/>
        <v>-9.6568619176380113E-2</v>
      </c>
      <c r="AE162" s="3">
        <f t="shared" si="93"/>
        <v>-0.50132786442096955</v>
      </c>
      <c r="AF162" s="3">
        <f t="shared" si="118"/>
        <v>0.31942975522801348</v>
      </c>
      <c r="AG162" s="3">
        <f t="shared" si="119"/>
        <v>0.38638615285729561</v>
      </c>
      <c r="AH162" s="3">
        <f t="shared" si="120"/>
        <v>0.28502625466448162</v>
      </c>
      <c r="AI162" s="3">
        <f t="shared" si="121"/>
        <v>0.34477125627986771</v>
      </c>
      <c r="AJ162" s="3">
        <f t="shared" si="94"/>
        <v>-0.92879590435349102</v>
      </c>
      <c r="AK162" s="3">
        <f t="shared" si="122"/>
        <v>0.59179844058156716</v>
      </c>
      <c r="AL162" s="3">
        <f t="shared" si="123"/>
        <v>0.71584665792964675</v>
      </c>
      <c r="AM162" s="3">
        <f t="shared" si="124"/>
        <v>0.52806005162180336</v>
      </c>
      <c r="AN162" s="3">
        <f t="shared" si="125"/>
        <v>0.63874792026851224</v>
      </c>
      <c r="AO162" s="3">
        <f t="shared" si="95"/>
        <v>-0.95927508639707215</v>
      </c>
      <c r="AP162" s="3">
        <f t="shared" si="126"/>
        <v>0.61121878074354108</v>
      </c>
      <c r="AQ162" s="3">
        <f t="shared" si="127"/>
        <v>0.73933773977018746</v>
      </c>
      <c r="AR162" s="3"/>
      <c r="AS162" s="2"/>
      <c r="AT162" s="2"/>
    </row>
    <row r="163" spans="1:46">
      <c r="A163">
        <f t="shared" si="128"/>
        <v>160</v>
      </c>
      <c r="B163" s="1">
        <f t="shared" si="86"/>
        <v>19.733280000000001</v>
      </c>
      <c r="C163" s="1">
        <f t="shared" si="87"/>
        <v>123.98785495846079</v>
      </c>
      <c r="D163" s="1">
        <f t="shared" si="88"/>
        <v>-0.99448681170518127</v>
      </c>
      <c r="E163" s="1">
        <f t="shared" si="89"/>
        <v>-0.10486172487835252</v>
      </c>
      <c r="F163" s="2">
        <f t="shared" si="90"/>
        <v>-32586.349359143675</v>
      </c>
      <c r="G163" s="2">
        <f t="shared" si="91"/>
        <v>-3436.0041390889769</v>
      </c>
      <c r="H163" s="2">
        <f t="shared" si="92"/>
        <v>-8146.835961488845</v>
      </c>
      <c r="I163" s="3">
        <f t="shared" si="96"/>
        <v>0.94713822931100011</v>
      </c>
      <c r="J163" s="3">
        <f t="shared" si="97"/>
        <v>0.89707082542237659</v>
      </c>
      <c r="K163" s="3">
        <f t="shared" si="98"/>
        <v>0.98278125303889585</v>
      </c>
      <c r="L163" s="3">
        <f t="shared" si="99"/>
        <v>-0.9773629949382745</v>
      </c>
      <c r="M163" s="3">
        <f t="shared" si="100"/>
        <v>-0.10305613737176725</v>
      </c>
      <c r="N163" s="3">
        <f t="shared" si="101"/>
        <v>-0.87676382860656399</v>
      </c>
      <c r="O163" s="3">
        <f t="shared" si="102"/>
        <v>-9.2448654216933074E-2</v>
      </c>
      <c r="P163" s="3">
        <f t="shared" si="103"/>
        <v>0.65542798802236069</v>
      </c>
      <c r="Q163" s="3">
        <f t="shared" si="104"/>
        <v>-0.65181449011069925</v>
      </c>
      <c r="R163" s="3">
        <f t="shared" si="105"/>
        <v>-6.8729309357572918E-2</v>
      </c>
      <c r="S163" s="3">
        <f t="shared" si="106"/>
        <v>-0.58472376266587045</v>
      </c>
      <c r="T163" s="3">
        <f t="shared" si="107"/>
        <v>-6.1655058276107802E-2</v>
      </c>
      <c r="U163" s="3">
        <f t="shared" si="108"/>
        <v>4.4527998883846079E-2</v>
      </c>
      <c r="V163" s="3">
        <f t="shared" si="109"/>
        <v>-4.428250764160796E-2</v>
      </c>
      <c r="W163" s="3">
        <f t="shared" si="110"/>
        <v>-4.6692827683414559E-3</v>
      </c>
      <c r="X163" s="3">
        <f t="shared" si="111"/>
        <v>-3.9724545681829947E-2</v>
      </c>
      <c r="Y163" s="3">
        <f t="shared" si="112"/>
        <v>-4.1886773471265489E-3</v>
      </c>
      <c r="Z163" s="3">
        <f t="shared" si="113"/>
        <v>-0.58563538523620651</v>
      </c>
      <c r="AA163" s="3">
        <f t="shared" si="114"/>
        <v>0.58240666708529065</v>
      </c>
      <c r="AB163" s="3">
        <f t="shared" si="115"/>
        <v>6.1410736645667076E-2</v>
      </c>
      <c r="AC163" s="3">
        <f t="shared" si="116"/>
        <v>0.52246002957369697</v>
      </c>
      <c r="AD163" s="3">
        <f t="shared" si="117"/>
        <v>5.5089780212524753E-2</v>
      </c>
      <c r="AE163" s="3">
        <f t="shared" si="93"/>
        <v>-0.96244523846006702</v>
      </c>
      <c r="AF163" s="3">
        <f t="shared" si="118"/>
        <v>0.95713909663698493</v>
      </c>
      <c r="AG163" s="3">
        <f t="shared" si="119"/>
        <v>0.10092366780587993</v>
      </c>
      <c r="AH163" s="3">
        <f t="shared" si="120"/>
        <v>0.85862155946416796</v>
      </c>
      <c r="AI163" s="3">
        <f t="shared" si="121"/>
        <v>9.0535677983274443E-2</v>
      </c>
      <c r="AJ163" s="3">
        <f t="shared" si="94"/>
        <v>-0.92288868759492293</v>
      </c>
      <c r="AK163" s="3">
        <f t="shared" si="122"/>
        <v>0.91780062848505395</v>
      </c>
      <c r="AL163" s="3">
        <f t="shared" si="123"/>
        <v>9.6775699651922634E-2</v>
      </c>
      <c r="AM163" s="3">
        <f t="shared" si="124"/>
        <v>0.82333216736826331</v>
      </c>
      <c r="AN163" s="3">
        <f t="shared" si="125"/>
        <v>8.6814656767578241E-2</v>
      </c>
      <c r="AO163" s="3">
        <f t="shared" si="95"/>
        <v>-0.48407841415627212</v>
      </c>
      <c r="AP163" s="3">
        <f t="shared" si="126"/>
        <v>0.48140959870957134</v>
      </c>
      <c r="AQ163" s="3">
        <f t="shared" si="127"/>
        <v>5.0761297484804194E-2</v>
      </c>
      <c r="AR163" s="3"/>
      <c r="AS163" s="2"/>
      <c r="AT163" s="2"/>
    </row>
    <row r="164" spans="1:46">
      <c r="A164">
        <f t="shared" si="128"/>
        <v>161</v>
      </c>
      <c r="B164" s="1">
        <f t="shared" si="86"/>
        <v>19.856612999999999</v>
      </c>
      <c r="C164" s="1">
        <f t="shared" si="87"/>
        <v>124.76277905195116</v>
      </c>
      <c r="D164" s="1">
        <f t="shared" si="88"/>
        <v>-0.78390286231592232</v>
      </c>
      <c r="E164" s="1">
        <f t="shared" si="89"/>
        <v>0.62088348540841709</v>
      </c>
      <c r="F164" s="2">
        <f t="shared" si="90"/>
        <v>-25686.145089505826</v>
      </c>
      <c r="G164" s="2">
        <f t="shared" si="91"/>
        <v>20344.489166377603</v>
      </c>
      <c r="H164" s="2">
        <f t="shared" si="92"/>
        <v>-6421.7322480920357</v>
      </c>
      <c r="I164" s="3">
        <f t="shared" si="96"/>
        <v>0.94960437937034481</v>
      </c>
      <c r="J164" s="3">
        <f t="shared" si="97"/>
        <v>0.90174847731933772</v>
      </c>
      <c r="K164" s="3">
        <f t="shared" si="98"/>
        <v>0.58993097658575044</v>
      </c>
      <c r="L164" s="3">
        <f t="shared" si="99"/>
        <v>-0.46244858111439713</v>
      </c>
      <c r="M164" s="3">
        <f t="shared" si="100"/>
        <v>0.36627840089295205</v>
      </c>
      <c r="N164" s="3">
        <f t="shared" si="101"/>
        <v>-0.41701230385839583</v>
      </c>
      <c r="O164" s="3">
        <f t="shared" si="102"/>
        <v>0.33029099028018138</v>
      </c>
      <c r="P164" s="3">
        <f t="shared" si="103"/>
        <v>-4.3408223942326664E-2</v>
      </c>
      <c r="Q164" s="3">
        <f t="shared" si="104"/>
        <v>3.4027830996440418E-2</v>
      </c>
      <c r="R164" s="3">
        <f t="shared" si="105"/>
        <v>-2.6951449376700878E-2</v>
      </c>
      <c r="S164" s="3">
        <f t="shared" si="106"/>
        <v>3.0684544787519911E-2</v>
      </c>
      <c r="T164" s="3">
        <f t="shared" si="107"/>
        <v>-2.4303428436989228E-2</v>
      </c>
      <c r="U164" s="3">
        <f t="shared" si="108"/>
        <v>-0.65774197850436433</v>
      </c>
      <c r="V164" s="3">
        <f t="shared" si="109"/>
        <v>0.51560581961490903</v>
      </c>
      <c r="W164" s="3">
        <f t="shared" si="110"/>
        <v>-0.40838113211321786</v>
      </c>
      <c r="X164" s="3">
        <f t="shared" si="111"/>
        <v>0.46494676273473334</v>
      </c>
      <c r="Y164" s="3">
        <f t="shared" si="112"/>
        <v>-0.36825706404904152</v>
      </c>
      <c r="Z164" s="3">
        <f t="shared" si="113"/>
        <v>-0.9840962099082613</v>
      </c>
      <c r="AA164" s="3">
        <f t="shared" si="114"/>
        <v>0.77143583574133678</v>
      </c>
      <c r="AB164" s="3">
        <f t="shared" si="115"/>
        <v>-0.61100908478505456</v>
      </c>
      <c r="AC164" s="3">
        <f t="shared" si="116"/>
        <v>0.69564109022932119</v>
      </c>
      <c r="AD164" s="3">
        <f t="shared" si="117"/>
        <v>-0.55097651183320506</v>
      </c>
      <c r="AE164" s="3">
        <f t="shared" si="93"/>
        <v>-0.87958307001324909</v>
      </c>
      <c r="AF164" s="3">
        <f t="shared" si="118"/>
        <v>0.68950768622801228</v>
      </c>
      <c r="AG164" s="3">
        <f t="shared" si="119"/>
        <v>-0.5461186022160619</v>
      </c>
      <c r="AH164" s="3">
        <f t="shared" si="120"/>
        <v>0.62176250615608974</v>
      </c>
      <c r="AI164" s="3">
        <f t="shared" si="121"/>
        <v>-0.49246161798409888</v>
      </c>
      <c r="AJ164" s="3">
        <f t="shared" si="94"/>
        <v>-0.38996160290401166</v>
      </c>
      <c r="AK164" s="3">
        <f t="shared" si="122"/>
        <v>0.30569201670975982</v>
      </c>
      <c r="AL164" s="3">
        <f t="shared" si="123"/>
        <v>-0.24212071918649586</v>
      </c>
      <c r="AM164" s="3">
        <f t="shared" si="124"/>
        <v>0.27565731059670345</v>
      </c>
      <c r="AN164" s="3">
        <f t="shared" si="125"/>
        <v>-0.21833198985388561</v>
      </c>
      <c r="AO164" s="3">
        <f t="shared" si="95"/>
        <v>0.27039696191889456</v>
      </c>
      <c r="AP164" s="3">
        <f t="shared" si="126"/>
        <v>-0.21196495240975088</v>
      </c>
      <c r="AQ164" s="3">
        <f t="shared" si="127"/>
        <v>0.16788500816005028</v>
      </c>
      <c r="AR164" s="3"/>
      <c r="AS164" s="2"/>
      <c r="AT164" s="2"/>
    </row>
    <row r="165" spans="1:46">
      <c r="A165">
        <f t="shared" si="128"/>
        <v>162</v>
      </c>
      <c r="B165" s="1">
        <f t="shared" si="86"/>
        <v>19.979945999999998</v>
      </c>
      <c r="C165" s="1">
        <f t="shared" si="87"/>
        <v>125.53770314544154</v>
      </c>
      <c r="D165" s="1">
        <f t="shared" si="88"/>
        <v>-0.12566984293150743</v>
      </c>
      <c r="E165" s="1">
        <f t="shared" si="89"/>
        <v>0.99207211964532616</v>
      </c>
      <c r="F165" s="2">
        <f t="shared" si="90"/>
        <v>-4117.823743336704</v>
      </c>
      <c r="G165" s="2">
        <f t="shared" si="91"/>
        <v>32507.227144418401</v>
      </c>
      <c r="H165" s="2">
        <f t="shared" si="92"/>
        <v>-1029.4873532949089</v>
      </c>
      <c r="I165" s="3">
        <f t="shared" si="96"/>
        <v>0.95201310753272983</v>
      </c>
      <c r="J165" s="3">
        <f t="shared" si="97"/>
        <v>0.90632895691412496</v>
      </c>
      <c r="K165" s="3">
        <f t="shared" si="98"/>
        <v>-0.12269890448873183</v>
      </c>
      <c r="L165" s="3">
        <f t="shared" si="99"/>
        <v>1.5419552054966961E-2</v>
      </c>
      <c r="M165" s="3">
        <f t="shared" si="100"/>
        <v>-0.12172616225429561</v>
      </c>
      <c r="N165" s="3">
        <f t="shared" si="101"/>
        <v>1.3975186530061258E-2</v>
      </c>
      <c r="O165" s="3">
        <f t="shared" si="102"/>
        <v>-0.11032394566509526</v>
      </c>
      <c r="P165" s="3">
        <f t="shared" si="103"/>
        <v>-0.71846496080754985</v>
      </c>
      <c r="Q165" s="3">
        <f t="shared" si="104"/>
        <v>9.0289378776476428E-2</v>
      </c>
      <c r="R165" s="3">
        <f t="shared" si="105"/>
        <v>-0.71276905655924216</v>
      </c>
      <c r="S165" s="3">
        <f t="shared" si="106"/>
        <v>8.1831878486908219E-2</v>
      </c>
      <c r="T165" s="3">
        <f t="shared" si="107"/>
        <v>-0.6460032355520029</v>
      </c>
      <c r="U165" s="3">
        <f t="shared" si="108"/>
        <v>-0.99589686948229506</v>
      </c>
      <c r="V165" s="3">
        <f t="shared" si="109"/>
        <v>0.12515420316381998</v>
      </c>
      <c r="W165" s="3">
        <f t="shared" si="110"/>
        <v>-0.98800151825544513</v>
      </c>
      <c r="X165" s="3">
        <f t="shared" si="111"/>
        <v>0.11343087840688344</v>
      </c>
      <c r="Y165" s="3">
        <f t="shared" si="112"/>
        <v>-0.89545438547002942</v>
      </c>
      <c r="Z165" s="3">
        <f t="shared" si="113"/>
        <v>-0.83207137747361148</v>
      </c>
      <c r="AA165" s="3">
        <f t="shared" si="114"/>
        <v>0.10456627931491179</v>
      </c>
      <c r="AB165" s="3">
        <f t="shared" si="115"/>
        <v>-0.82547481514645205</v>
      </c>
      <c r="AC165" s="3">
        <f t="shared" si="116"/>
        <v>9.4771446859875041E-2</v>
      </c>
      <c r="AD165" s="3">
        <f t="shared" si="117"/>
        <v>-0.74815172817056397</v>
      </c>
      <c r="AE165" s="3">
        <f t="shared" si="93"/>
        <v>-0.29957552967000678</v>
      </c>
      <c r="AF165" s="3">
        <f t="shared" si="118"/>
        <v>3.7647609759752898E-2</v>
      </c>
      <c r="AG165" s="3">
        <f t="shared" si="119"/>
        <v>-0.29720053071359492</v>
      </c>
      <c r="AH165" s="3">
        <f t="shared" si="120"/>
        <v>3.4121118883866874E-2</v>
      </c>
      <c r="AI165" s="3">
        <f t="shared" si="121"/>
        <v>-0.26936144699597686</v>
      </c>
      <c r="AJ165" s="3">
        <f t="shared" si="94"/>
        <v>0.36565486483347764</v>
      </c>
      <c r="AK165" s="3">
        <f t="shared" si="122"/>
        <v>-4.5951789430764715E-2</v>
      </c>
      <c r="AL165" s="3">
        <f t="shared" si="123"/>
        <v>0.36275599681397341</v>
      </c>
      <c r="AM165" s="3">
        <f t="shared" si="124"/>
        <v>-4.1647437383122494E-2</v>
      </c>
      <c r="AN165" s="3">
        <f t="shared" si="125"/>
        <v>0.32877626420675216</v>
      </c>
      <c r="AO165" s="3">
        <f t="shared" si="95"/>
        <v>0.86887258498488884</v>
      </c>
      <c r="AP165" s="3">
        <f t="shared" si="126"/>
        <v>-0.10919108128254382</v>
      </c>
      <c r="AQ165" s="3">
        <f t="shared" si="127"/>
        <v>0.86198426708767251</v>
      </c>
      <c r="AR165" s="3"/>
      <c r="AS165" s="2"/>
      <c r="AT165" s="2"/>
    </row>
    <row r="166" spans="1:46">
      <c r="A166">
        <f t="shared" si="128"/>
        <v>163</v>
      </c>
      <c r="B166" s="1">
        <f t="shared" si="86"/>
        <v>20.103279000000001</v>
      </c>
      <c r="C166" s="1">
        <f t="shared" si="87"/>
        <v>126.31262723893192</v>
      </c>
      <c r="D166" s="1">
        <f t="shared" si="88"/>
        <v>0.60432715515369573</v>
      </c>
      <c r="E166" s="1">
        <f t="shared" si="89"/>
        <v>0.79673627352081877</v>
      </c>
      <c r="F166" s="2">
        <f t="shared" si="90"/>
        <v>19801.987892921148</v>
      </c>
      <c r="G166" s="2">
        <f t="shared" si="91"/>
        <v>26106.657474456668</v>
      </c>
      <c r="H166" s="2">
        <f t="shared" si="92"/>
        <v>4950.6480550190754</v>
      </c>
      <c r="I166" s="3">
        <f t="shared" si="96"/>
        <v>0.95436426814408781</v>
      </c>
      <c r="J166" s="3">
        <f t="shared" si="97"/>
        <v>0.91081115631020038</v>
      </c>
      <c r="K166" s="3">
        <f t="shared" si="98"/>
        <v>-0.76881828056825396</v>
      </c>
      <c r="L166" s="3">
        <f t="shared" si="99"/>
        <v>-0.4646177643259688</v>
      </c>
      <c r="M166" s="3">
        <f t="shared" si="100"/>
        <v>-0.61254541187463396</v>
      </c>
      <c r="N166" s="3">
        <f t="shared" si="101"/>
        <v>-0.42317904316799582</v>
      </c>
      <c r="O166" s="3">
        <f t="shared" si="102"/>
        <v>-0.55791319488204327</v>
      </c>
      <c r="P166" s="3">
        <f t="shared" si="103"/>
        <v>-0.99993914363739456</v>
      </c>
      <c r="Q166" s="3">
        <f t="shared" si="104"/>
        <v>-0.60429037800120933</v>
      </c>
      <c r="R166" s="3">
        <f t="shared" si="105"/>
        <v>-0.79668778704925647</v>
      </c>
      <c r="S166" s="3">
        <f t="shared" si="106"/>
        <v>-0.55039441793440957</v>
      </c>
      <c r="T166" s="3">
        <f t="shared" si="107"/>
        <v>-0.72563212454054793</v>
      </c>
      <c r="U166" s="3">
        <f t="shared" si="108"/>
        <v>-0.78273971631816486</v>
      </c>
      <c r="V166" s="3">
        <f t="shared" si="109"/>
        <v>-0.47303086598836741</v>
      </c>
      <c r="W166" s="3">
        <f t="shared" si="110"/>
        <v>-0.62363712471607746</v>
      </c>
      <c r="X166" s="3">
        <f t="shared" si="111"/>
        <v>-0.43084179002128037</v>
      </c>
      <c r="Y166" s="3">
        <f t="shared" si="112"/>
        <v>-0.56801565068061921</v>
      </c>
      <c r="Z166" s="3">
        <f t="shared" si="113"/>
        <v>-0.21460083518204551</v>
      </c>
      <c r="AA166" s="3">
        <f t="shared" si="114"/>
        <v>-0.1296891122191727</v>
      </c>
      <c r="AB166" s="3">
        <f t="shared" si="115"/>
        <v>-0.17098026971739835</v>
      </c>
      <c r="AC166" s="3">
        <f t="shared" si="116"/>
        <v>-0.11812229026118802</v>
      </c>
      <c r="AD166" s="3">
        <f t="shared" si="117"/>
        <v>-0.15573073716753352</v>
      </c>
      <c r="AE166" s="3">
        <f t="shared" si="93"/>
        <v>0.44975381004191878</v>
      </c>
      <c r="AF166" s="3">
        <f t="shared" si="118"/>
        <v>0.27179844054216845</v>
      </c>
      <c r="AG166" s="3">
        <f t="shared" si="119"/>
        <v>0.35833517461458858</v>
      </c>
      <c r="AH166" s="3">
        <f t="shared" si="120"/>
        <v>0.2475570519135217</v>
      </c>
      <c r="AI166" s="3">
        <f t="shared" si="121"/>
        <v>0.32637567473733098</v>
      </c>
      <c r="AJ166" s="3">
        <f t="shared" si="94"/>
        <v>0.91246242510068265</v>
      </c>
      <c r="AK166" s="3">
        <f t="shared" si="122"/>
        <v>0.55142582154573772</v>
      </c>
      <c r="AL166" s="3">
        <f t="shared" si="123"/>
        <v>0.72699191230248705</v>
      </c>
      <c r="AM166" s="3">
        <f t="shared" si="124"/>
        <v>0.50224479014137557</v>
      </c>
      <c r="AN166" s="3">
        <f t="shared" si="125"/>
        <v>0.662152344272392</v>
      </c>
      <c r="AO166" s="3">
        <f t="shared" si="95"/>
        <v>0.96607072441269559</v>
      </c>
      <c r="AP166" s="3">
        <f t="shared" si="126"/>
        <v>0.58382277256159432</v>
      </c>
      <c r="AQ166" s="3">
        <f t="shared" si="127"/>
        <v>0.769703588926129</v>
      </c>
      <c r="AR166" s="3"/>
      <c r="AS166" s="2"/>
      <c r="AT166" s="2"/>
    </row>
    <row r="167" spans="1:46">
      <c r="A167">
        <f t="shared" si="128"/>
        <v>164</v>
      </c>
      <c r="B167" s="1">
        <f t="shared" si="86"/>
        <v>20.226611999999999</v>
      </c>
      <c r="C167" s="1">
        <f t="shared" si="87"/>
        <v>127.08755133242231</v>
      </c>
      <c r="D167" s="1">
        <f t="shared" si="88"/>
        <v>0.98922209789221793</v>
      </c>
      <c r="E167" s="1">
        <f t="shared" si="89"/>
        <v>0.14642281598753421</v>
      </c>
      <c r="F167" s="2">
        <f t="shared" si="90"/>
        <v>32413.840481634306</v>
      </c>
      <c r="G167" s="2">
        <f t="shared" si="91"/>
        <v>4797.8364114635333</v>
      </c>
      <c r="H167" s="2">
        <f t="shared" si="92"/>
        <v>8103.7074259330493</v>
      </c>
      <c r="I167" s="3">
        <f t="shared" si="96"/>
        <v>0.95665771903141961</v>
      </c>
      <c r="J167" s="3">
        <f t="shared" si="97"/>
        <v>0.91519399138239854</v>
      </c>
      <c r="K167" s="3">
        <f t="shared" si="98"/>
        <v>-0.9981899089559455</v>
      </c>
      <c r="L167" s="3">
        <f t="shared" si="99"/>
        <v>-0.98743151583224242</v>
      </c>
      <c r="M167" s="3">
        <f t="shared" si="100"/>
        <v>-0.14615777735966992</v>
      </c>
      <c r="N167" s="3">
        <f t="shared" si="101"/>
        <v>-0.90369139019128197</v>
      </c>
      <c r="O167" s="3">
        <f t="shared" si="102"/>
        <v>-0.13376271963337627</v>
      </c>
      <c r="P167" s="3">
        <f t="shared" si="103"/>
        <v>-0.7336362969647775</v>
      </c>
      <c r="Q167" s="3">
        <f t="shared" si="104"/>
        <v>-0.72572923677337542</v>
      </c>
      <c r="R167" s="3">
        <f t="shared" si="105"/>
        <v>-0.10742109251224961</v>
      </c>
      <c r="S167" s="3">
        <f t="shared" si="106"/>
        <v>-0.66418303686552727</v>
      </c>
      <c r="T167" s="3">
        <f t="shared" si="107"/>
        <v>-9.8311138414943613E-2</v>
      </c>
      <c r="U167" s="3">
        <f t="shared" si="108"/>
        <v>-0.13627079538148754</v>
      </c>
      <c r="V167" s="3">
        <f t="shared" si="109"/>
        <v>-0.13480208208871627</v>
      </c>
      <c r="W167" s="3">
        <f t="shared" si="110"/>
        <v>-1.9953153596618475E-2</v>
      </c>
      <c r="X167" s="3">
        <f t="shared" si="111"/>
        <v>-0.12337005555342997</v>
      </c>
      <c r="Y167" s="3">
        <f t="shared" si="112"/>
        <v>-1.8261006280755325E-2</v>
      </c>
      <c r="Z167" s="3">
        <f t="shared" si="113"/>
        <v>0.52291354081339281</v>
      </c>
      <c r="AA167" s="3">
        <f t="shared" si="114"/>
        <v>0.51727762985967241</v>
      </c>
      <c r="AB167" s="3">
        <f t="shared" si="115"/>
        <v>7.6566473163909368E-2</v>
      </c>
      <c r="AC167" s="3">
        <f t="shared" si="116"/>
        <v>0.47340937872410055</v>
      </c>
      <c r="AD167" s="3">
        <f t="shared" si="117"/>
        <v>7.0073176180951532E-2</v>
      </c>
      <c r="AE167" s="3">
        <f t="shared" si="93"/>
        <v>0.9448797290902774</v>
      </c>
      <c r="AF167" s="3">
        <f t="shared" si="118"/>
        <v>0.9346959078665148</v>
      </c>
      <c r="AG167" s="3">
        <f t="shared" si="119"/>
        <v>0.13835195070293685</v>
      </c>
      <c r="AH167" s="3">
        <f t="shared" si="120"/>
        <v>0.85542807864915027</v>
      </c>
      <c r="AI167" s="3">
        <f t="shared" si="121"/>
        <v>0.12661887397936161</v>
      </c>
      <c r="AJ167" s="3">
        <f t="shared" si="94"/>
        <v>0.93820408301839531</v>
      </c>
      <c r="AK167" s="3">
        <f t="shared" si="122"/>
        <v>0.92809221125450159</v>
      </c>
      <c r="AL167" s="3">
        <f t="shared" si="123"/>
        <v>0.13737448380655576</v>
      </c>
      <c r="AM167" s="3">
        <f t="shared" si="124"/>
        <v>0.84938441518892349</v>
      </c>
      <c r="AN167" s="3">
        <f t="shared" si="125"/>
        <v>0.12572430214901845</v>
      </c>
      <c r="AO167" s="3">
        <f t="shared" si="95"/>
        <v>0.50591498926921141</v>
      </c>
      <c r="AP167" s="3">
        <f t="shared" si="126"/>
        <v>0.50046228704000828</v>
      </c>
      <c r="AQ167" s="3">
        <f t="shared" si="127"/>
        <v>7.407749737910109E-2</v>
      </c>
      <c r="AR167" s="3"/>
      <c r="AS167" s="2"/>
      <c r="AT167" s="2"/>
    </row>
    <row r="168" spans="1:46">
      <c r="A168">
        <f t="shared" si="128"/>
        <v>165</v>
      </c>
      <c r="B168" s="1">
        <f t="shared" si="86"/>
        <v>20.349944999999998</v>
      </c>
      <c r="C168" s="1">
        <f t="shared" si="87"/>
        <v>127.86247542591268</v>
      </c>
      <c r="D168" s="1">
        <f t="shared" si="88"/>
        <v>0.80922007006496621</v>
      </c>
      <c r="E168" s="1">
        <f t="shared" si="89"/>
        <v>-0.5875056409976428</v>
      </c>
      <c r="F168" s="2">
        <f t="shared" si="90"/>
        <v>26515.714035818746</v>
      </c>
      <c r="G168" s="2">
        <f t="shared" si="91"/>
        <v>-19250.797338569762</v>
      </c>
      <c r="H168" s="2">
        <f t="shared" si="92"/>
        <v>6629.1308139722032</v>
      </c>
      <c r="I168" s="3">
        <f t="shared" si="96"/>
        <v>0.95889332151139239</v>
      </c>
      <c r="J168" s="3">
        <f t="shared" si="97"/>
        <v>0.9194764020391506</v>
      </c>
      <c r="K168" s="3">
        <f t="shared" si="98"/>
        <v>-0.68647997510677106</v>
      </c>
      <c r="L168" s="3">
        <f t="shared" si="99"/>
        <v>-0.55551337355409758</v>
      </c>
      <c r="M168" s="3">
        <f t="shared" si="100"/>
        <v>0.40331085780714943</v>
      </c>
      <c r="N168" s="3">
        <f t="shared" si="101"/>
        <v>-0.51078143800015219</v>
      </c>
      <c r="O168" s="3">
        <f t="shared" si="102"/>
        <v>0.37083481643984118</v>
      </c>
      <c r="P168" s="3">
        <f t="shared" si="103"/>
        <v>-6.5439881024807606E-2</v>
      </c>
      <c r="Q168" s="3">
        <f t="shared" si="104"/>
        <v>-5.2955265107937861E-2</v>
      </c>
      <c r="R168" s="3">
        <f t="shared" si="105"/>
        <v>3.8446299248289073E-2</v>
      </c>
      <c r="S168" s="3">
        <f t="shared" si="106"/>
        <v>-4.8691116630476081E-2</v>
      </c>
      <c r="T168" s="3">
        <f t="shared" si="107"/>
        <v>3.5350464904537339E-2</v>
      </c>
      <c r="U168" s="3">
        <f t="shared" si="108"/>
        <v>0.58563538523619774</v>
      </c>
      <c r="V168" s="3">
        <f t="shared" si="109"/>
        <v>0.47390790747335942</v>
      </c>
      <c r="W168" s="3">
        <f t="shared" si="110"/>
        <v>-0.3440640923940938</v>
      </c>
      <c r="X168" s="3">
        <f t="shared" si="111"/>
        <v>0.43574713766150719</v>
      </c>
      <c r="Y168" s="3">
        <f t="shared" si="112"/>
        <v>-0.31635881374538727</v>
      </c>
      <c r="Z168" s="3">
        <f t="shared" si="113"/>
        <v>0.96791952054999941</v>
      </c>
      <c r="AA168" s="3">
        <f t="shared" si="114"/>
        <v>0.78325990223671904</v>
      </c>
      <c r="AB168" s="3">
        <f t="shared" si="115"/>
        <v>-0.56865817835485855</v>
      </c>
      <c r="AC168" s="3">
        <f t="shared" si="116"/>
        <v>0.72018899677015524</v>
      </c>
      <c r="AD168" s="3">
        <f t="shared" si="117"/>
        <v>-0.5228677758238629</v>
      </c>
      <c r="AE168" s="3">
        <f t="shared" si="93"/>
        <v>0.90595423181373436</v>
      </c>
      <c r="AF168" s="3">
        <f t="shared" si="118"/>
        <v>0.73311634694396277</v>
      </c>
      <c r="AG168" s="3">
        <f t="shared" si="119"/>
        <v>-0.53225322167625511</v>
      </c>
      <c r="AH168" s="3">
        <f t="shared" si="120"/>
        <v>0.67408318096412045</v>
      </c>
      <c r="AI168" s="3">
        <f t="shared" si="121"/>
        <v>-0.48939427724062945</v>
      </c>
      <c r="AJ168" s="3">
        <f t="shared" si="94"/>
        <v>0.42817994537249543</v>
      </c>
      <c r="AK168" s="3">
        <f t="shared" si="122"/>
        <v>0.34649180539474417</v>
      </c>
      <c r="AL168" s="3">
        <f t="shared" si="123"/>
        <v>-0.25155813326840359</v>
      </c>
      <c r="AM168" s="3">
        <f t="shared" si="124"/>
        <v>0.31859103856040893</v>
      </c>
      <c r="AN168" s="3">
        <f t="shared" si="125"/>
        <v>-0.23130176728131691</v>
      </c>
      <c r="AO168" s="3">
        <f t="shared" si="95"/>
        <v>-0.24611759541269448</v>
      </c>
      <c r="AP168" s="3">
        <f t="shared" si="126"/>
        <v>-0.19916329780408162</v>
      </c>
      <c r="AQ168" s="3">
        <f t="shared" si="127"/>
        <v>0.1445954756537336</v>
      </c>
      <c r="AR168" s="3"/>
      <c r="AS168" s="2"/>
      <c r="AT168" s="2"/>
    </row>
    <row r="169" spans="1:46">
      <c r="A169">
        <f t="shared" si="128"/>
        <v>166</v>
      </c>
      <c r="B169" s="1">
        <f t="shared" si="86"/>
        <v>20.473278000000001</v>
      </c>
      <c r="C169" s="1">
        <f t="shared" si="87"/>
        <v>128.63739951940306</v>
      </c>
      <c r="D169" s="1">
        <f t="shared" si="88"/>
        <v>0.16711153746517957</v>
      </c>
      <c r="E169" s="1">
        <f t="shared" si="89"/>
        <v>-0.98593799705966489</v>
      </c>
      <c r="F169" s="2">
        <f t="shared" si="90"/>
        <v>5475.7437481215393</v>
      </c>
      <c r="G169" s="2">
        <f t="shared" si="91"/>
        <v>-32306.230349654041</v>
      </c>
      <c r="H169" s="2">
        <f t="shared" si="92"/>
        <v>1368.977714914751</v>
      </c>
      <c r="I169" s="3">
        <f t="shared" si="96"/>
        <v>0.96107094039872454</v>
      </c>
      <c r="J169" s="3">
        <f t="shared" si="97"/>
        <v>0.92365735247888869</v>
      </c>
      <c r="K169" s="3">
        <f t="shared" si="98"/>
        <v>-2.6548214557805317E-3</v>
      </c>
      <c r="L169" s="3">
        <f t="shared" si="99"/>
        <v>-4.4365129517103089E-4</v>
      </c>
      <c r="M169" s="3">
        <f t="shared" si="100"/>
        <v>2.6174893486632812E-3</v>
      </c>
      <c r="N169" s="3">
        <f t="shared" si="101"/>
        <v>-4.0978178072150433E-4</v>
      </c>
      <c r="O169" s="3">
        <f t="shared" si="102"/>
        <v>2.417663281928017E-3</v>
      </c>
      <c r="P169" s="3">
        <f t="shared" si="103"/>
        <v>0.63860518017206069</v>
      </c>
      <c r="Q169" s="3">
        <f t="shared" si="104"/>
        <v>0.10671829349178107</v>
      </c>
      <c r="R169" s="3">
        <f t="shared" si="105"/>
        <v>-0.62962511225076789</v>
      </c>
      <c r="S169" s="3">
        <f t="shared" si="106"/>
        <v>9.8571136427683517E-2</v>
      </c>
      <c r="T169" s="3">
        <f t="shared" si="107"/>
        <v>-0.58155786423576739</v>
      </c>
      <c r="U169" s="3">
        <f t="shared" si="108"/>
        <v>0.98334349750939676</v>
      </c>
      <c r="V169" s="3">
        <f t="shared" si="109"/>
        <v>0.16432804372518225</v>
      </c>
      <c r="W169" s="3">
        <f t="shared" si="110"/>
        <v>-0.96951571835606021</v>
      </c>
      <c r="X169" s="3">
        <f t="shared" si="111"/>
        <v>0.1517828058052369</v>
      </c>
      <c r="Y169" s="3">
        <f t="shared" si="112"/>
        <v>-0.89550032160342652</v>
      </c>
      <c r="Z169" s="3">
        <f t="shared" si="113"/>
        <v>0.8714887912212923</v>
      </c>
      <c r="AA169" s="3">
        <f t="shared" si="114"/>
        <v>0.14563583178466105</v>
      </c>
      <c r="AB169" s="3">
        <f t="shared" si="115"/>
        <v>-0.85923391327666943</v>
      </c>
      <c r="AC169" s="3">
        <f t="shared" si="116"/>
        <v>0.13451760681228081</v>
      </c>
      <c r="AD169" s="3">
        <f t="shared" si="117"/>
        <v>-0.79363772149720346</v>
      </c>
      <c r="AE169" s="3">
        <f t="shared" si="93"/>
        <v>0.3549782314625945</v>
      </c>
      <c r="AF169" s="3">
        <f t="shared" si="118"/>
        <v>5.932095802638454E-2</v>
      </c>
      <c r="AG169" s="3">
        <f t="shared" si="119"/>
        <v>-0.34998652652801254</v>
      </c>
      <c r="AH169" s="3">
        <f t="shared" si="120"/>
        <v>5.4792239037161634E-2</v>
      </c>
      <c r="AI169" s="3">
        <f t="shared" si="121"/>
        <v>-0.32326762849614643</v>
      </c>
      <c r="AJ169" s="3">
        <f t="shared" si="94"/>
        <v>-0.32635833714776785</v>
      </c>
      <c r="AK169" s="3">
        <f t="shared" si="122"/>
        <v>-5.4538243485342912E-2</v>
      </c>
      <c r="AL169" s="3">
        <f t="shared" si="123"/>
        <v>0.32176908525119308</v>
      </c>
      <c r="AM169" s="3">
        <f t="shared" si="124"/>
        <v>-5.0374649586520839E-2</v>
      </c>
      <c r="AN169" s="3">
        <f t="shared" si="125"/>
        <v>0.29720438139267086</v>
      </c>
      <c r="AO169" s="3">
        <f t="shared" si="95"/>
        <v>-0.85615788911939839</v>
      </c>
      <c r="AP169" s="3">
        <f t="shared" si="126"/>
        <v>-0.1430738611636854</v>
      </c>
      <c r="AQ169" s="3">
        <f t="shared" si="127"/>
        <v>0.84411859436521031</v>
      </c>
      <c r="AR169" s="3"/>
      <c r="AS169" s="2"/>
      <c r="AT169" s="2"/>
    </row>
    <row r="170" spans="1:46">
      <c r="A170">
        <f t="shared" si="128"/>
        <v>167</v>
      </c>
      <c r="B170" s="1">
        <f t="shared" si="86"/>
        <v>20.596610999999999</v>
      </c>
      <c r="C170" s="1">
        <f t="shared" si="87"/>
        <v>129.41232361289343</v>
      </c>
      <c r="D170" s="1">
        <f t="shared" si="88"/>
        <v>-0.5704263243639105</v>
      </c>
      <c r="E170" s="1">
        <f t="shared" si="89"/>
        <v>-0.82134877395213712</v>
      </c>
      <c r="F170" s="2">
        <f t="shared" si="90"/>
        <v>-18691.159370432255</v>
      </c>
      <c r="G170" s="2">
        <f t="shared" si="91"/>
        <v>-26913.135276089677</v>
      </c>
      <c r="H170" s="2">
        <f t="shared" si="92"/>
        <v>-4672.9324491891548</v>
      </c>
      <c r="I170" s="3">
        <f t="shared" si="96"/>
        <v>0.96319044401436105</v>
      </c>
      <c r="J170" s="3">
        <f t="shared" si="97"/>
        <v>0.92773583144058203</v>
      </c>
      <c r="K170" s="3">
        <f t="shared" si="98"/>
        <v>0.6826094120014119</v>
      </c>
      <c r="L170" s="3">
        <f t="shared" si="99"/>
        <v>-0.38937837786417562</v>
      </c>
      <c r="M170" s="3">
        <f t="shared" si="100"/>
        <v>-0.56066040363554892</v>
      </c>
      <c r="N170" s="3">
        <f t="shared" si="101"/>
        <v>-0.3612402731328061</v>
      </c>
      <c r="O170" s="3">
        <f t="shared" si="102"/>
        <v>-0.52014474572263825</v>
      </c>
      <c r="P170" s="3">
        <f t="shared" si="103"/>
        <v>0.9928157030918896</v>
      </c>
      <c r="Q170" s="3">
        <f t="shared" si="104"/>
        <v>-0.56632821228547803</v>
      </c>
      <c r="R170" s="3">
        <f t="shared" si="105"/>
        <v>-0.8154479604949525</v>
      </c>
      <c r="S170" s="3">
        <f t="shared" si="106"/>
        <v>-0.52540297489292642</v>
      </c>
      <c r="T170" s="3">
        <f t="shared" si="107"/>
        <v>-0.75652029162631163</v>
      </c>
      <c r="U170" s="3">
        <f t="shared" si="108"/>
        <v>0.83668890484957747</v>
      </c>
      <c r="V170" s="3">
        <f t="shared" si="109"/>
        <v>-0.4772693766294101</v>
      </c>
      <c r="W170" s="3">
        <f t="shared" si="110"/>
        <v>-0.68721340617755677</v>
      </c>
      <c r="X170" s="3">
        <f t="shared" si="111"/>
        <v>-0.4427799019484141</v>
      </c>
      <c r="Y170" s="3">
        <f t="shared" si="112"/>
        <v>-0.63755250075725012</v>
      </c>
      <c r="Z170" s="3">
        <f t="shared" si="113"/>
        <v>0.2875629622607011</v>
      </c>
      <c r="AA170" s="3">
        <f t="shared" si="114"/>
        <v>-0.16403348358556963</v>
      </c>
      <c r="AB170" s="3">
        <f t="shared" si="115"/>
        <v>-0.23618948648687152</v>
      </c>
      <c r="AC170" s="3">
        <f t="shared" si="116"/>
        <v>-0.15217974027835351</v>
      </c>
      <c r="AD170" s="3">
        <f t="shared" si="117"/>
        <v>-0.21912144962342189</v>
      </c>
      <c r="AE170" s="3">
        <f t="shared" si="93"/>
        <v>-0.39663349155309491</v>
      </c>
      <c r="AF170" s="3">
        <f t="shared" si="118"/>
        <v>0.22625018470625607</v>
      </c>
      <c r="AG170" s="3">
        <f t="shared" si="119"/>
        <v>0.32577443199548983</v>
      </c>
      <c r="AH170" s="3">
        <f t="shared" si="120"/>
        <v>0.20990040322204373</v>
      </c>
      <c r="AI170" s="3">
        <f t="shared" si="121"/>
        <v>0.3022326135294191</v>
      </c>
      <c r="AJ170" s="3">
        <f t="shared" si="94"/>
        <v>-0.89452817669743789</v>
      </c>
      <c r="AK170" s="3">
        <f t="shared" si="122"/>
        <v>0.5102624198734701</v>
      </c>
      <c r="AL170" s="3">
        <f t="shared" si="123"/>
        <v>0.73471962119608125</v>
      </c>
      <c r="AM170" s="3">
        <f t="shared" si="124"/>
        <v>0.47338873035419721</v>
      </c>
      <c r="AN170" s="3">
        <f t="shared" si="125"/>
        <v>0.68162571864605603</v>
      </c>
      <c r="AO170" s="3">
        <f t="shared" si="95"/>
        <v>-0.97225617145259924</v>
      </c>
      <c r="AP170" s="3">
        <f t="shared" si="126"/>
        <v>0.5546005142218341</v>
      </c>
      <c r="AQ170" s="3">
        <f t="shared" si="127"/>
        <v>0.79856141438999118</v>
      </c>
      <c r="AR170" s="3"/>
      <c r="AS170" s="2"/>
      <c r="AT170" s="2"/>
    </row>
    <row r="171" spans="1:46">
      <c r="A171">
        <f t="shared" si="128"/>
        <v>168</v>
      </c>
      <c r="B171" s="1">
        <f t="shared" si="86"/>
        <v>20.719943999999998</v>
      </c>
      <c r="C171" s="1">
        <f t="shared" si="87"/>
        <v>130.1872477063838</v>
      </c>
      <c r="D171" s="1">
        <f t="shared" si="88"/>
        <v>-0.9822212582390748</v>
      </c>
      <c r="E171" s="1">
        <f t="shared" si="89"/>
        <v>-0.18772692897730159</v>
      </c>
      <c r="F171" s="2">
        <f t="shared" si="90"/>
        <v>-32184.443968719763</v>
      </c>
      <c r="G171" s="2">
        <f t="shared" si="91"/>
        <v>-6151.2482817992413</v>
      </c>
      <c r="H171" s="2">
        <f t="shared" si="92"/>
        <v>-8046.3565474945008</v>
      </c>
      <c r="I171" s="3">
        <f t="shared" si="96"/>
        <v>0.96525170419343564</v>
      </c>
      <c r="J171" s="3">
        <f t="shared" si="97"/>
        <v>0.93171085244833174</v>
      </c>
      <c r="K171" s="3">
        <f t="shared" si="98"/>
        <v>0.99785651371901074</v>
      </c>
      <c r="L171" s="3">
        <f t="shared" si="99"/>
        <v>-0.98011588044714337</v>
      </c>
      <c r="M171" s="3">
        <f t="shared" si="100"/>
        <v>-0.18732453888046649</v>
      </c>
      <c r="N171" s="3">
        <f t="shared" si="101"/>
        <v>-0.91318460246955513</v>
      </c>
      <c r="O171" s="3">
        <f t="shared" si="102"/>
        <v>-0.17453230580481011</v>
      </c>
      <c r="P171" s="3">
        <f t="shared" si="103"/>
        <v>0.80315149109055295</v>
      </c>
      <c r="Q171" s="3">
        <f t="shared" si="104"/>
        <v>-0.78887246813555201</v>
      </c>
      <c r="R171" s="3">
        <f t="shared" si="105"/>
        <v>-0.15077316292597009</v>
      </c>
      <c r="S171" s="3">
        <f t="shared" si="106"/>
        <v>-0.73500103975959452</v>
      </c>
      <c r="T171" s="3">
        <f t="shared" si="107"/>
        <v>-0.14047699215608681</v>
      </c>
      <c r="U171" s="3">
        <f t="shared" si="108"/>
        <v>0.2268571654603298</v>
      </c>
      <c r="V171" s="3">
        <f t="shared" si="109"/>
        <v>-0.22282393049899513</v>
      </c>
      <c r="W171" s="3">
        <f t="shared" si="110"/>
        <v>-4.2587198988363287E-2</v>
      </c>
      <c r="X171" s="3">
        <f t="shared" si="111"/>
        <v>-0.20760747423110656</v>
      </c>
      <c r="Y171" s="3">
        <f t="shared" si="112"/>
        <v>-3.967895547283469E-2</v>
      </c>
      <c r="Z171" s="3">
        <f t="shared" si="113"/>
        <v>-0.45722039734153852</v>
      </c>
      <c r="AA171" s="3">
        <f t="shared" si="114"/>
        <v>0.4490915939693757</v>
      </c>
      <c r="AB171" s="3">
        <f t="shared" si="115"/>
        <v>8.5832581058708612E-2</v>
      </c>
      <c r="AC171" s="3">
        <f t="shared" si="116"/>
        <v>0.41842351184458709</v>
      </c>
      <c r="AD171" s="3">
        <f t="shared" si="117"/>
        <v>7.9971147266049925E-2</v>
      </c>
      <c r="AE171" s="3">
        <f t="shared" si="93"/>
        <v>-0.92406570112978037</v>
      </c>
      <c r="AF171" s="3">
        <f t="shared" si="118"/>
        <v>0.90763697565926571</v>
      </c>
      <c r="AG171" s="3">
        <f t="shared" si="119"/>
        <v>0.17347201624635067</v>
      </c>
      <c r="AH171" s="3">
        <f t="shared" si="120"/>
        <v>0.84565522030512019</v>
      </c>
      <c r="AI171" s="3">
        <f t="shared" si="121"/>
        <v>0.16162576013281826</v>
      </c>
      <c r="AJ171" s="3">
        <f t="shared" si="94"/>
        <v>-0.95187354967635884</v>
      </c>
      <c r="AK171" s="3">
        <f t="shared" si="122"/>
        <v>0.9349504356476076</v>
      </c>
      <c r="AL171" s="3">
        <f t="shared" si="123"/>
        <v>0.17869229825546576</v>
      </c>
      <c r="AM171" s="3">
        <f t="shared" si="124"/>
        <v>0.87110346739417166</v>
      </c>
      <c r="AN171" s="3">
        <f t="shared" si="125"/>
        <v>0.16648955353355158</v>
      </c>
      <c r="AO171" s="3">
        <f t="shared" si="95"/>
        <v>-0.52743201763144998</v>
      </c>
      <c r="AP171" s="3">
        <f t="shared" si="126"/>
        <v>0.51805493999353669</v>
      </c>
      <c r="AQ171" s="3">
        <f t="shared" si="127"/>
        <v>9.9013192914254089E-2</v>
      </c>
      <c r="AR171" s="3"/>
      <c r="AS171" s="2"/>
      <c r="AT171" s="2"/>
    </row>
    <row r="172" spans="1:46">
      <c r="A172">
        <f t="shared" si="128"/>
        <v>169</v>
      </c>
      <c r="B172" s="1">
        <f t="shared" si="86"/>
        <v>20.843277</v>
      </c>
      <c r="C172" s="1">
        <f t="shared" si="87"/>
        <v>130.9621717998742</v>
      </c>
      <c r="D172" s="1">
        <f t="shared" si="88"/>
        <v>-0.83311706300378607</v>
      </c>
      <c r="E172" s="1">
        <f t="shared" si="89"/>
        <v>0.55309669980207399</v>
      </c>
      <c r="F172" s="2">
        <f t="shared" si="90"/>
        <v>-27298.746803445058</v>
      </c>
      <c r="G172" s="2">
        <f t="shared" si="91"/>
        <v>18123.319562414559</v>
      </c>
      <c r="H172" s="2">
        <f t="shared" si="92"/>
        <v>-6824.8949801270155</v>
      </c>
      <c r="I172" s="3">
        <f t="shared" si="96"/>
        <v>0.96725459629302113</v>
      </c>
      <c r="J172" s="3">
        <f t="shared" si="97"/>
        <v>0.93558145404997528</v>
      </c>
      <c r="K172" s="3">
        <f t="shared" si="98"/>
        <v>0.77220277433710927</v>
      </c>
      <c r="L172" s="3">
        <f t="shared" si="99"/>
        <v>-0.64333530739910783</v>
      </c>
      <c r="M172" s="3">
        <f t="shared" si="100"/>
        <v>0.42710280606386081</v>
      </c>
      <c r="N172" s="3">
        <f t="shared" si="101"/>
        <v>-0.60189258233814524</v>
      </c>
      <c r="O172" s="3">
        <f t="shared" si="102"/>
        <v>0.39958946432605152</v>
      </c>
      <c r="P172" s="3">
        <f t="shared" si="103"/>
        <v>0.17351256579845106</v>
      </c>
      <c r="Q172" s="3">
        <f t="shared" si="104"/>
        <v>-0.14455627921225672</v>
      </c>
      <c r="R172" s="3">
        <f t="shared" si="105"/>
        <v>9.5969227517313502E-2</v>
      </c>
      <c r="S172" s="3">
        <f t="shared" si="106"/>
        <v>-0.13524417389745735</v>
      </c>
      <c r="T172" s="3">
        <f t="shared" si="107"/>
        <v>8.9787029424701056E-2</v>
      </c>
      <c r="U172" s="3">
        <f t="shared" si="108"/>
        <v>-0.50855895063574241</v>
      </c>
      <c r="V172" s="3">
        <f t="shared" si="109"/>
        <v>0.42368913931793717</v>
      </c>
      <c r="W172" s="3">
        <f t="shared" si="110"/>
        <v>-0.28128227725143501</v>
      </c>
      <c r="X172" s="3">
        <f t="shared" si="111"/>
        <v>0.39639570102825816</v>
      </c>
      <c r="Y172" s="3">
        <f t="shared" si="112"/>
        <v>-0.2631624819493858</v>
      </c>
      <c r="Z172" s="3">
        <f t="shared" si="113"/>
        <v>-0.94624291939657157</v>
      </c>
      <c r="AA172" s="3">
        <f t="shared" si="114"/>
        <v>0.78833112189580001</v>
      </c>
      <c r="AB172" s="3">
        <f t="shared" si="115"/>
        <v>-0.52336383592932367</v>
      </c>
      <c r="AC172" s="3">
        <f t="shared" si="116"/>
        <v>0.73754797729612087</v>
      </c>
      <c r="AD172" s="3">
        <f t="shared" si="117"/>
        <v>-0.48964949861592932</v>
      </c>
      <c r="AE172" s="3">
        <f t="shared" si="93"/>
        <v>-0.9292107017928557</v>
      </c>
      <c r="AF172" s="3">
        <f t="shared" si="118"/>
        <v>0.77414129078935079</v>
      </c>
      <c r="AG172" s="3">
        <f t="shared" si="119"/>
        <v>-0.51394337258239764</v>
      </c>
      <c r="AH172" s="3">
        <f t="shared" si="120"/>
        <v>0.72427223447682554</v>
      </c>
      <c r="AI172" s="3">
        <f t="shared" si="121"/>
        <v>-0.48083588781998771</v>
      </c>
      <c r="AJ172" s="3">
        <f t="shared" si="94"/>
        <v>-0.46564711472027298</v>
      </c>
      <c r="AK172" s="3">
        <f t="shared" si="122"/>
        <v>0.38793855661194088</v>
      </c>
      <c r="AL172" s="3">
        <f t="shared" si="123"/>
        <v>-0.25754788242414073</v>
      </c>
      <c r="AM172" s="3">
        <f t="shared" si="124"/>
        <v>0.36294811887704831</v>
      </c>
      <c r="AN172" s="3">
        <f t="shared" si="125"/>
        <v>-0.24095702232586969</v>
      </c>
      <c r="AO172" s="3">
        <f t="shared" si="95"/>
        <v>0.22168277575808129</v>
      </c>
      <c r="AP172" s="3">
        <f t="shared" si="126"/>
        <v>-0.18468770305809959</v>
      </c>
      <c r="AQ172" s="3">
        <f t="shared" si="127"/>
        <v>0.12261201167475798</v>
      </c>
      <c r="AR172" s="3"/>
      <c r="AS172" s="2"/>
      <c r="AT172" s="2"/>
    </row>
    <row r="173" spans="1:46">
      <c r="A173">
        <f t="shared" si="128"/>
        <v>170</v>
      </c>
      <c r="B173" s="1">
        <f t="shared" si="86"/>
        <v>20.966609999999999</v>
      </c>
      <c r="C173" s="1">
        <f t="shared" si="87"/>
        <v>131.73709589336457</v>
      </c>
      <c r="D173" s="1">
        <f t="shared" si="88"/>
        <v>-0.20825994431452985</v>
      </c>
      <c r="E173" s="1">
        <f t="shared" si="89"/>
        <v>0.9780735123670965</v>
      </c>
      <c r="F173" s="2">
        <f t="shared" si="90"/>
        <v>-6824.0535953541994</v>
      </c>
      <c r="G173" s="2">
        <f t="shared" si="91"/>
        <v>32048.53477973265</v>
      </c>
      <c r="H173" s="2">
        <f t="shared" si="92"/>
        <v>-1706.0654638246285</v>
      </c>
      <c r="I173" s="3">
        <f t="shared" si="96"/>
        <v>0.96919899919966612</v>
      </c>
      <c r="J173" s="3">
        <f t="shared" si="97"/>
        <v>0.93934670004963439</v>
      </c>
      <c r="K173" s="3">
        <f t="shared" si="98"/>
        <v>0.12796667928006406</v>
      </c>
      <c r="L173" s="3">
        <f t="shared" si="99"/>
        <v>-2.6650333500981442E-2</v>
      </c>
      <c r="M173" s="3">
        <f t="shared" si="100"/>
        <v>0.12516081946940599</v>
      </c>
      <c r="N173" s="3">
        <f t="shared" si="101"/>
        <v>-2.5033902829369136E-2</v>
      </c>
      <c r="O173" s="3">
        <f t="shared" si="102"/>
        <v>0.11756940274409457</v>
      </c>
      <c r="P173" s="3">
        <f t="shared" si="103"/>
        <v>-0.55117834188595316</v>
      </c>
      <c r="Q173" s="3">
        <f t="shared" si="104"/>
        <v>0.1147883707885435</v>
      </c>
      <c r="R173" s="3">
        <f t="shared" si="105"/>
        <v>-0.53909293678906656</v>
      </c>
      <c r="S173" s="3">
        <f t="shared" si="106"/>
        <v>0.10782607730429219</v>
      </c>
      <c r="T173" s="3">
        <f t="shared" si="107"/>
        <v>-0.5063951711928758</v>
      </c>
      <c r="U173" s="3">
        <f t="shared" si="108"/>
        <v>-0.96244523846006502</v>
      </c>
      <c r="V173" s="3">
        <f t="shared" si="109"/>
        <v>0.20043879176747753</v>
      </c>
      <c r="W173" s="3">
        <f t="shared" si="110"/>
        <v>-0.94134219484162351</v>
      </c>
      <c r="X173" s="3">
        <f t="shared" si="111"/>
        <v>0.18828151760871586</v>
      </c>
      <c r="Y173" s="3">
        <f t="shared" si="112"/>
        <v>-0.88424668434195908</v>
      </c>
      <c r="Z173" s="3">
        <f t="shared" si="113"/>
        <v>-0.90595423181373891</v>
      </c>
      <c r="AA173" s="3">
        <f t="shared" si="114"/>
        <v>0.18867397786904194</v>
      </c>
      <c r="AB173" s="3">
        <f t="shared" si="115"/>
        <v>-0.88608983755389836</v>
      </c>
      <c r="AC173" s="3">
        <f t="shared" si="116"/>
        <v>0.17723027849652229</v>
      </c>
      <c r="AD173" s="3">
        <f t="shared" si="117"/>
        <v>-0.83234556485377109</v>
      </c>
      <c r="AE173" s="3">
        <f t="shared" si="93"/>
        <v>-0.40916050979950797</v>
      </c>
      <c r="AF173" s="3">
        <f t="shared" si="118"/>
        <v>8.5211744986550167E-2</v>
      </c>
      <c r="AG173" s="3">
        <f t="shared" si="119"/>
        <v>-0.40018905694151657</v>
      </c>
      <c r="AH173" s="3">
        <f t="shared" si="120"/>
        <v>8.0043371458586879E-2</v>
      </c>
      <c r="AI173" s="3">
        <f t="shared" si="121"/>
        <v>-0.37591627003398881</v>
      </c>
      <c r="AJ173" s="3">
        <f t="shared" si="94"/>
        <v>0.28648926604137886</v>
      </c>
      <c r="AK173" s="3">
        <f t="shared" si="122"/>
        <v>-5.9664238592488088E-2</v>
      </c>
      <c r="AL173" s="3">
        <f t="shared" si="123"/>
        <v>0.28020756269256297</v>
      </c>
      <c r="AM173" s="3">
        <f t="shared" si="124"/>
        <v>-5.6045405632827727E-2</v>
      </c>
      <c r="AN173" s="3">
        <f t="shared" si="125"/>
        <v>0.26321204934421005</v>
      </c>
      <c r="AO173" s="3">
        <f t="shared" si="95"/>
        <v>0.84290242558075745</v>
      </c>
      <c r="AP173" s="3">
        <f t="shared" si="126"/>
        <v>-0.17554281221403067</v>
      </c>
      <c r="AQ173" s="3">
        <f t="shared" si="127"/>
        <v>0.82442053597051657</v>
      </c>
      <c r="AR173" s="3"/>
      <c r="AS173" s="2"/>
      <c r="AT173" s="2"/>
    </row>
    <row r="174" spans="1:46">
      <c r="A174">
        <f t="shared" si="128"/>
        <v>171</v>
      </c>
      <c r="B174" s="1">
        <f t="shared" si="86"/>
        <v>21.089942999999998</v>
      </c>
      <c r="C174" s="1">
        <f t="shared" si="87"/>
        <v>132.51201998685497</v>
      </c>
      <c r="D174" s="1">
        <f t="shared" si="88"/>
        <v>0.53552437169893563</v>
      </c>
      <c r="E174" s="1">
        <f t="shared" si="89"/>
        <v>0.84451977319448257</v>
      </c>
      <c r="F174" s="2">
        <f t="shared" si="90"/>
        <v>17547.527087459024</v>
      </c>
      <c r="G174" s="2">
        <f t="shared" si="91"/>
        <v>27672.379408263609</v>
      </c>
      <c r="H174" s="2">
        <f t="shared" si="92"/>
        <v>4387.0156529576807</v>
      </c>
      <c r="I174" s="3">
        <f t="shared" si="96"/>
        <v>0.97108479533671899</v>
      </c>
      <c r="J174" s="3">
        <f t="shared" si="97"/>
        <v>0.94300567973415739</v>
      </c>
      <c r="K174" s="3">
        <f t="shared" si="98"/>
        <v>-0.58563538523620051</v>
      </c>
      <c r="L174" s="3">
        <f t="shared" si="99"/>
        <v>-0.31362202172328041</v>
      </c>
      <c r="M174" s="3">
        <f t="shared" si="100"/>
        <v>-0.49458066271433948</v>
      </c>
      <c r="N174" s="3">
        <f t="shared" si="101"/>
        <v>-0.29574734777476269</v>
      </c>
      <c r="O174" s="3">
        <f t="shared" si="102"/>
        <v>-0.46639237402630568</v>
      </c>
      <c r="P174" s="3">
        <f t="shared" si="103"/>
        <v>-0.97392803968225228</v>
      </c>
      <c r="Q174" s="3">
        <f t="shared" si="104"/>
        <v>-0.52156220153081423</v>
      </c>
      <c r="R174" s="3">
        <f t="shared" si="105"/>
        <v>-0.82250148718020266</v>
      </c>
      <c r="S174" s="3">
        <f t="shared" si="106"/>
        <v>-0.49183611837820906</v>
      </c>
      <c r="T174" s="3">
        <f t="shared" si="107"/>
        <v>-0.77562357400072246</v>
      </c>
      <c r="U174" s="3">
        <f t="shared" si="108"/>
        <v>-0.88353775209967933</v>
      </c>
      <c r="V174" s="3">
        <f t="shared" si="109"/>
        <v>-0.47315599956547072</v>
      </c>
      <c r="W174" s="3">
        <f t="shared" si="110"/>
        <v>-0.74616510201198416</v>
      </c>
      <c r="X174" s="3">
        <f t="shared" si="111"/>
        <v>-0.44618879499053138</v>
      </c>
      <c r="Y174" s="3">
        <f t="shared" si="112"/>
        <v>-0.70363792921671797</v>
      </c>
      <c r="Z174" s="3">
        <f t="shared" si="113"/>
        <v>-0.35889109922507129</v>
      </c>
      <c r="AA174" s="3">
        <f t="shared" si="114"/>
        <v>-0.19219493042084668</v>
      </c>
      <c r="AB174" s="3">
        <f t="shared" si="115"/>
        <v>-0.30309062971907574</v>
      </c>
      <c r="AC174" s="3">
        <f t="shared" si="116"/>
        <v>-0.18124091100296957</v>
      </c>
      <c r="AD174" s="3">
        <f t="shared" si="117"/>
        <v>-0.28581618529929081</v>
      </c>
      <c r="AE174" s="3">
        <f t="shared" si="93"/>
        <v>0.34214953785085894</v>
      </c>
      <c r="AF174" s="3">
        <f t="shared" si="118"/>
        <v>0.18322941628466244</v>
      </c>
      <c r="AG174" s="3">
        <f t="shared" si="119"/>
        <v>0.28895205010440445</v>
      </c>
      <c r="AH174" s="3">
        <f t="shared" si="120"/>
        <v>0.17278638025081097</v>
      </c>
      <c r="AI174" s="3">
        <f t="shared" si="121"/>
        <v>0.27248342441928219</v>
      </c>
      <c r="AJ174" s="3">
        <f t="shared" si="94"/>
        <v>0.87502462190954944</v>
      </c>
      <c r="AK174" s="3">
        <f t="shared" si="122"/>
        <v>0.46859701086921018</v>
      </c>
      <c r="AL174" s="3">
        <f t="shared" si="123"/>
        <v>0.73897559523464051</v>
      </c>
      <c r="AM174" s="3">
        <f t="shared" si="124"/>
        <v>0.44188964275611387</v>
      </c>
      <c r="AN174" s="3">
        <f t="shared" si="125"/>
        <v>0.69685818349119577</v>
      </c>
      <c r="AO174" s="3">
        <f t="shared" si="95"/>
        <v>0.97782752065585443</v>
      </c>
      <c r="AP174" s="3">
        <f t="shared" si="126"/>
        <v>0.52365046862915443</v>
      </c>
      <c r="AQ174" s="3">
        <f t="shared" si="127"/>
        <v>0.82579467596760536</v>
      </c>
      <c r="AR174" s="3"/>
      <c r="AS174" s="2"/>
      <c r="AT174" s="2"/>
    </row>
    <row r="175" spans="1:46">
      <c r="A175">
        <f t="shared" si="128"/>
        <v>172</v>
      </c>
      <c r="B175" s="1">
        <f t="shared" si="86"/>
        <v>21.213276</v>
      </c>
      <c r="C175" s="1">
        <f t="shared" si="87"/>
        <v>133.28694408034534</v>
      </c>
      <c r="D175" s="1">
        <f t="shared" si="88"/>
        <v>0.97349657950993074</v>
      </c>
      <c r="E175" s="1">
        <f t="shared" si="89"/>
        <v>0.22870157341493083</v>
      </c>
      <c r="F175" s="2">
        <f t="shared" si="90"/>
        <v>31898.5624208019</v>
      </c>
      <c r="G175" s="2">
        <f t="shared" si="91"/>
        <v>7493.8644560870389</v>
      </c>
      <c r="H175" s="2">
        <f t="shared" si="92"/>
        <v>7974.8839793453526</v>
      </c>
      <c r="I175" s="3">
        <f t="shared" si="96"/>
        <v>0.97291187067143736</v>
      </c>
      <c r="J175" s="3">
        <f t="shared" si="97"/>
        <v>0.94655750809339567</v>
      </c>
      <c r="K175" s="3">
        <f t="shared" si="98"/>
        <v>-0.98178632517014153</v>
      </c>
      <c r="L175" s="3">
        <f t="shared" si="99"/>
        <v>-0.95576562936275744</v>
      </c>
      <c r="M175" s="3">
        <f t="shared" si="100"/>
        <v>-0.22453607732367428</v>
      </c>
      <c r="N175" s="3">
        <f t="shared" si="101"/>
        <v>-0.90468713245092769</v>
      </c>
      <c r="O175" s="3">
        <f t="shared" si="102"/>
        <v>-0.21253630982856314</v>
      </c>
      <c r="P175" s="3">
        <f t="shared" si="103"/>
        <v>-0.86314986038628438</v>
      </c>
      <c r="Q175" s="3">
        <f t="shared" si="104"/>
        <v>-0.84027343669052212</v>
      </c>
      <c r="R175" s="3">
        <f t="shared" si="105"/>
        <v>-0.1974037311632211</v>
      </c>
      <c r="S175" s="3">
        <f t="shared" si="106"/>
        <v>-0.79536713035085427</v>
      </c>
      <c r="T175" s="3">
        <f t="shared" si="107"/>
        <v>-0.18685398385819718</v>
      </c>
      <c r="U175" s="3">
        <f t="shared" si="108"/>
        <v>-0.31551837161318458</v>
      </c>
      <c r="V175" s="3">
        <f t="shared" si="109"/>
        <v>-0.30715605553797842</v>
      </c>
      <c r="W175" s="3">
        <f t="shared" si="110"/>
        <v>-7.215954802925216E-2</v>
      </c>
      <c r="X175" s="3">
        <f t="shared" si="111"/>
        <v>-0.29074087052582548</v>
      </c>
      <c r="Y175" s="3">
        <f t="shared" si="112"/>
        <v>-6.8303161967714618E-2</v>
      </c>
      <c r="Z175" s="3">
        <f t="shared" si="113"/>
        <v>0.38892923636622667</v>
      </c>
      <c r="AA175" s="3">
        <f t="shared" si="114"/>
        <v>0.37862128127393102</v>
      </c>
      <c r="AB175" s="3">
        <f t="shared" si="115"/>
        <v>8.8948728304023575E-2</v>
      </c>
      <c r="AC175" s="3">
        <f t="shared" si="116"/>
        <v>0.35838681651378079</v>
      </c>
      <c r="AD175" s="3">
        <f t="shared" si="117"/>
        <v>8.4195086611533049E-2</v>
      </c>
      <c r="AE175" s="3">
        <f t="shared" si="93"/>
        <v>0.90007471369315717</v>
      </c>
      <c r="AF175" s="3">
        <f t="shared" si="118"/>
        <v>0.87621965508366872</v>
      </c>
      <c r="AG175" s="3">
        <f t="shared" si="119"/>
        <v>0.20584850321261844</v>
      </c>
      <c r="AH175" s="3">
        <f t="shared" si="120"/>
        <v>0.8293922932584521</v>
      </c>
      <c r="AI175" s="3">
        <f t="shared" si="121"/>
        <v>0.19484744624569145</v>
      </c>
      <c r="AJ175" s="3">
        <f t="shared" si="94"/>
        <v>0.96387310667938486</v>
      </c>
      <c r="AK175" s="3">
        <f t="shared" si="122"/>
        <v>0.93832717243399177</v>
      </c>
      <c r="AL175" s="3">
        <f t="shared" si="123"/>
        <v>0.2204392960699128</v>
      </c>
      <c r="AM175" s="3">
        <f t="shared" si="124"/>
        <v>0.88818063011544124</v>
      </c>
      <c r="AN175" s="3">
        <f t="shared" si="125"/>
        <v>0.20865847077379893</v>
      </c>
      <c r="AO175" s="3">
        <f t="shared" si="95"/>
        <v>0.54861590862671494</v>
      </c>
      <c r="AP175" s="3">
        <f t="shared" si="126"/>
        <v>0.53407571051283975</v>
      </c>
      <c r="AQ175" s="3">
        <f t="shared" si="127"/>
        <v>0.12546932150339163</v>
      </c>
      <c r="AR175" s="3"/>
      <c r="AS175" s="2"/>
      <c r="AT175" s="2"/>
    </row>
    <row r="176" spans="1:46">
      <c r="A176">
        <f t="shared" si="128"/>
        <v>173</v>
      </c>
      <c r="B176" s="1">
        <f t="shared" si="86"/>
        <v>21.336608999999999</v>
      </c>
      <c r="C176" s="1">
        <f t="shared" si="87"/>
        <v>134.06186817383571</v>
      </c>
      <c r="D176" s="1">
        <f t="shared" si="88"/>
        <v>0.85555190091791955</v>
      </c>
      <c r="E176" s="1">
        <f t="shared" si="89"/>
        <v>-0.51771705094166476</v>
      </c>
      <c r="F176" s="2">
        <f t="shared" si="90"/>
        <v>28033.869137377471</v>
      </c>
      <c r="G176" s="2">
        <f t="shared" si="91"/>
        <v>-16964.034608205529</v>
      </c>
      <c r="H176" s="2">
        <f t="shared" si="92"/>
        <v>7008.681172319597</v>
      </c>
      <c r="I176" s="3">
        <f t="shared" si="96"/>
        <v>0.97468011472188398</v>
      </c>
      <c r="J176" s="3">
        <f t="shared" si="97"/>
        <v>0.9500013260342649</v>
      </c>
      <c r="K176" s="3">
        <f t="shared" si="98"/>
        <v>-0.84574747452456545</v>
      </c>
      <c r="L176" s="3">
        <f t="shared" si="99"/>
        <v>-0.72358085952602169</v>
      </c>
      <c r="M176" s="3">
        <f t="shared" si="100"/>
        <v>0.43785788835221878</v>
      </c>
      <c r="N176" s="3">
        <f t="shared" si="101"/>
        <v>-0.68740277604273381</v>
      </c>
      <c r="O176" s="3">
        <f t="shared" si="102"/>
        <v>0.41596557454917094</v>
      </c>
      <c r="P176" s="3">
        <f t="shared" si="103"/>
        <v>-0.27952923908134514</v>
      </c>
      <c r="Q176" s="3">
        <f t="shared" si="104"/>
        <v>-0.23915177185818445</v>
      </c>
      <c r="R176" s="3">
        <f t="shared" si="105"/>
        <v>0.14471705330916154</v>
      </c>
      <c r="S176" s="3">
        <f t="shared" si="106"/>
        <v>-0.22719450038871922</v>
      </c>
      <c r="T176" s="3">
        <f t="shared" si="107"/>
        <v>0.13748139254347488</v>
      </c>
      <c r="U176" s="3">
        <f t="shared" si="108"/>
        <v>0.4271667636806919</v>
      </c>
      <c r="V176" s="3">
        <f t="shared" si="109"/>
        <v>0.3654633366759717</v>
      </c>
      <c r="W176" s="3">
        <f t="shared" si="110"/>
        <v>-0.22115151715306283</v>
      </c>
      <c r="X176" s="3">
        <f t="shared" si="111"/>
        <v>0.34719065445908009</v>
      </c>
      <c r="Y176" s="3">
        <f t="shared" si="112"/>
        <v>-0.21009423454989917</v>
      </c>
      <c r="Z176" s="3">
        <f t="shared" si="113"/>
        <v>0.91918957721976136</v>
      </c>
      <c r="AA176" s="3">
        <f t="shared" si="114"/>
        <v>0.78641439009430558</v>
      </c>
      <c r="AB176" s="3">
        <f t="shared" si="115"/>
        <v>-0.47588011717453049</v>
      </c>
      <c r="AC176" s="3">
        <f t="shared" si="116"/>
        <v>0.74709471340201805</v>
      </c>
      <c r="AD176" s="3">
        <f t="shared" si="117"/>
        <v>-0.45208674234914531</v>
      </c>
      <c r="AE176" s="3">
        <f t="shared" si="93"/>
        <v>0.94927252366332204</v>
      </c>
      <c r="AF176" s="3">
        <f t="shared" si="118"/>
        <v>0.81215191210930593</v>
      </c>
      <c r="AG176" s="3">
        <f t="shared" si="119"/>
        <v>-0.49145457149092675</v>
      </c>
      <c r="AH176" s="3">
        <f t="shared" si="120"/>
        <v>0.77154539344510442</v>
      </c>
      <c r="AI176" s="3">
        <f t="shared" si="121"/>
        <v>-0.46688249460198189</v>
      </c>
      <c r="AJ176" s="3">
        <f t="shared" si="94"/>
        <v>0.50229738080090325</v>
      </c>
      <c r="AK176" s="3">
        <f t="shared" si="122"/>
        <v>0.4297414789703049</v>
      </c>
      <c r="AL176" s="3">
        <f t="shared" si="123"/>
        <v>-0.26004791868396598</v>
      </c>
      <c r="AM176" s="3">
        <f t="shared" si="124"/>
        <v>0.40825497487371576</v>
      </c>
      <c r="AN176" s="3">
        <f t="shared" si="125"/>
        <v>-0.24704586758221839</v>
      </c>
      <c r="AO176" s="3">
        <f t="shared" si="95"/>
        <v>-0.19710793651088371</v>
      </c>
      <c r="AP176" s="3">
        <f t="shared" si="126"/>
        <v>-0.16863606976789516</v>
      </c>
      <c r="AQ176" s="3">
        <f t="shared" si="127"/>
        <v>0.10204613960761161</v>
      </c>
      <c r="AR176" s="3"/>
      <c r="AS176" s="2"/>
      <c r="AT176" s="2"/>
    </row>
    <row r="177" spans="1:46">
      <c r="A177">
        <f t="shared" si="128"/>
        <v>174</v>
      </c>
      <c r="B177" s="1">
        <f t="shared" si="86"/>
        <v>21.459941999999998</v>
      </c>
      <c r="C177" s="1">
        <f t="shared" si="87"/>
        <v>134.8367922673261</v>
      </c>
      <c r="D177" s="1">
        <f t="shared" si="88"/>
        <v>0.24904284631760182</v>
      </c>
      <c r="E177" s="1">
        <f t="shared" si="89"/>
        <v>-0.96849246806468625</v>
      </c>
      <c r="F177" s="2">
        <f t="shared" si="90"/>
        <v>8160.3869452888584</v>
      </c>
      <c r="G177" s="2">
        <f t="shared" si="91"/>
        <v>-31734.592701075573</v>
      </c>
      <c r="H177" s="2">
        <f t="shared" si="92"/>
        <v>2040.1589970337941</v>
      </c>
      <c r="I177" s="3">
        <f t="shared" si="96"/>
        <v>0.976389420563607</v>
      </c>
      <c r="J177" s="3">
        <f t="shared" si="97"/>
        <v>0.95333630058853625</v>
      </c>
      <c r="K177" s="3">
        <f t="shared" si="98"/>
        <v>-0.25126042612846983</v>
      </c>
      <c r="L177" s="3">
        <f t="shared" si="99"/>
        <v>-6.257461169000765E-2</v>
      </c>
      <c r="M177" s="3">
        <f t="shared" si="100"/>
        <v>0.24334383022814651</v>
      </c>
      <c r="N177" s="3">
        <f t="shared" si="101"/>
        <v>-5.9654648819316071E-2</v>
      </c>
      <c r="O177" s="3">
        <f t="shared" si="102"/>
        <v>0.23198850688074604</v>
      </c>
      <c r="P177" s="3">
        <f t="shared" si="103"/>
        <v>0.45722039734152892</v>
      </c>
      <c r="Q177" s="3">
        <f t="shared" si="104"/>
        <v>0.11386746914839922</v>
      </c>
      <c r="R177" s="3">
        <f t="shared" si="105"/>
        <v>-0.44281451107081388</v>
      </c>
      <c r="S177" s="3">
        <f t="shared" si="106"/>
        <v>0.10855399179531419</v>
      </c>
      <c r="T177" s="3">
        <f t="shared" si="107"/>
        <v>-0.42215114783117108</v>
      </c>
      <c r="U177" s="3">
        <f t="shared" si="108"/>
        <v>0.93337943993695105</v>
      </c>
      <c r="V177" s="3">
        <f t="shared" si="109"/>
        <v>0.23245147241622735</v>
      </c>
      <c r="W177" s="3">
        <f t="shared" si="110"/>
        <v>-0.90397095742537226</v>
      </c>
      <c r="X177" s="3">
        <f t="shared" si="111"/>
        <v>0.22160442677964434</v>
      </c>
      <c r="Y177" s="3">
        <f t="shared" si="112"/>
        <v>-0.86178832839138164</v>
      </c>
      <c r="Z177" s="3">
        <f t="shared" si="113"/>
        <v>0.93527185974236615</v>
      </c>
      <c r="AA177" s="3">
        <f t="shared" si="114"/>
        <v>0.23292276603099574</v>
      </c>
      <c r="AB177" s="3">
        <f t="shared" si="115"/>
        <v>-0.90580375175333327</v>
      </c>
      <c r="AC177" s="3">
        <f t="shared" si="116"/>
        <v>0.22205372809083865</v>
      </c>
      <c r="AD177" s="3">
        <f t="shared" si="117"/>
        <v>-0.86353559775573963</v>
      </c>
      <c r="AE177" s="3">
        <f t="shared" si="93"/>
        <v>0.46193608474149345</v>
      </c>
      <c r="AF177" s="3">
        <f t="shared" si="118"/>
        <v>0.11504187736083045</v>
      </c>
      <c r="AG177" s="3">
        <f t="shared" si="119"/>
        <v>-0.44738161879942706</v>
      </c>
      <c r="AH177" s="3">
        <f t="shared" si="120"/>
        <v>0.10967359777593418</v>
      </c>
      <c r="AI177" s="3">
        <f t="shared" si="121"/>
        <v>-0.42650513741755652</v>
      </c>
      <c r="AJ177" s="3">
        <f t="shared" si="94"/>
        <v>-0.24611759541270115</v>
      </c>
      <c r="AK177" s="3">
        <f t="shared" si="122"/>
        <v>-6.1293826490423031E-2</v>
      </c>
      <c r="AL177" s="3">
        <f t="shared" si="123"/>
        <v>0.23836303741539283</v>
      </c>
      <c r="AM177" s="3">
        <f t="shared" si="124"/>
        <v>-5.8433629795295518E-2</v>
      </c>
      <c r="AN177" s="3">
        <f t="shared" si="125"/>
        <v>0.22724013628663745</v>
      </c>
      <c r="AO177" s="3">
        <f t="shared" si="95"/>
        <v>-0.82911456680388573</v>
      </c>
      <c r="AP177" s="3">
        <f t="shared" si="126"/>
        <v>-0.20648505164022513</v>
      </c>
      <c r="AQ177" s="3">
        <f t="shared" si="127"/>
        <v>0.8029912131122785</v>
      </c>
      <c r="AR177" s="3"/>
      <c r="AS177" s="2"/>
      <c r="AT177" s="2"/>
    </row>
    <row r="178" spans="1:46">
      <c r="A178">
        <f t="shared" si="128"/>
        <v>175</v>
      </c>
      <c r="B178" s="1">
        <f t="shared" si="86"/>
        <v>21.583275</v>
      </c>
      <c r="C178" s="1">
        <f t="shared" si="87"/>
        <v>135.61171636081647</v>
      </c>
      <c r="D178" s="1">
        <f t="shared" si="88"/>
        <v>-0.49968255153428148</v>
      </c>
      <c r="E178" s="1">
        <f t="shared" si="89"/>
        <v>-0.86620860518248732</v>
      </c>
      <c r="F178" s="2">
        <f t="shared" si="90"/>
        <v>-16373.098166123802</v>
      </c>
      <c r="G178" s="2">
        <f t="shared" si="91"/>
        <v>-28383.057366014564</v>
      </c>
      <c r="H178" s="2">
        <f t="shared" si="92"/>
        <v>-4093.3994621688339</v>
      </c>
      <c r="I178" s="3">
        <f t="shared" si="96"/>
        <v>0.97803968483610593</v>
      </c>
      <c r="J178" s="3">
        <f t="shared" si="97"/>
        <v>0.95656162511430942</v>
      </c>
      <c r="K178" s="3">
        <f t="shared" si="98"/>
        <v>0.47942553860420473</v>
      </c>
      <c r="L178" s="3">
        <f t="shared" si="99"/>
        <v>-0.23956057640044617</v>
      </c>
      <c r="M178" s="3">
        <f t="shared" si="100"/>
        <v>-0.4152825270832109</v>
      </c>
      <c r="N178" s="3">
        <f t="shared" si="101"/>
        <v>-0.22915445427493147</v>
      </c>
      <c r="O178" s="3">
        <f t="shared" si="102"/>
        <v>-0.39724332898829345</v>
      </c>
      <c r="P178" s="3">
        <f t="shared" si="103"/>
        <v>0.94349995998308878</v>
      </c>
      <c r="Q178" s="3">
        <f t="shared" si="104"/>
        <v>-0.47145046737684226</v>
      </c>
      <c r="R178" s="3">
        <f t="shared" si="105"/>
        <v>-0.8172677843266839</v>
      </c>
      <c r="S178" s="3">
        <f t="shared" si="106"/>
        <v>-0.45097142523489298</v>
      </c>
      <c r="T178" s="3">
        <f t="shared" si="107"/>
        <v>-0.7817669999291037</v>
      </c>
      <c r="U178" s="3">
        <f t="shared" si="108"/>
        <v>0.92288868759491904</v>
      </c>
      <c r="V178" s="3">
        <f t="shared" si="109"/>
        <v>-0.46115137419955354</v>
      </c>
      <c r="W178" s="3">
        <f t="shared" si="110"/>
        <v>-0.79941412282029112</v>
      </c>
      <c r="X178" s="3">
        <f t="shared" si="111"/>
        <v>-0.44111970792802196</v>
      </c>
      <c r="Y178" s="3">
        <f t="shared" si="112"/>
        <v>-0.76468887246430783</v>
      </c>
      <c r="Z178" s="3">
        <f t="shared" si="113"/>
        <v>0.42817994537248927</v>
      </c>
      <c r="AA178" s="3">
        <f t="shared" si="114"/>
        <v>-0.21395404761953471</v>
      </c>
      <c r="AB178" s="3">
        <f t="shared" si="115"/>
        <v>-0.37089315324821753</v>
      </c>
      <c r="AC178" s="3">
        <f t="shared" si="116"/>
        <v>-0.20466023149072646</v>
      </c>
      <c r="AD178" s="3">
        <f t="shared" si="117"/>
        <v>-0.35478215741488556</v>
      </c>
      <c r="AE178" s="3">
        <f t="shared" si="93"/>
        <v>-0.2864892660413958</v>
      </c>
      <c r="AF178" s="3">
        <f t="shared" si="118"/>
        <v>0.14315368744274823</v>
      </c>
      <c r="AG178" s="3">
        <f t="shared" si="119"/>
        <v>0.24815946753747198</v>
      </c>
      <c r="AH178" s="3">
        <f t="shared" si="120"/>
        <v>0.13693532390134114</v>
      </c>
      <c r="AI178" s="3">
        <f t="shared" si="121"/>
        <v>0.23737982355514589</v>
      </c>
      <c r="AJ178" s="3">
        <f t="shared" si="94"/>
        <v>-0.85398597659945275</v>
      </c>
      <c r="AK178" s="3">
        <f t="shared" si="122"/>
        <v>0.42672189176170977</v>
      </c>
      <c r="AL178" s="3">
        <f t="shared" si="123"/>
        <v>0.7397300016356162</v>
      </c>
      <c r="AM178" s="3">
        <f t="shared" si="124"/>
        <v>0.40818578625543356</v>
      </c>
      <c r="AN178" s="3">
        <f t="shared" si="125"/>
        <v>0.70759733251037582</v>
      </c>
      <c r="AO178" s="3">
        <f t="shared" si="95"/>
        <v>-0.9827812530388953</v>
      </c>
      <c r="AP178" s="3">
        <f t="shared" si="126"/>
        <v>0.49107864411853352</v>
      </c>
      <c r="AQ178" s="3">
        <f t="shared" si="127"/>
        <v>0.85129357839431863</v>
      </c>
      <c r="AR178" s="3"/>
      <c r="AS178" s="2"/>
      <c r="AT178" s="2"/>
    </row>
    <row r="179" spans="1:46">
      <c r="A179">
        <f t="shared" si="128"/>
        <v>176</v>
      </c>
      <c r="B179" s="1">
        <f t="shared" si="86"/>
        <v>21.706607999999999</v>
      </c>
      <c r="C179" s="1">
        <f t="shared" si="87"/>
        <v>136.38664045430687</v>
      </c>
      <c r="D179" s="1">
        <f t="shared" si="88"/>
        <v>-0.9630633738780735</v>
      </c>
      <c r="E179" s="1">
        <f t="shared" si="89"/>
        <v>-0.26927483709879413</v>
      </c>
      <c r="F179" s="2">
        <f t="shared" si="90"/>
        <v>-31556.697571862835</v>
      </c>
      <c r="G179" s="2">
        <f t="shared" si="91"/>
        <v>-8823.3285872161869</v>
      </c>
      <c r="H179" s="2">
        <f t="shared" si="92"/>
        <v>-7889.4151588091781</v>
      </c>
      <c r="I179" s="3">
        <f t="shared" si="96"/>
        <v>0.97963080774908162</v>
      </c>
      <c r="J179" s="3">
        <f t="shared" si="97"/>
        <v>0.9596765194911181</v>
      </c>
      <c r="K179" s="3">
        <f t="shared" si="98"/>
        <v>0.95023277978261944</v>
      </c>
      <c r="L179" s="3">
        <f t="shared" si="99"/>
        <v>-0.91513438686698989</v>
      </c>
      <c r="M179" s="3">
        <f t="shared" si="100"/>
        <v>-0.25587377698189917</v>
      </c>
      <c r="N179" s="3">
        <f t="shared" si="101"/>
        <v>-0.8782329832551512</v>
      </c>
      <c r="O179" s="3">
        <f t="shared" si="102"/>
        <v>-0.24555605572303554</v>
      </c>
      <c r="P179" s="3">
        <f t="shared" si="103"/>
        <v>0.91292046304706609</v>
      </c>
      <c r="Q179" s="3">
        <f t="shared" si="104"/>
        <v>-0.87920026122444062</v>
      </c>
      <c r="R179" s="3">
        <f t="shared" si="105"/>
        <v>-0.24582650897115443</v>
      </c>
      <c r="S179" s="3">
        <f t="shared" si="106"/>
        <v>-0.84374784662755298</v>
      </c>
      <c r="T179" s="3">
        <f t="shared" si="107"/>
        <v>-0.23591392852808959</v>
      </c>
      <c r="U179" s="3">
        <f t="shared" si="108"/>
        <v>0.4015020137323928</v>
      </c>
      <c r="V179" s="3">
        <f t="shared" si="109"/>
        <v>-0.3866718839639588</v>
      </c>
      <c r="W179" s="3">
        <f t="shared" si="110"/>
        <v>-0.10811438934262788</v>
      </c>
      <c r="X179" s="3">
        <f t="shared" si="111"/>
        <v>-0.37107992778760546</v>
      </c>
      <c r="Y179" s="3">
        <f t="shared" si="112"/>
        <v>-0.10375484087124075</v>
      </c>
      <c r="Z179" s="3">
        <f t="shared" si="113"/>
        <v>-0.31842810188675591</v>
      </c>
      <c r="AA179" s="3">
        <f t="shared" si="114"/>
        <v>0.30666644214065009</v>
      </c>
      <c r="AB179" s="3">
        <f t="shared" si="115"/>
        <v>8.5744675263234413E-2</v>
      </c>
      <c r="AC179" s="3">
        <f t="shared" si="116"/>
        <v>0.29430058383826341</v>
      </c>
      <c r="AD179" s="3">
        <f t="shared" si="117"/>
        <v>8.2287151521516971E-2</v>
      </c>
      <c r="AE179" s="3">
        <f t="shared" si="93"/>
        <v>-0.87298924835588132</v>
      </c>
      <c r="AF179" s="3">
        <f t="shared" si="118"/>
        <v>0.84074397088089847</v>
      </c>
      <c r="AG179" s="3">
        <f t="shared" si="119"/>
        <v>0.23507403764002868</v>
      </c>
      <c r="AH179" s="3">
        <f t="shared" si="120"/>
        <v>0.80684224775812263</v>
      </c>
      <c r="AI179" s="3">
        <f t="shared" si="121"/>
        <v>0.2255950342651068</v>
      </c>
      <c r="AJ179" s="3">
        <f t="shared" si="94"/>
        <v>-0.97418170272701332</v>
      </c>
      <c r="AK179" s="3">
        <f t="shared" si="122"/>
        <v>0.93819871739856386</v>
      </c>
      <c r="AL179" s="3">
        <f t="shared" si="123"/>
        <v>0.26232261930644241</v>
      </c>
      <c r="AM179" s="3">
        <f t="shared" si="124"/>
        <v>0.90036727970408492</v>
      </c>
      <c r="AN179" s="3">
        <f t="shared" si="125"/>
        <v>0.25174485827980025</v>
      </c>
      <c r="AO179" s="3">
        <f t="shared" si="95"/>
        <v>-0.56945328205536316</v>
      </c>
      <c r="AP179" s="3">
        <f t="shared" si="126"/>
        <v>0.5484195990821803</v>
      </c>
      <c r="AQ179" s="3">
        <f t="shared" si="127"/>
        <v>0.15333943976083159</v>
      </c>
      <c r="AR179" s="3"/>
      <c r="AS179" s="2"/>
      <c r="AT179" s="2"/>
    </row>
    <row r="180" spans="1:46">
      <c r="A180">
        <f t="shared" si="128"/>
        <v>177</v>
      </c>
      <c r="B180" s="1">
        <f t="shared" si="86"/>
        <v>21.829940999999998</v>
      </c>
      <c r="C180" s="1">
        <f t="shared" si="87"/>
        <v>137.16156454779724</v>
      </c>
      <c r="D180" s="1">
        <f t="shared" si="88"/>
        <v>-0.87648520973563138</v>
      </c>
      <c r="E180" s="1">
        <f t="shared" si="89"/>
        <v>0.48142878716865928</v>
      </c>
      <c r="F180" s="2">
        <f t="shared" si="90"/>
        <v>-28719.790867407432</v>
      </c>
      <c r="G180" s="2">
        <f t="shared" si="91"/>
        <v>15774.977069155459</v>
      </c>
      <c r="H180" s="2">
        <f t="shared" si="92"/>
        <v>-7180.1668381542922</v>
      </c>
      <c r="I180" s="3">
        <f t="shared" si="96"/>
        <v>0.98116269308847082</v>
      </c>
      <c r="J180" s="3">
        <f t="shared" si="97"/>
        <v>0.96268023030862082</v>
      </c>
      <c r="K180" s="3">
        <f t="shared" si="98"/>
        <v>0.90595423181373147</v>
      </c>
      <c r="L180" s="3">
        <f t="shared" si="99"/>
        <v>-0.79405548488214128</v>
      </c>
      <c r="M180" s="3">
        <f t="shared" si="100"/>
        <v>0.43615244705239914</v>
      </c>
      <c r="N180" s="3">
        <f t="shared" si="101"/>
        <v>-0.76442151706416328</v>
      </c>
      <c r="O180" s="3">
        <f t="shared" si="102"/>
        <v>0.41987533817807215</v>
      </c>
      <c r="P180" s="3">
        <f t="shared" si="103"/>
        <v>0.38223367198026764</v>
      </c>
      <c r="Q180" s="3">
        <f t="shared" si="104"/>
        <v>-0.33502216015364539</v>
      </c>
      <c r="R180" s="3">
        <f t="shared" si="105"/>
        <v>0.18401829311648341</v>
      </c>
      <c r="S180" s="3">
        <f t="shared" si="106"/>
        <v>-0.32251921029520303</v>
      </c>
      <c r="T180" s="3">
        <f t="shared" si="107"/>
        <v>0.17715077279837552</v>
      </c>
      <c r="U180" s="3">
        <f t="shared" si="108"/>
        <v>-0.34214953785087548</v>
      </c>
      <c r="V180" s="3">
        <f t="shared" si="109"/>
        <v>0.29988900944417396</v>
      </c>
      <c r="W180" s="3">
        <f t="shared" si="110"/>
        <v>-0.16472063703786427</v>
      </c>
      <c r="X180" s="3">
        <f t="shared" si="111"/>
        <v>0.28869722067874154</v>
      </c>
      <c r="Y180" s="3">
        <f t="shared" si="112"/>
        <v>-0.15857330080019391</v>
      </c>
      <c r="Z180" s="3">
        <f t="shared" si="113"/>
        <v>-0.88691321650638144</v>
      </c>
      <c r="AA180" s="3">
        <f t="shared" si="114"/>
        <v>0.77736631658689914</v>
      </c>
      <c r="AB180" s="3">
        <f t="shared" si="115"/>
        <v>-0.42698555414652173</v>
      </c>
      <c r="AC180" s="3">
        <f t="shared" si="116"/>
        <v>0.74835518468604034</v>
      </c>
      <c r="AD180" s="3">
        <f t="shared" si="117"/>
        <v>-0.4110505516042276</v>
      </c>
      <c r="AE180" s="3">
        <f t="shared" si="93"/>
        <v>-0.96607072441270025</v>
      </c>
      <c r="AF180" s="3">
        <f t="shared" si="118"/>
        <v>0.84674670150631892</v>
      </c>
      <c r="AG180" s="3">
        <f t="shared" si="119"/>
        <v>-0.46509425717315434</v>
      </c>
      <c r="AH180" s="3">
        <f t="shared" si="120"/>
        <v>0.81514630961916812</v>
      </c>
      <c r="AI180" s="3">
        <f t="shared" si="121"/>
        <v>-0.44773704661066915</v>
      </c>
      <c r="AJ180" s="3">
        <f t="shared" si="94"/>
        <v>-0.53806644659378677</v>
      </c>
      <c r="AK180" s="3">
        <f t="shared" si="122"/>
        <v>0.47160728229446108</v>
      </c>
      <c r="AL180" s="3">
        <f t="shared" si="123"/>
        <v>-0.25904067679979692</v>
      </c>
      <c r="AM180" s="3">
        <f t="shared" si="124"/>
        <v>0.45400700713445452</v>
      </c>
      <c r="AN180" s="3">
        <f t="shared" si="125"/>
        <v>-0.24937333840092951</v>
      </c>
      <c r="AO180" s="3">
        <f t="shared" si="95"/>
        <v>0.17240859966626468</v>
      </c>
      <c r="AP180" s="3">
        <f t="shared" si="126"/>
        <v>-0.15111358763871249</v>
      </c>
      <c r="AQ180" s="3">
        <f t="shared" si="127"/>
        <v>8.3002463034776722E-2</v>
      </c>
      <c r="AR180" s="3"/>
      <c r="AS180" s="2"/>
      <c r="AT180" s="2"/>
    </row>
    <row r="181" spans="1:46">
      <c r="A181">
        <f t="shared" si="128"/>
        <v>178</v>
      </c>
      <c r="B181" s="1">
        <f t="shared" si="86"/>
        <v>21.953274</v>
      </c>
      <c r="C181" s="1">
        <f t="shared" si="87"/>
        <v>137.93648864128764</v>
      </c>
      <c r="D181" s="1">
        <f t="shared" si="88"/>
        <v>-0.28938866778868449</v>
      </c>
      <c r="E181" s="1">
        <f t="shared" si="89"/>
        <v>0.95721167928284823</v>
      </c>
      <c r="F181" s="2">
        <f t="shared" si="90"/>
        <v>-9482.3984774318251</v>
      </c>
      <c r="G181" s="2">
        <f t="shared" si="91"/>
        <v>31364.955095061086</v>
      </c>
      <c r="H181" s="2">
        <f t="shared" si="92"/>
        <v>-2370.6719665249034</v>
      </c>
      <c r="I181" s="3">
        <f t="shared" si="96"/>
        <v>0.98263524822226367</v>
      </c>
      <c r="J181" s="3">
        <f t="shared" si="97"/>
        <v>0.96557203104882972</v>
      </c>
      <c r="K181" s="3">
        <f t="shared" si="98"/>
        <v>0.37059164596112726</v>
      </c>
      <c r="L181" s="3">
        <f t="shared" si="99"/>
        <v>-0.10724502271830644</v>
      </c>
      <c r="M181" s="3">
        <f t="shared" si="100"/>
        <v>0.35473465175864538</v>
      </c>
      <c r="N181" s="3">
        <f t="shared" si="101"/>
        <v>-0.10355279440599302</v>
      </c>
      <c r="O181" s="3">
        <f t="shared" si="102"/>
        <v>0.34252185818199454</v>
      </c>
      <c r="P181" s="3">
        <f t="shared" si="103"/>
        <v>-0.35784468730890606</v>
      </c>
      <c r="Q181" s="3">
        <f t="shared" si="104"/>
        <v>0.1035561973355827</v>
      </c>
      <c r="R181" s="3">
        <f t="shared" si="105"/>
        <v>-0.34253311406140369</v>
      </c>
      <c r="S181" s="3">
        <f t="shared" si="106"/>
        <v>9.9990967789012009E-2</v>
      </c>
      <c r="T181" s="3">
        <f t="shared" si="107"/>
        <v>-0.33074039464575006</v>
      </c>
      <c r="U181" s="3">
        <f t="shared" si="108"/>
        <v>-0.89639276122755029</v>
      </c>
      <c r="V181" s="3">
        <f t="shared" si="109"/>
        <v>0.25940590698706112</v>
      </c>
      <c r="W181" s="3">
        <f t="shared" si="110"/>
        <v>-0.85803762027161257</v>
      </c>
      <c r="X181" s="3">
        <f t="shared" si="111"/>
        <v>0.25047508847556044</v>
      </c>
      <c r="Y181" s="3">
        <f t="shared" si="112"/>
        <v>-0.82849712772196549</v>
      </c>
      <c r="Z181" s="3">
        <f t="shared" si="113"/>
        <v>-0.95927508639707637</v>
      </c>
      <c r="AA181" s="3">
        <f t="shared" si="114"/>
        <v>0.27760333929532516</v>
      </c>
      <c r="AB181" s="3">
        <f t="shared" si="115"/>
        <v>-0.91822931634434479</v>
      </c>
      <c r="AC181" s="3">
        <f t="shared" si="116"/>
        <v>0.26804602014932449</v>
      </c>
      <c r="AD181" s="3">
        <f t="shared" si="117"/>
        <v>-0.88661654595118744</v>
      </c>
      <c r="AE181" s="3">
        <f t="shared" si="93"/>
        <v>-0.51312351262862388</v>
      </c>
      <c r="AF181" s="3">
        <f t="shared" si="118"/>
        <v>0.14849212973064768</v>
      </c>
      <c r="AG181" s="3">
        <f t="shared" si="119"/>
        <v>-0.49116781920275882</v>
      </c>
      <c r="AH181" s="3">
        <f t="shared" si="120"/>
        <v>0.1433798472987878</v>
      </c>
      <c r="AI181" s="3">
        <f t="shared" si="121"/>
        <v>-0.47425790877343221</v>
      </c>
      <c r="AJ181" s="3">
        <f t="shared" si="94"/>
        <v>0.20531415089029373</v>
      </c>
      <c r="AK181" s="3">
        <f t="shared" si="122"/>
        <v>-5.9415588604307054E-2</v>
      </c>
      <c r="AL181" s="3">
        <f t="shared" si="123"/>
        <v>0.19652910315423014</v>
      </c>
      <c r="AM181" s="3">
        <f t="shared" si="124"/>
        <v>-5.7370030564622469E-2</v>
      </c>
      <c r="AN181" s="3">
        <f t="shared" si="125"/>
        <v>0.18976300529283499</v>
      </c>
      <c r="AO181" s="3">
        <f t="shared" si="95"/>
        <v>0.81480302149584494</v>
      </c>
      <c r="AP181" s="3">
        <f t="shared" si="126"/>
        <v>-0.23579476090087742</v>
      </c>
      <c r="AQ181" s="3">
        <f t="shared" si="127"/>
        <v>0.77993896849077637</v>
      </c>
      <c r="AR181" s="3"/>
      <c r="AS181" s="2"/>
      <c r="AT181" s="2"/>
    </row>
    <row r="182" spans="1:46">
      <c r="A182">
        <f t="shared" si="128"/>
        <v>179</v>
      </c>
      <c r="B182" s="1">
        <f t="shared" si="86"/>
        <v>22.076606999999999</v>
      </c>
      <c r="C182" s="1">
        <f t="shared" si="87"/>
        <v>138.71141273477801</v>
      </c>
      <c r="D182" s="1">
        <f t="shared" si="88"/>
        <v>0.46296376775202625</v>
      </c>
      <c r="E182" s="1">
        <f t="shared" si="89"/>
        <v>0.88637720511577234</v>
      </c>
      <c r="F182" s="2">
        <f t="shared" si="90"/>
        <v>15169.933777930644</v>
      </c>
      <c r="G182" s="2">
        <f t="shared" si="91"/>
        <v>29043.921880028513</v>
      </c>
      <c r="H182" s="2">
        <f t="shared" si="92"/>
        <v>3792.599185424599</v>
      </c>
      <c r="I182" s="3">
        <f t="shared" si="96"/>
        <v>0.98404838410610562</v>
      </c>
      <c r="J182" s="3">
        <f t="shared" si="97"/>
        <v>0.96835122226183756</v>
      </c>
      <c r="K182" s="3">
        <f t="shared" si="98"/>
        <v>-0.36565486483346077</v>
      </c>
      <c r="L182" s="3">
        <f t="shared" si="99"/>
        <v>-0.16928495392015688</v>
      </c>
      <c r="M182" s="3">
        <f t="shared" si="100"/>
        <v>-0.32410813712806846</v>
      </c>
      <c r="N182" s="3">
        <f t="shared" si="101"/>
        <v>-0.16392729203912276</v>
      </c>
      <c r="O182" s="3">
        <f t="shared" si="102"/>
        <v>-0.31385051073297238</v>
      </c>
      <c r="P182" s="3">
        <f t="shared" si="103"/>
        <v>-0.90189201702534894</v>
      </c>
      <c r="Q182" s="3">
        <f t="shared" si="104"/>
        <v>-0.41754332630753016</v>
      </c>
      <c r="R182" s="3">
        <f t="shared" si="105"/>
        <v>-0.79941652536715535</v>
      </c>
      <c r="S182" s="3">
        <f t="shared" si="106"/>
        <v>-0.40432859037717012</v>
      </c>
      <c r="T182" s="3">
        <f t="shared" si="107"/>
        <v>-0.77411596943559613</v>
      </c>
      <c r="U182" s="3">
        <f t="shared" si="108"/>
        <v>-0.95440776992634291</v>
      </c>
      <c r="V182" s="3">
        <f t="shared" si="109"/>
        <v>-0.4418562171369087</v>
      </c>
      <c r="W182" s="3">
        <f t="shared" si="110"/>
        <v>-0.84596529164808887</v>
      </c>
      <c r="X182" s="3">
        <f t="shared" si="111"/>
        <v>-0.42787200792851748</v>
      </c>
      <c r="Y182" s="3">
        <f t="shared" si="112"/>
        <v>-0.81919152415851881</v>
      </c>
      <c r="Z182" s="3">
        <f t="shared" si="113"/>
        <v>-0.49503578765749146</v>
      </c>
      <c r="AA182" s="3">
        <f t="shared" si="114"/>
        <v>-0.22918363342600426</v>
      </c>
      <c r="AB182" s="3">
        <f t="shared" si="115"/>
        <v>-0.4387884378961322</v>
      </c>
      <c r="AC182" s="3">
        <f t="shared" si="116"/>
        <v>-0.22193025155048016</v>
      </c>
      <c r="AD182" s="3">
        <f t="shared" si="117"/>
        <v>-0.42490132015108206</v>
      </c>
      <c r="AE182" s="3">
        <f t="shared" si="93"/>
        <v>0.2298440374399551</v>
      </c>
      <c r="AF182" s="3">
        <f t="shared" si="118"/>
        <v>0.10640946156853939</v>
      </c>
      <c r="AG182" s="3">
        <f t="shared" si="119"/>
        <v>0.20372851551855234</v>
      </c>
      <c r="AH182" s="3">
        <f t="shared" si="120"/>
        <v>0.10304173217011915</v>
      </c>
      <c r="AI182" s="3">
        <f t="shared" si="121"/>
        <v>0.19728075701197989</v>
      </c>
      <c r="AJ182" s="3">
        <f t="shared" si="94"/>
        <v>0.83144914970004591</v>
      </c>
      <c r="AK182" s="3">
        <f t="shared" si="122"/>
        <v>0.38493083103935177</v>
      </c>
      <c r="AL182" s="3">
        <f t="shared" si="123"/>
        <v>0.7369775735070121</v>
      </c>
      <c r="AM182" s="3">
        <f t="shared" si="124"/>
        <v>0.37274824072322116</v>
      </c>
      <c r="AN182" s="3">
        <f t="shared" si="125"/>
        <v>0.71365313408507847</v>
      </c>
      <c r="AO182" s="3">
        <f t="shared" si="95"/>
        <v>0.98711423971817336</v>
      </c>
      <c r="AP182" s="3">
        <f t="shared" si="126"/>
        <v>0.45699812762160236</v>
      </c>
      <c r="AQ182" s="3">
        <f t="shared" si="127"/>
        <v>0.87495556093137505</v>
      </c>
      <c r="AR182" s="3"/>
      <c r="AS182" s="2"/>
      <c r="AT182" s="2"/>
    </row>
    <row r="183" spans="1:46">
      <c r="A183">
        <f t="shared" si="128"/>
        <v>180</v>
      </c>
      <c r="B183" s="1">
        <f t="shared" si="86"/>
        <v>22.199939999999998</v>
      </c>
      <c r="C183" s="1">
        <f t="shared" si="87"/>
        <v>139.48633682826838</v>
      </c>
      <c r="D183" s="1">
        <f t="shared" si="88"/>
        <v>0.95093995205241555</v>
      </c>
      <c r="E183" s="1">
        <f t="shared" si="89"/>
        <v>0.30937551226713089</v>
      </c>
      <c r="F183" s="2">
        <f t="shared" si="90"/>
        <v>31159.449408901499</v>
      </c>
      <c r="G183" s="2">
        <f t="shared" si="91"/>
        <v>10137.307410457079</v>
      </c>
      <c r="H183" s="2">
        <f t="shared" si="92"/>
        <v>7790.1000872133882</v>
      </c>
      <c r="I183" s="3">
        <f t="shared" si="96"/>
        <v>0.98540201528868132</v>
      </c>
      <c r="J183" s="3">
        <f t="shared" si="97"/>
        <v>0.97101713173499449</v>
      </c>
      <c r="K183" s="3">
        <f t="shared" si="98"/>
        <v>-0.90369349581636804</v>
      </c>
      <c r="L183" s="3">
        <f t="shared" si="99"/>
        <v>-0.85935824958169682</v>
      </c>
      <c r="M183" s="3">
        <f t="shared" si="100"/>
        <v>-0.27958063820066315</v>
      </c>
      <c r="N183" s="3">
        <f t="shared" si="101"/>
        <v>-0.83445158264162478</v>
      </c>
      <c r="O183" s="3">
        <f t="shared" si="102"/>
        <v>-0.27147758939424715</v>
      </c>
      <c r="P183" s="3">
        <f t="shared" si="103"/>
        <v>-0.95187354967636539</v>
      </c>
      <c r="Q183" s="3">
        <f t="shared" si="104"/>
        <v>-0.90517458768920545</v>
      </c>
      <c r="R183" s="3">
        <f t="shared" si="105"/>
        <v>-0.2944863670446578</v>
      </c>
      <c r="S183" s="3">
        <f t="shared" si="106"/>
        <v>-0.87894003185737857</v>
      </c>
      <c r="T183" s="3">
        <f t="shared" si="107"/>
        <v>-0.28595130746276243</v>
      </c>
      <c r="U183" s="3">
        <f t="shared" si="108"/>
        <v>-0.484078414156285</v>
      </c>
      <c r="V183" s="3">
        <f t="shared" si="109"/>
        <v>-0.46032950394738703</v>
      </c>
      <c r="W183" s="3">
        <f t="shared" si="110"/>
        <v>-0.14976200735706102</v>
      </c>
      <c r="X183" s="3">
        <f t="shared" si="111"/>
        <v>-0.44698783457598451</v>
      </c>
      <c r="Y183" s="3">
        <f t="shared" si="112"/>
        <v>-0.14542147482672851</v>
      </c>
      <c r="Z183" s="3">
        <f t="shared" si="113"/>
        <v>0.24611759541269068</v>
      </c>
      <c r="AA183" s="3">
        <f t="shared" si="114"/>
        <v>0.2340430543809999</v>
      </c>
      <c r="AB183" s="3">
        <f t="shared" si="115"/>
        <v>7.6142757158755639E-2</v>
      </c>
      <c r="AC183" s="3">
        <f t="shared" si="116"/>
        <v>0.22725981536753584</v>
      </c>
      <c r="AD183" s="3">
        <f t="shared" si="117"/>
        <v>7.3935921658689119E-2</v>
      </c>
      <c r="AE183" s="3">
        <f t="shared" si="93"/>
        <v>0.84290242558076123</v>
      </c>
      <c r="AF183" s="3">
        <f t="shared" si="118"/>
        <v>0.8015495921666338</v>
      </c>
      <c r="AG183" s="3">
        <f t="shared" si="119"/>
        <v>0.26077336970525516</v>
      </c>
      <c r="AH183" s="3">
        <f t="shared" si="120"/>
        <v>0.77831838592899938</v>
      </c>
      <c r="AI183" s="3">
        <f t="shared" si="121"/>
        <v>0.25321540948406618</v>
      </c>
      <c r="AJ183" s="3">
        <f t="shared" si="94"/>
        <v>0.9827812530388973</v>
      </c>
      <c r="AK183" s="3">
        <f t="shared" si="122"/>
        <v>0.93456595764282191</v>
      </c>
      <c r="AL183" s="3">
        <f t="shared" si="123"/>
        <v>0.30404845360544164</v>
      </c>
      <c r="AM183" s="3">
        <f t="shared" si="124"/>
        <v>0.90747955560750115</v>
      </c>
      <c r="AN183" s="3">
        <f t="shared" si="125"/>
        <v>0.29523625732841646</v>
      </c>
      <c r="AO183" s="3">
        <f t="shared" si="95"/>
        <v>0.58993097658574534</v>
      </c>
      <c r="AP183" s="3">
        <f t="shared" si="126"/>
        <v>0.56098893458868337</v>
      </c>
      <c r="AQ183" s="3">
        <f t="shared" si="127"/>
        <v>0.18251019808346378</v>
      </c>
      <c r="AR183" s="3"/>
      <c r="AS183" s="2"/>
      <c r="AT183" s="2"/>
    </row>
    <row r="184" spans="1:46">
      <c r="A184">
        <f t="shared" si="128"/>
        <v>181</v>
      </c>
      <c r="B184" s="1">
        <f t="shared" si="86"/>
        <v>22.323273</v>
      </c>
      <c r="C184" s="1">
        <f t="shared" si="87"/>
        <v>140.26126092175878</v>
      </c>
      <c r="D184" s="1">
        <f t="shared" si="88"/>
        <v>0.89588025063111021</v>
      </c>
      <c r="E184" s="1">
        <f t="shared" si="89"/>
        <v>-0.44429559589212575</v>
      </c>
      <c r="F184" s="2">
        <f t="shared" si="90"/>
        <v>29355.308172429588</v>
      </c>
      <c r="G184" s="2">
        <f t="shared" si="91"/>
        <v>-14558.233790597284</v>
      </c>
      <c r="H184" s="2">
        <f t="shared" si="92"/>
        <v>7339.0510131700548</v>
      </c>
      <c r="I184" s="3">
        <f t="shared" si="96"/>
        <v>0.98669605991688247</v>
      </c>
      <c r="J184" s="3">
        <f t="shared" si="97"/>
        <v>0.97356911465550011</v>
      </c>
      <c r="K184" s="3">
        <f t="shared" si="98"/>
        <v>-0.95187354967636539</v>
      </c>
      <c r="L184" s="3">
        <f t="shared" si="99"/>
        <v>-0.85276471425318678</v>
      </c>
      <c r="M184" s="3">
        <f t="shared" si="100"/>
        <v>0.42291322596741371</v>
      </c>
      <c r="N184" s="3">
        <f t="shared" si="101"/>
        <v>-0.83022538786492561</v>
      </c>
      <c r="O184" s="3">
        <f t="shared" si="102"/>
        <v>0.41173525498119645</v>
      </c>
      <c r="P184" s="3">
        <f t="shared" si="103"/>
        <v>-0.48040888350472188</v>
      </c>
      <c r="Q184" s="3">
        <f t="shared" si="104"/>
        <v>-0.43038883095962205</v>
      </c>
      <c r="R184" s="3">
        <f t="shared" si="105"/>
        <v>0.21344355116860123</v>
      </c>
      <c r="S184" s="3">
        <f t="shared" si="106"/>
        <v>-0.41901327311497494</v>
      </c>
      <c r="T184" s="3">
        <f t="shared" si="107"/>
        <v>0.20780204914014103</v>
      </c>
      <c r="U184" s="3">
        <f t="shared" si="108"/>
        <v>0.25422874956920255</v>
      </c>
      <c r="V184" s="3">
        <f t="shared" si="109"/>
        <v>0.22775851588169094</v>
      </c>
      <c r="W184" s="3">
        <f t="shared" si="110"/>
        <v>-0.11295271378275885</v>
      </c>
      <c r="X184" s="3">
        <f t="shared" si="111"/>
        <v>0.2217386566621885</v>
      </c>
      <c r="Y184" s="3">
        <f t="shared" si="112"/>
        <v>-0.10996727355541665</v>
      </c>
      <c r="Z184" s="3">
        <f t="shared" si="113"/>
        <v>0.84959723797645381</v>
      </c>
      <c r="AA184" s="3">
        <f t="shared" si="114"/>
        <v>0.76113738649384444</v>
      </c>
      <c r="AB184" s="3">
        <f t="shared" si="115"/>
        <v>-0.37747231111505269</v>
      </c>
      <c r="AC184" s="3">
        <f t="shared" si="116"/>
        <v>0.74101985150001337</v>
      </c>
      <c r="AD184" s="3">
        <f t="shared" si="117"/>
        <v>-0.36749538373924739</v>
      </c>
      <c r="AE184" s="3">
        <f t="shared" si="93"/>
        <v>0.97954755143421934</v>
      </c>
      <c r="AF184" s="3">
        <f t="shared" si="118"/>
        <v>0.87755730588397873</v>
      </c>
      <c r="AG184" s="3">
        <f t="shared" si="119"/>
        <v>-0.43520866306913919</v>
      </c>
      <c r="AH184" s="3">
        <f t="shared" si="120"/>
        <v>0.854362689348931</v>
      </c>
      <c r="AI184" s="3">
        <f t="shared" si="121"/>
        <v>-0.42370571279462566</v>
      </c>
      <c r="AJ184" s="3">
        <f t="shared" si="94"/>
        <v>0.57289156100313809</v>
      </c>
      <c r="AK184" s="3">
        <f t="shared" si="122"/>
        <v>0.51324223525593937</v>
      </c>
      <c r="AL184" s="3">
        <f t="shared" si="123"/>
        <v>-0.25453319747745934</v>
      </c>
      <c r="AM184" s="3">
        <f t="shared" si="124"/>
        <v>0.49967678858193476</v>
      </c>
      <c r="AN184" s="3">
        <f t="shared" si="125"/>
        <v>-0.24780565971856369</v>
      </c>
      <c r="AO184" s="3">
        <f t="shared" si="95"/>
        <v>-0.14760036585482184</v>
      </c>
      <c r="AP184" s="3">
        <f t="shared" si="126"/>
        <v>-0.13223225275526135</v>
      </c>
      <c r="AQ184" s="3">
        <f t="shared" si="127"/>
        <v>6.5578192501363833E-2</v>
      </c>
      <c r="AR184" s="3"/>
      <c r="AS184" s="2"/>
      <c r="AT184" s="2"/>
    </row>
    <row r="185" spans="1:46">
      <c r="A185">
        <f t="shared" si="128"/>
        <v>182</v>
      </c>
      <c r="B185" s="1">
        <f t="shared" si="86"/>
        <v>22.446605999999999</v>
      </c>
      <c r="C185" s="1">
        <f t="shared" si="87"/>
        <v>141.03618501524915</v>
      </c>
      <c r="D185" s="1">
        <f t="shared" si="88"/>
        <v>0.32922660013654076</v>
      </c>
      <c r="E185" s="1">
        <f t="shared" si="89"/>
        <v>-0.9442509442741025</v>
      </c>
      <c r="F185" s="2">
        <f t="shared" si="90"/>
        <v>10787.76800667403</v>
      </c>
      <c r="G185" s="2">
        <f t="shared" si="91"/>
        <v>-30940.270691029516</v>
      </c>
      <c r="H185" s="2">
        <f t="shared" si="92"/>
        <v>2697.0243083185419</v>
      </c>
      <c r="I185" s="3">
        <f t="shared" si="96"/>
        <v>0.98793043974075667</v>
      </c>
      <c r="J185" s="3">
        <f t="shared" si="97"/>
        <v>0.9760065537663648</v>
      </c>
      <c r="K185" s="3">
        <f t="shared" si="98"/>
        <v>-0.484078414156285</v>
      </c>
      <c r="L185" s="3">
        <f t="shared" si="99"/>
        <v>-0.15937149049216201</v>
      </c>
      <c r="M185" s="3">
        <f t="shared" si="100"/>
        <v>0.45709149966978219</v>
      </c>
      <c r="N185" s="3">
        <f t="shared" si="101"/>
        <v>-0.15554761920386403</v>
      </c>
      <c r="O185" s="3">
        <f t="shared" si="102"/>
        <v>0.44612429934860359</v>
      </c>
      <c r="P185" s="3">
        <f t="shared" si="103"/>
        <v>0.25422874956920255</v>
      </c>
      <c r="Q185" s="3">
        <f t="shared" si="104"/>
        <v>8.3698866877632602E-2</v>
      </c>
      <c r="R185" s="3">
        <f t="shared" si="105"/>
        <v>-0.24005573684234383</v>
      </c>
      <c r="S185" s="3">
        <f t="shared" si="106"/>
        <v>8.1690642615387929E-2</v>
      </c>
      <c r="T185" s="3">
        <f t="shared" si="107"/>
        <v>-0.23429597242734138</v>
      </c>
      <c r="U185" s="3">
        <f t="shared" si="108"/>
        <v>0.85179908009476457</v>
      </c>
      <c r="V185" s="3">
        <f t="shared" si="109"/>
        <v>0.28043491513903229</v>
      </c>
      <c r="W185" s="3">
        <f t="shared" si="110"/>
        <v>-0.80431208571129331</v>
      </c>
      <c r="X185" s="3">
        <f t="shared" si="111"/>
        <v>0.27370631508060989</v>
      </c>
      <c r="Y185" s="3">
        <f t="shared" si="112"/>
        <v>-0.78501386692771635</v>
      </c>
      <c r="Z185" s="3">
        <f t="shared" si="113"/>
        <v>0.97782752065585299</v>
      </c>
      <c r="AA185" s="3">
        <f t="shared" si="114"/>
        <v>0.32192683014546958</v>
      </c>
      <c r="AB185" s="3">
        <f t="shared" si="115"/>
        <v>-0.92331455971649368</v>
      </c>
      <c r="AC185" s="3">
        <f t="shared" si="116"/>
        <v>0.31420269605520962</v>
      </c>
      <c r="AD185" s="3">
        <f t="shared" si="117"/>
        <v>-0.90116106147120334</v>
      </c>
      <c r="AE185" s="3">
        <f t="shared" si="93"/>
        <v>0.5625468098874844</v>
      </c>
      <c r="AF185" s="3">
        <f t="shared" si="118"/>
        <v>0.18520537363691345</v>
      </c>
      <c r="AG185" s="3">
        <f t="shared" si="119"/>
        <v>-0.53118535643464115</v>
      </c>
      <c r="AH185" s="3">
        <f t="shared" si="120"/>
        <v>0.18076165846237582</v>
      </c>
      <c r="AI185" s="3">
        <f t="shared" si="121"/>
        <v>-0.51844038914493229</v>
      </c>
      <c r="AJ185" s="3">
        <f t="shared" si="94"/>
        <v>-0.16415051558103511</v>
      </c>
      <c r="AK185" s="3">
        <f t="shared" si="122"/>
        <v>-5.4042716155404451E-2</v>
      </c>
      <c r="AL185" s="3">
        <f t="shared" si="123"/>
        <v>0.15499927934047317</v>
      </c>
      <c r="AM185" s="3">
        <f t="shared" si="124"/>
        <v>-5.274604515101014E-2</v>
      </c>
      <c r="AN185" s="3">
        <f t="shared" si="125"/>
        <v>0.15128031246536533</v>
      </c>
      <c r="AO185" s="3">
        <f t="shared" si="95"/>
        <v>-0.79997682913546142</v>
      </c>
      <c r="AP185" s="3">
        <f t="shared" si="126"/>
        <v>-0.26337365164427834</v>
      </c>
      <c r="AQ185" s="3">
        <f t="shared" si="127"/>
        <v>0.75537887630856182</v>
      </c>
      <c r="AR185" s="3"/>
      <c r="AS185" s="2"/>
      <c r="AT185" s="2"/>
    </row>
    <row r="186" spans="1:46">
      <c r="A186">
        <f t="shared" si="128"/>
        <v>183</v>
      </c>
      <c r="B186" s="1">
        <f t="shared" si="86"/>
        <v>22.569938999999998</v>
      </c>
      <c r="C186" s="1">
        <f t="shared" si="87"/>
        <v>141.81110910873952</v>
      </c>
      <c r="D186" s="1">
        <f t="shared" si="88"/>
        <v>-0.42543246334169732</v>
      </c>
      <c r="E186" s="1">
        <f t="shared" si="89"/>
        <v>-0.90499017626436995</v>
      </c>
      <c r="F186" s="2">
        <f t="shared" si="90"/>
        <v>-13940.145526317396</v>
      </c>
      <c r="G186" s="2">
        <f t="shared" si="91"/>
        <v>-29653.813105654612</v>
      </c>
      <c r="H186" s="2">
        <f t="shared" si="92"/>
        <v>-3485.1427396951844</v>
      </c>
      <c r="I186" s="3">
        <f t="shared" si="96"/>
        <v>0.98910508011823994</v>
      </c>
      <c r="J186" s="3">
        <f t="shared" si="97"/>
        <v>0.9783288595157098</v>
      </c>
      <c r="K186" s="3">
        <f t="shared" si="98"/>
        <v>0.24611759541269068</v>
      </c>
      <c r="L186" s="3">
        <f t="shared" si="99"/>
        <v>-0.10470641488815623</v>
      </c>
      <c r="M186" s="3">
        <f t="shared" si="100"/>
        <v>-0.22273400605429383</v>
      </c>
      <c r="N186" s="3">
        <f t="shared" si="101"/>
        <v>-0.10243730746150861</v>
      </c>
      <c r="O186" s="3">
        <f t="shared" si="102"/>
        <v>-0.21790710611846248</v>
      </c>
      <c r="P186" s="3">
        <f t="shared" si="103"/>
        <v>0.84959723797645381</v>
      </c>
      <c r="Q186" s="3">
        <f t="shared" si="104"/>
        <v>-0.36144624580062495</v>
      </c>
      <c r="R186" s="3">
        <f t="shared" si="105"/>
        <v>-0.76887715415003277</v>
      </c>
      <c r="S186" s="3">
        <f t="shared" si="106"/>
        <v>-0.35361329343036035</v>
      </c>
      <c r="T186" s="3">
        <f t="shared" si="107"/>
        <v>-0.75221470932728618</v>
      </c>
      <c r="U186" s="3">
        <f t="shared" si="108"/>
        <v>0.97782752065585299</v>
      </c>
      <c r="V186" s="3">
        <f t="shared" si="109"/>
        <v>-0.41599957083592398</v>
      </c>
      <c r="W186" s="3">
        <f t="shared" si="110"/>
        <v>-0.8849243002744922</v>
      </c>
      <c r="X186" s="3">
        <f t="shared" si="111"/>
        <v>-0.40698438569493423</v>
      </c>
      <c r="Y186" s="3">
        <f t="shared" si="112"/>
        <v>-0.8657469814452815</v>
      </c>
      <c r="Z186" s="3">
        <f t="shared" si="113"/>
        <v>0.55907873784791695</v>
      </c>
      <c r="AA186" s="3">
        <f t="shared" si="114"/>
        <v>-0.23785024464460633</v>
      </c>
      <c r="AB186" s="3">
        <f t="shared" si="115"/>
        <v>-0.50596076551064784</v>
      </c>
      <c r="AC186" s="3">
        <f t="shared" si="116"/>
        <v>-0.23269575857869029</v>
      </c>
      <c r="AD186" s="3">
        <f t="shared" si="117"/>
        <v>-0.4949960186817276</v>
      </c>
      <c r="AE186" s="3">
        <f t="shared" si="93"/>
        <v>-0.17240859966628205</v>
      </c>
      <c r="AF186" s="3">
        <f t="shared" si="118"/>
        <v>7.3348215257318911E-2</v>
      </c>
      <c r="AG186" s="3">
        <f t="shared" si="119"/>
        <v>0.1560280890014818</v>
      </c>
      <c r="AH186" s="3">
        <f t="shared" si="120"/>
        <v>7.1758675780205589E-2</v>
      </c>
      <c r="AI186" s="3">
        <f t="shared" si="121"/>
        <v>0.15264678236523535</v>
      </c>
      <c r="AJ186" s="3">
        <f t="shared" si="94"/>
        <v>-0.80745367846371452</v>
      </c>
      <c r="AK186" s="3">
        <f t="shared" si="122"/>
        <v>0.34351700746313291</v>
      </c>
      <c r="AL186" s="3">
        <f t="shared" si="123"/>
        <v>0.73073764679819087</v>
      </c>
      <c r="AM186" s="3">
        <f t="shared" si="124"/>
        <v>0.33607260213565637</v>
      </c>
      <c r="AN186" s="3">
        <f t="shared" si="125"/>
        <v>0.71490172859726764</v>
      </c>
      <c r="AO186" s="3">
        <f t="shared" si="95"/>
        <v>-0.99082374388643124</v>
      </c>
      <c r="AP186" s="3">
        <f t="shared" si="126"/>
        <v>0.42152858609904748</v>
      </c>
      <c r="AQ186" s="3">
        <f t="shared" si="127"/>
        <v>0.8966857546267043</v>
      </c>
      <c r="AR186" s="3"/>
      <c r="AS186" s="2"/>
      <c r="AT186" s="2"/>
    </row>
    <row r="187" spans="1:46">
      <c r="A187">
        <f t="shared" si="128"/>
        <v>184</v>
      </c>
      <c r="B187" s="1">
        <f t="shared" si="86"/>
        <v>22.693272</v>
      </c>
      <c r="C187" s="1">
        <f t="shared" si="87"/>
        <v>142.58603320222991</v>
      </c>
      <c r="D187" s="1">
        <f t="shared" si="88"/>
        <v>-0.93714759114146884</v>
      </c>
      <c r="E187" s="1">
        <f t="shared" si="89"/>
        <v>-0.34893322057055903</v>
      </c>
      <c r="F187" s="2">
        <f t="shared" si="90"/>
        <v>-30707.515118932508</v>
      </c>
      <c r="G187" s="2">
        <f t="shared" si="91"/>
        <v>-11433.494838435508</v>
      </c>
      <c r="H187" s="2">
        <f t="shared" si="92"/>
        <v>-7677.1130666309127</v>
      </c>
      <c r="I187" s="3">
        <f t="shared" si="96"/>
        <v>0.99021991001966947</v>
      </c>
      <c r="J187" s="3">
        <f t="shared" si="97"/>
        <v>0.98053547019936227</v>
      </c>
      <c r="K187" s="3">
        <f t="shared" si="98"/>
        <v>0.84290242558076123</v>
      </c>
      <c r="L187" s="3">
        <f t="shared" si="99"/>
        <v>-0.78992397770031164</v>
      </c>
      <c r="M187" s="3">
        <f t="shared" si="100"/>
        <v>-0.29411665798463099</v>
      </c>
      <c r="N187" s="3">
        <f t="shared" si="101"/>
        <v>-0.77454847889612555</v>
      </c>
      <c r="O187" s="3">
        <f t="shared" si="102"/>
        <v>-0.28839181553042514</v>
      </c>
      <c r="P187" s="3">
        <f t="shared" si="103"/>
        <v>0.97954755143421934</v>
      </c>
      <c r="Q187" s="3">
        <f t="shared" si="104"/>
        <v>-0.91798062823510274</v>
      </c>
      <c r="R187" s="3">
        <f t="shared" si="105"/>
        <v>-0.34179668182394746</v>
      </c>
      <c r="S187" s="3">
        <f t="shared" si="106"/>
        <v>-0.90011256694041242</v>
      </c>
      <c r="T187" s="3">
        <f t="shared" si="107"/>
        <v>-0.33514377012482616</v>
      </c>
      <c r="U187" s="3">
        <f t="shared" si="108"/>
        <v>0.5625468098874844</v>
      </c>
      <c r="V187" s="3">
        <f t="shared" si="109"/>
        <v>-0.52718938779037383</v>
      </c>
      <c r="W187" s="3">
        <f t="shared" si="110"/>
        <v>-0.19629127009573394</v>
      </c>
      <c r="X187" s="3">
        <f t="shared" si="111"/>
        <v>-0.51692789424114804</v>
      </c>
      <c r="Y187" s="3">
        <f t="shared" si="112"/>
        <v>-0.19247055281935047</v>
      </c>
      <c r="Z187" s="3">
        <f t="shared" si="113"/>
        <v>-0.17240859966628205</v>
      </c>
      <c r="AA187" s="3">
        <f t="shared" si="114"/>
        <v>0.16157230386933008</v>
      </c>
      <c r="AB187" s="3">
        <f t="shared" si="115"/>
        <v>6.0159087935616008E-2</v>
      </c>
      <c r="AC187" s="3">
        <f t="shared" si="116"/>
        <v>0.1584273749457078</v>
      </c>
      <c r="AD187" s="3">
        <f t="shared" si="117"/>
        <v>5.8988119575714024E-2</v>
      </c>
      <c r="AE187" s="3">
        <f t="shared" si="93"/>
        <v>-0.80991768456768021</v>
      </c>
      <c r="AF187" s="3">
        <f t="shared" si="118"/>
        <v>0.75901240711547746</v>
      </c>
      <c r="AG187" s="3">
        <f t="shared" si="119"/>
        <v>0.2826071860732508</v>
      </c>
      <c r="AH187" s="3">
        <f t="shared" si="120"/>
        <v>0.74423858749812444</v>
      </c>
      <c r="AI187" s="3">
        <f t="shared" si="121"/>
        <v>0.27710637007805367</v>
      </c>
      <c r="AJ187" s="3">
        <f t="shared" si="94"/>
        <v>-0.98965667108163147</v>
      </c>
      <c r="AK187" s="3">
        <f t="shared" si="122"/>
        <v>0.92745436536123582</v>
      </c>
      <c r="AL187" s="3">
        <f t="shared" si="123"/>
        <v>0.3453240894996521</v>
      </c>
      <c r="AM187" s="3">
        <f t="shared" si="124"/>
        <v>0.90940190222793049</v>
      </c>
      <c r="AN187" s="3">
        <f t="shared" si="125"/>
        <v>0.33860251846870804</v>
      </c>
      <c r="AO187" s="3">
        <f t="shared" si="95"/>
        <v>-0.61003605806711192</v>
      </c>
      <c r="AP187" s="3">
        <f t="shared" si="126"/>
        <v>0.57169382232703114</v>
      </c>
      <c r="AQ187" s="3">
        <f t="shared" si="127"/>
        <v>0.21286184640552591</v>
      </c>
      <c r="AR187" s="3"/>
      <c r="AS187" s="2"/>
      <c r="AT187" s="2"/>
    </row>
    <row r="188" spans="1:46">
      <c r="A188">
        <f t="shared" si="128"/>
        <v>185</v>
      </c>
      <c r="B188" s="1">
        <f t="shared" si="86"/>
        <v>22.816604999999999</v>
      </c>
      <c r="C188" s="1">
        <f t="shared" si="87"/>
        <v>143.36095729572028</v>
      </c>
      <c r="D188" s="1">
        <f t="shared" si="88"/>
        <v>-0.91370298450259091</v>
      </c>
      <c r="E188" s="1">
        <f t="shared" si="89"/>
        <v>0.4063826474039684</v>
      </c>
      <c r="F188" s="2">
        <f t="shared" si="90"/>
        <v>-29939.305693196395</v>
      </c>
      <c r="G188" s="2">
        <f t="shared" si="91"/>
        <v>13315.940207485832</v>
      </c>
      <c r="H188" s="2">
        <f t="shared" si="92"/>
        <v>-7485.0548490452247</v>
      </c>
      <c r="I188" s="3">
        <f t="shared" si="96"/>
        <v>0.99127486203207926</v>
      </c>
      <c r="J188" s="3">
        <f t="shared" si="97"/>
        <v>0.98262585209671782</v>
      </c>
      <c r="K188" s="3">
        <f t="shared" si="98"/>
        <v>0.9827812530388973</v>
      </c>
      <c r="L188" s="3">
        <f t="shared" si="99"/>
        <v>-0.89797016401483643</v>
      </c>
      <c r="M188" s="3">
        <f t="shared" si="100"/>
        <v>0.39938524742893644</v>
      </c>
      <c r="N188" s="3">
        <f t="shared" si="101"/>
        <v>-0.88236869757250813</v>
      </c>
      <c r="O188" s="3">
        <f t="shared" si="102"/>
        <v>0.39244626906971714</v>
      </c>
      <c r="P188" s="3">
        <f t="shared" si="103"/>
        <v>0.57289156100313809</v>
      </c>
      <c r="Q188" s="3">
        <f t="shared" si="104"/>
        <v>-0.52345272908491536</v>
      </c>
      <c r="R188" s="3">
        <f t="shared" si="105"/>
        <v>0.23281318923584732</v>
      </c>
      <c r="S188" s="3">
        <f t="shared" si="106"/>
        <v>-0.51435818394941735</v>
      </c>
      <c r="T188" s="3">
        <f t="shared" si="107"/>
        <v>0.22876825845222887</v>
      </c>
      <c r="U188" s="3">
        <f t="shared" si="108"/>
        <v>-0.16415051558103511</v>
      </c>
      <c r="V188" s="3">
        <f t="shared" si="109"/>
        <v>0.14998481599403082</v>
      </c>
      <c r="W188" s="3">
        <f t="shared" si="110"/>
        <v>-6.6707921094547415E-2</v>
      </c>
      <c r="X188" s="3">
        <f t="shared" si="111"/>
        <v>0.14737895761770398</v>
      </c>
      <c r="Y188" s="3">
        <f t="shared" si="112"/>
        <v>-6.5548927807130272E-2</v>
      </c>
      <c r="Z188" s="3">
        <f t="shared" si="113"/>
        <v>-0.80745367846371452</v>
      </c>
      <c r="AA188" s="3">
        <f t="shared" si="114"/>
        <v>0.7377728358598914</v>
      </c>
      <c r="AB188" s="3">
        <f t="shared" si="115"/>
        <v>-0.32813516351015698</v>
      </c>
      <c r="AC188" s="3">
        <f t="shared" si="116"/>
        <v>0.7249546614906377</v>
      </c>
      <c r="AD188" s="3">
        <f t="shared" si="117"/>
        <v>-0.3224340946470638</v>
      </c>
      <c r="AE188" s="3">
        <f t="shared" si="93"/>
        <v>-0.98965667108163147</v>
      </c>
      <c r="AF188" s="3">
        <f t="shared" si="118"/>
        <v>0.90425225400018561</v>
      </c>
      <c r="AG188" s="3">
        <f t="shared" si="119"/>
        <v>-0.40217929801515179</v>
      </c>
      <c r="AH188" s="3">
        <f t="shared" si="120"/>
        <v>0.88854164159731019</v>
      </c>
      <c r="AI188" s="3">
        <f t="shared" si="121"/>
        <v>-0.39519177540779832</v>
      </c>
      <c r="AJ188" s="3">
        <f t="shared" si="94"/>
        <v>-0.6067116289446296</v>
      </c>
      <c r="AK188" s="3">
        <f t="shared" si="122"/>
        <v>0.55435422609913654</v>
      </c>
      <c r="AL188" s="3">
        <f t="shared" si="123"/>
        <v>-0.24655707798129273</v>
      </c>
      <c r="AM188" s="3">
        <f t="shared" si="124"/>
        <v>0.54472279378408062</v>
      </c>
      <c r="AN188" s="3">
        <f t="shared" si="125"/>
        <v>-0.24227335884184467</v>
      </c>
      <c r="AO188" s="3">
        <f t="shared" si="95"/>
        <v>0.12269890448872744</v>
      </c>
      <c r="AP188" s="3">
        <f t="shared" si="126"/>
        <v>-0.11211035522654861</v>
      </c>
      <c r="AQ188" s="3">
        <f t="shared" si="127"/>
        <v>4.986270563969572E-2</v>
      </c>
      <c r="AR188" s="3"/>
      <c r="AS188" s="2"/>
      <c r="AT188" s="2"/>
    </row>
    <row r="189" spans="1:46">
      <c r="A189">
        <f t="shared" si="128"/>
        <v>186</v>
      </c>
      <c r="B189" s="1">
        <f t="shared" si="86"/>
        <v>22.939937999999998</v>
      </c>
      <c r="C189" s="1">
        <f t="shared" si="87"/>
        <v>144.13588138921065</v>
      </c>
      <c r="D189" s="1">
        <f t="shared" si="88"/>
        <v>-0.36848672613637057</v>
      </c>
      <c r="E189" s="1">
        <f t="shared" si="89"/>
        <v>0.9296330096663411</v>
      </c>
      <c r="F189" s="2">
        <f t="shared" si="90"/>
        <v>-12074.204555310454</v>
      </c>
      <c r="G189" s="2">
        <f t="shared" si="91"/>
        <v>30461.284827736999</v>
      </c>
      <c r="H189" s="2">
        <f t="shared" si="92"/>
        <v>-3018.6432605091477</v>
      </c>
      <c r="I189" s="3">
        <f t="shared" si="96"/>
        <v>0.99226987236327646</v>
      </c>
      <c r="J189" s="3">
        <f t="shared" si="97"/>
        <v>0.98459949959983295</v>
      </c>
      <c r="K189" s="3">
        <f t="shared" si="98"/>
        <v>0.58993097658574534</v>
      </c>
      <c r="L189" s="3">
        <f t="shared" si="99"/>
        <v>-0.21738173420851317</v>
      </c>
      <c r="M189" s="3">
        <f t="shared" si="100"/>
        <v>0.54841930925881022</v>
      </c>
      <c r="N189" s="3">
        <f t="shared" si="101"/>
        <v>-0.21403394672384599</v>
      </c>
      <c r="O189" s="3">
        <f t="shared" si="102"/>
        <v>0.5399733774671106</v>
      </c>
      <c r="P189" s="3">
        <f t="shared" si="103"/>
        <v>-0.14760036585482184</v>
      </c>
      <c r="Q189" s="3">
        <f t="shared" si="104"/>
        <v>5.4388775590373833E-2</v>
      </c>
      <c r="R189" s="3">
        <f t="shared" si="105"/>
        <v>-0.13721417233747107</v>
      </c>
      <c r="S189" s="3">
        <f t="shared" si="106"/>
        <v>5.3551161230129686E-2</v>
      </c>
      <c r="T189" s="3">
        <f t="shared" si="107"/>
        <v>-0.13510100542147924</v>
      </c>
      <c r="U189" s="3">
        <f t="shared" si="108"/>
        <v>-0.79997682913546142</v>
      </c>
      <c r="V189" s="3">
        <f t="shared" si="109"/>
        <v>0.29478084275308086</v>
      </c>
      <c r="W189" s="3">
        <f t="shared" si="110"/>
        <v>-0.74368486733253536</v>
      </c>
      <c r="X189" s="3">
        <f t="shared" si="111"/>
        <v>0.29024107026630047</v>
      </c>
      <c r="Y189" s="3">
        <f t="shared" si="112"/>
        <v>-0.73223174823558246</v>
      </c>
      <c r="Z189" s="3">
        <f t="shared" si="113"/>
        <v>-0.99082374388643124</v>
      </c>
      <c r="AA189" s="3">
        <f t="shared" si="114"/>
        <v>0.36510539756289279</v>
      </c>
      <c r="AB189" s="3">
        <f t="shared" si="115"/>
        <v>-0.92110245907801502</v>
      </c>
      <c r="AC189" s="3">
        <f t="shared" si="116"/>
        <v>0.35948259174162228</v>
      </c>
      <c r="AD189" s="3">
        <f t="shared" si="117"/>
        <v>-0.90691702028838916</v>
      </c>
      <c r="AE189" s="3">
        <f t="shared" si="93"/>
        <v>-0.61003605806711192</v>
      </c>
      <c r="AF189" s="3">
        <f t="shared" si="118"/>
        <v>0.22479018986228691</v>
      </c>
      <c r="AG189" s="3">
        <f t="shared" si="119"/>
        <v>-0.56710965666592006</v>
      </c>
      <c r="AH189" s="3">
        <f t="shared" si="120"/>
        <v>0.22132830845335916</v>
      </c>
      <c r="AI189" s="3">
        <f t="shared" si="121"/>
        <v>-0.55837588417149797</v>
      </c>
      <c r="AJ189" s="3">
        <f t="shared" si="94"/>
        <v>0.12269890448872744</v>
      </c>
      <c r="AK189" s="3">
        <f t="shared" si="122"/>
        <v>-4.5212917615570399E-2</v>
      </c>
      <c r="AL189" s="3">
        <f t="shared" si="123"/>
        <v>0.11406495186261863</v>
      </c>
      <c r="AM189" s="3">
        <f t="shared" si="124"/>
        <v>-4.4516616059739091E-2</v>
      </c>
      <c r="AN189" s="3">
        <f t="shared" si="125"/>
        <v>0.11230829452581334</v>
      </c>
      <c r="AO189" s="3">
        <f t="shared" si="95"/>
        <v>0.78464535426353865</v>
      </c>
      <c r="AP189" s="3">
        <f t="shared" si="126"/>
        <v>-0.28913139777068403</v>
      </c>
      <c r="AQ189" s="3">
        <f t="shared" si="127"/>
        <v>0.72943222220472592</v>
      </c>
      <c r="AR189" s="3"/>
      <c r="AS189" s="2"/>
      <c r="AT189" s="2"/>
    </row>
    <row r="190" spans="1:46">
      <c r="A190">
        <f t="shared" si="128"/>
        <v>187</v>
      </c>
      <c r="B190" s="1">
        <f t="shared" si="86"/>
        <v>23.063271</v>
      </c>
      <c r="C190" s="1">
        <f t="shared" si="87"/>
        <v>144.91080548270105</v>
      </c>
      <c r="D190" s="1">
        <f t="shared" si="88"/>
        <v>0.38715450730034956</v>
      </c>
      <c r="E190" s="1">
        <f t="shared" si="89"/>
        <v>0.92201485209134437</v>
      </c>
      <c r="F190" s="2">
        <f t="shared" si="90"/>
        <v>12685.891740710555</v>
      </c>
      <c r="G190" s="2">
        <f t="shared" si="91"/>
        <v>30211.660658477082</v>
      </c>
      <c r="H190" s="2">
        <f t="shared" si="92"/>
        <v>3171.5697238044636</v>
      </c>
      <c r="I190" s="3">
        <f t="shared" si="96"/>
        <v>0.9932048808456988</v>
      </c>
      <c r="J190" s="3">
        <f t="shared" si="97"/>
        <v>0.98645593533571874</v>
      </c>
      <c r="K190" s="3">
        <f t="shared" si="98"/>
        <v>-0.12269890448873814</v>
      </c>
      <c r="L190" s="3">
        <f t="shared" si="99"/>
        <v>-4.7503433913630065E-2</v>
      </c>
      <c r="M190" s="3">
        <f t="shared" si="100"/>
        <v>-0.1131302122739539</v>
      </c>
      <c r="N190" s="3">
        <f t="shared" si="101"/>
        <v>-4.6860044332928445E-2</v>
      </c>
      <c r="O190" s="3">
        <f t="shared" si="102"/>
        <v>-0.11159796936343158</v>
      </c>
      <c r="P190" s="3">
        <f t="shared" si="103"/>
        <v>-0.7872352820877917</v>
      </c>
      <c r="Q190" s="3">
        <f t="shared" si="104"/>
        <v>-0.30478168776615072</v>
      </c>
      <c r="R190" s="3">
        <f t="shared" si="105"/>
        <v>-0.72584262217526307</v>
      </c>
      <c r="S190" s="3">
        <f t="shared" si="106"/>
        <v>-0.30065370487855719</v>
      </c>
      <c r="T190" s="3">
        <f t="shared" si="107"/>
        <v>-0.71601176276442979</v>
      </c>
      <c r="U190" s="3">
        <f t="shared" si="108"/>
        <v>-0.99294919420199179</v>
      </c>
      <c r="V190" s="3">
        <f t="shared" si="109"/>
        <v>-0.38442475605555126</v>
      </c>
      <c r="W190" s="3">
        <f t="shared" si="110"/>
        <v>-0.91551390442636904</v>
      </c>
      <c r="X190" s="3">
        <f t="shared" si="111"/>
        <v>-0.3792180823009843</v>
      </c>
      <c r="Y190" s="3">
        <f t="shared" si="112"/>
        <v>-0.90311412490376974</v>
      </c>
      <c r="Z190" s="3">
        <f t="shared" si="113"/>
        <v>-0.61994489112552631</v>
      </c>
      <c r="AA190" s="3">
        <f t="shared" si="114"/>
        <v>-0.24001445887707198</v>
      </c>
      <c r="AB190" s="3">
        <f t="shared" si="115"/>
        <v>-0.57159839709588678</v>
      </c>
      <c r="AC190" s="3">
        <f t="shared" si="116"/>
        <v>-0.23676368752567845</v>
      </c>
      <c r="AD190" s="3">
        <f t="shared" si="117"/>
        <v>-0.56385663144362053</v>
      </c>
      <c r="AE190" s="3">
        <f t="shared" si="93"/>
        <v>0.11438041709769514</v>
      </c>
      <c r="AF190" s="3">
        <f t="shared" si="118"/>
        <v>4.4282894026266638E-2</v>
      </c>
      <c r="AG190" s="3">
        <f t="shared" si="119"/>
        <v>0.10546044335247766</v>
      </c>
      <c r="AH190" s="3">
        <f t="shared" si="120"/>
        <v>4.3683123646053368E-2</v>
      </c>
      <c r="AI190" s="3">
        <f t="shared" si="121"/>
        <v>0.10403208028818793</v>
      </c>
      <c r="AJ190" s="3">
        <f t="shared" si="94"/>
        <v>0.78204165910077039</v>
      </c>
      <c r="AK190" s="3">
        <f t="shared" si="122"/>
        <v>0.30277095321750669</v>
      </c>
      <c r="AL190" s="3">
        <f t="shared" si="123"/>
        <v>0.7210540246450664</v>
      </c>
      <c r="AM190" s="3">
        <f t="shared" si="124"/>
        <v>0.29867020384866272</v>
      </c>
      <c r="AN190" s="3">
        <f t="shared" si="125"/>
        <v>0.71128802230883326</v>
      </c>
      <c r="AO190" s="3">
        <f t="shared" si="95"/>
        <v>0.99390742254133213</v>
      </c>
      <c r="AP190" s="3">
        <f t="shared" si="126"/>
        <v>0.38479573847614978</v>
      </c>
      <c r="AQ190" s="3">
        <f t="shared" si="127"/>
        <v>0.91639740518693569</v>
      </c>
      <c r="AR190" s="3"/>
      <c r="AS190" s="2"/>
      <c r="AT190" s="2"/>
    </row>
    <row r="191" spans="1:46">
      <c r="A191">
        <f t="shared" si="128"/>
        <v>188</v>
      </c>
      <c r="B191" s="1">
        <f t="shared" si="86"/>
        <v>23.186603999999999</v>
      </c>
      <c r="C191" s="1">
        <f t="shared" si="87"/>
        <v>145.68572957619142</v>
      </c>
      <c r="D191" s="1">
        <f t="shared" si="88"/>
        <v>0.92171049731107513</v>
      </c>
      <c r="E191" s="1">
        <f t="shared" si="89"/>
        <v>0.38787853658918858</v>
      </c>
      <c r="F191" s="2">
        <f t="shared" si="90"/>
        <v>30201.687865391999</v>
      </c>
      <c r="G191" s="2">
        <f t="shared" si="91"/>
        <v>12709.616008417943</v>
      </c>
      <c r="H191" s="2">
        <f t="shared" si="92"/>
        <v>7550.6523939723274</v>
      </c>
      <c r="I191" s="3">
        <f t="shared" si="96"/>
        <v>0.99407983094005259</v>
      </c>
      <c r="J191" s="3">
        <f t="shared" si="97"/>
        <v>0.9881947102818035</v>
      </c>
      <c r="K191" s="3">
        <f t="shared" si="98"/>
        <v>-0.76881828056825807</v>
      </c>
      <c r="L191" s="3">
        <f t="shared" si="99"/>
        <v>-0.70862787972441488</v>
      </c>
      <c r="M191" s="3">
        <f t="shared" si="100"/>
        <v>-0.29820810956983212</v>
      </c>
      <c r="N191" s="3">
        <f t="shared" si="101"/>
        <v>-0.7002623223018769</v>
      </c>
      <c r="O191" s="3">
        <f t="shared" si="102"/>
        <v>-0.29468767644004462</v>
      </c>
      <c r="P191" s="3">
        <f t="shared" si="103"/>
        <v>-0.99561454932902027</v>
      </c>
      <c r="Q191" s="3">
        <f t="shared" si="104"/>
        <v>-0.9176683813921932</v>
      </c>
      <c r="R191" s="3">
        <f t="shared" si="105"/>
        <v>-0.38617751440064491</v>
      </c>
      <c r="S191" s="3">
        <f t="shared" si="106"/>
        <v>-0.90683504028462991</v>
      </c>
      <c r="T191" s="3">
        <f t="shared" si="107"/>
        <v>-0.38161857696049228</v>
      </c>
      <c r="U191" s="3">
        <f t="shared" si="108"/>
        <v>-0.63624129943472341</v>
      </c>
      <c r="V191" s="3">
        <f t="shared" si="109"/>
        <v>-0.58643028451182355</v>
      </c>
      <c r="W191" s="3">
        <f t="shared" si="110"/>
        <v>-0.24678434414234426</v>
      </c>
      <c r="X191" s="3">
        <f t="shared" si="111"/>
        <v>-0.57950730510363713</v>
      </c>
      <c r="Y191" s="3">
        <f t="shared" si="112"/>
        <v>-0.24387098346182878</v>
      </c>
      <c r="Z191" s="3">
        <f t="shared" si="113"/>
        <v>9.7719943864685757E-2</v>
      </c>
      <c r="AA191" s="3">
        <f t="shared" si="114"/>
        <v>9.0069498056729855E-2</v>
      </c>
      <c r="AB191" s="3">
        <f t="shared" si="115"/>
        <v>3.7903468821811968E-2</v>
      </c>
      <c r="AC191" s="3">
        <f t="shared" si="116"/>
        <v>8.900620153739762E-2</v>
      </c>
      <c r="AD191" s="3">
        <f t="shared" si="117"/>
        <v>3.7456007391045848E-2</v>
      </c>
      <c r="AE191" s="3">
        <f t="shared" si="93"/>
        <v>0.77414842762703939</v>
      </c>
      <c r="AF191" s="3">
        <f t="shared" si="118"/>
        <v>0.71354073222070535</v>
      </c>
      <c r="AG191" s="3">
        <f t="shared" si="119"/>
        <v>0.3002755592107974</v>
      </c>
      <c r="AH191" s="3">
        <f t="shared" si="120"/>
        <v>0.70511717715110589</v>
      </c>
      <c r="AI191" s="3">
        <f t="shared" si="121"/>
        <v>0.2967307192390205</v>
      </c>
      <c r="AJ191" s="3">
        <f t="shared" si="94"/>
        <v>0.99479589503569243</v>
      </c>
      <c r="AK191" s="3">
        <f t="shared" si="122"/>
        <v>0.91691381913636416</v>
      </c>
      <c r="AL191" s="3">
        <f t="shared" si="123"/>
        <v>0.38585997597137645</v>
      </c>
      <c r="AM191" s="3">
        <f t="shared" si="124"/>
        <v>0.90608938585484133</v>
      </c>
      <c r="AN191" s="3">
        <f t="shared" si="125"/>
        <v>0.38130478716437799</v>
      </c>
      <c r="AO191" s="3">
        <f t="shared" si="95"/>
        <v>0.62975582769901162</v>
      </c>
      <c r="AP191" s="3">
        <f t="shared" si="126"/>
        <v>0.5804525571330037</v>
      </c>
      <c r="AQ191" s="3">
        <f t="shared" si="127"/>
        <v>0.2442687688564058</v>
      </c>
      <c r="AR191" s="3"/>
      <c r="AS191" s="2"/>
      <c r="AT191" s="2"/>
    </row>
    <row r="192" spans="1:46">
      <c r="A192">
        <f t="shared" si="128"/>
        <v>189</v>
      </c>
      <c r="B192" s="1">
        <f t="shared" si="86"/>
        <v>23.309936999999998</v>
      </c>
      <c r="C192" s="1">
        <f t="shared" si="87"/>
        <v>146.46065366968179</v>
      </c>
      <c r="D192" s="1">
        <f t="shared" si="88"/>
        <v>0.92992213171236993</v>
      </c>
      <c r="E192" s="1">
        <f t="shared" si="89"/>
        <v>-0.36775648050241294</v>
      </c>
      <c r="F192" s="2">
        <f t="shared" si="90"/>
        <v>30470.758489819225</v>
      </c>
      <c r="G192" s="2">
        <f t="shared" si="91"/>
        <v>-12050.276596622565</v>
      </c>
      <c r="H192" s="2">
        <f t="shared" si="92"/>
        <v>7617.9221029877344</v>
      </c>
      <c r="I192" s="3">
        <f t="shared" si="96"/>
        <v>0.99489466973873208</v>
      </c>
      <c r="J192" s="3">
        <f t="shared" si="97"/>
        <v>0.98981540387454081</v>
      </c>
      <c r="K192" s="3">
        <f t="shared" si="98"/>
        <v>-0.99818990895594517</v>
      </c>
      <c r="L192" s="3">
        <f t="shared" si="99"/>
        <v>-0.92823888799008902</v>
      </c>
      <c r="M192" s="3">
        <f t="shared" si="100"/>
        <v>0.36709080779066239</v>
      </c>
      <c r="N192" s="3">
        <f t="shared" si="101"/>
        <v>-0.91878514980796455</v>
      </c>
      <c r="O192" s="3">
        <f t="shared" si="102"/>
        <v>0.36335213617194595</v>
      </c>
      <c r="P192" s="3">
        <f t="shared" si="103"/>
        <v>-0.65858584466405012</v>
      </c>
      <c r="Q192" s="3">
        <f t="shared" si="104"/>
        <v>-0.61243355258558518</v>
      </c>
      <c r="R192" s="3">
        <f t="shared" si="105"/>
        <v>0.24219921234235992</v>
      </c>
      <c r="S192" s="3">
        <f t="shared" si="106"/>
        <v>-0.60619616419882083</v>
      </c>
      <c r="T192" s="3">
        <f t="shared" si="107"/>
        <v>0.23973251118274863</v>
      </c>
      <c r="U192" s="3">
        <f t="shared" si="108"/>
        <v>7.2679261229656747E-2</v>
      </c>
      <c r="V192" s="3">
        <f t="shared" si="109"/>
        <v>6.7586053533962603E-2</v>
      </c>
      <c r="W192" s="3">
        <f t="shared" si="110"/>
        <v>-2.6728269315334039E-2</v>
      </c>
      <c r="X192" s="3">
        <f t="shared" si="111"/>
        <v>6.6897716875005536E-2</v>
      </c>
      <c r="Y192" s="3">
        <f t="shared" si="112"/>
        <v>-2.6456052687224858E-2</v>
      </c>
      <c r="Z192" s="3">
        <f t="shared" si="113"/>
        <v>0.76072200608009199</v>
      </c>
      <c r="AA192" s="3">
        <f t="shared" si="114"/>
        <v>0.70741222953450955</v>
      </c>
      <c r="AB192" s="3">
        <f t="shared" si="115"/>
        <v>-0.27976044759674978</v>
      </c>
      <c r="AC192" s="3">
        <f t="shared" si="116"/>
        <v>0.70020752168249001</v>
      </c>
      <c r="AD192" s="3">
        <f t="shared" si="117"/>
        <v>-0.27691120042609924</v>
      </c>
      <c r="AE192" s="3">
        <f t="shared" si="93"/>
        <v>0.996363327965336</v>
      </c>
      <c r="AF192" s="3">
        <f t="shared" si="118"/>
        <v>0.92654030990155645</v>
      </c>
      <c r="AG192" s="3">
        <f t="shared" si="119"/>
        <v>-0.36641907079420338</v>
      </c>
      <c r="AH192" s="3">
        <f t="shared" si="120"/>
        <v>0.91710387105125124</v>
      </c>
      <c r="AI192" s="3">
        <f t="shared" si="121"/>
        <v>-0.36268724054549839</v>
      </c>
      <c r="AJ192" s="3">
        <f t="shared" si="94"/>
        <v>0.63946731852697769</v>
      </c>
      <c r="AK192" s="3">
        <f t="shared" si="122"/>
        <v>0.59465481200500014</v>
      </c>
      <c r="AL192" s="3">
        <f t="shared" si="123"/>
        <v>-0.23516825045779677</v>
      </c>
      <c r="AM192" s="3">
        <f t="shared" si="124"/>
        <v>0.58859849291066846</v>
      </c>
      <c r="AN192" s="3">
        <f t="shared" si="125"/>
        <v>-0.23277315680535329</v>
      </c>
      <c r="AO192" s="3">
        <f t="shared" si="95"/>
        <v>-9.7719943864703313E-2</v>
      </c>
      <c r="AP192" s="3">
        <f t="shared" si="126"/>
        <v>-9.0871938509478029E-2</v>
      </c>
      <c r="AQ192" s="3">
        <f t="shared" si="127"/>
        <v>3.5937142630576652E-2</v>
      </c>
      <c r="AR192" s="3"/>
      <c r="AS192" s="2"/>
      <c r="AT192" s="2"/>
    </row>
    <row r="193" spans="1:46">
      <c r="A193">
        <f t="shared" si="128"/>
        <v>190</v>
      </c>
      <c r="B193" s="1">
        <f t="shared" si="86"/>
        <v>23.43327</v>
      </c>
      <c r="C193" s="1">
        <f t="shared" si="87"/>
        <v>147.23557776317219</v>
      </c>
      <c r="D193" s="1">
        <f t="shared" si="88"/>
        <v>0.40710014263749844</v>
      </c>
      <c r="E193" s="1">
        <f t="shared" si="89"/>
        <v>-0.91338353054154009</v>
      </c>
      <c r="F193" s="2">
        <f t="shared" si="90"/>
        <v>13339.450373802911</v>
      </c>
      <c r="G193" s="2">
        <f t="shared" si="91"/>
        <v>-29928.838145254645</v>
      </c>
      <c r="H193" s="2">
        <f t="shared" si="92"/>
        <v>3334.9643684863872</v>
      </c>
      <c r="I193" s="3">
        <f t="shared" si="96"/>
        <v>0.99564934796901861</v>
      </c>
      <c r="J193" s="3">
        <f t="shared" si="97"/>
        <v>0.99131762411113189</v>
      </c>
      <c r="K193" s="3">
        <f t="shared" si="98"/>
        <v>-0.6864799751067665</v>
      </c>
      <c r="L193" s="3">
        <f t="shared" si="99"/>
        <v>-0.27946609578375103</v>
      </c>
      <c r="M193" s="3">
        <f t="shared" si="100"/>
        <v>0.62701950330908696</v>
      </c>
      <c r="N193" s="3">
        <f t="shared" si="101"/>
        <v>-0.27703966609196207</v>
      </c>
      <c r="O193" s="3">
        <f t="shared" si="102"/>
        <v>0.62157548429170606</v>
      </c>
      <c r="P193" s="3">
        <f t="shared" si="103"/>
        <v>3.922301343120739E-2</v>
      </c>
      <c r="Q193" s="3">
        <f t="shared" si="104"/>
        <v>1.5967694362517045E-2</v>
      </c>
      <c r="R193" s="3">
        <f t="shared" si="105"/>
        <v>-3.582565448627445E-2</v>
      </c>
      <c r="S193" s="3">
        <f t="shared" si="106"/>
        <v>1.5829056837983111E-2</v>
      </c>
      <c r="T193" s="3">
        <f t="shared" si="107"/>
        <v>-3.5514602687559904E-2</v>
      </c>
      <c r="U193" s="3">
        <f t="shared" si="108"/>
        <v>0.74136578431132516</v>
      </c>
      <c r="V193" s="3">
        <f t="shared" si="109"/>
        <v>0.30181011653970136</v>
      </c>
      <c r="W193" s="3">
        <f t="shared" si="110"/>
        <v>-0.67715129749697611</v>
      </c>
      <c r="X193" s="3">
        <f t="shared" si="111"/>
        <v>0.29918968766084064</v>
      </c>
      <c r="Y193" s="3">
        <f t="shared" si="112"/>
        <v>-0.67127201539847259</v>
      </c>
      <c r="Z193" s="3">
        <f t="shared" si="113"/>
        <v>0.99818990895594573</v>
      </c>
      <c r="AA193" s="3">
        <f t="shared" si="114"/>
        <v>0.40636325431527709</v>
      </c>
      <c r="AB193" s="3">
        <f t="shared" si="115"/>
        <v>-0.91173022319312014</v>
      </c>
      <c r="AC193" s="3">
        <f t="shared" si="116"/>
        <v>0.40283505579388817</v>
      </c>
      <c r="AD193" s="3">
        <f t="shared" si="117"/>
        <v>-0.90381423868611588</v>
      </c>
      <c r="AE193" s="3">
        <f t="shared" si="93"/>
        <v>0.65542798802236146</v>
      </c>
      <c r="AF193" s="3">
        <f t="shared" si="118"/>
        <v>0.26682482741251196</v>
      </c>
      <c r="AG193" s="3">
        <f t="shared" si="119"/>
        <v>-0.59865712971560281</v>
      </c>
      <c r="AH193" s="3">
        <f t="shared" si="120"/>
        <v>0.26450815396443417</v>
      </c>
      <c r="AI193" s="3">
        <f t="shared" si="121"/>
        <v>-0.59345936348686101</v>
      </c>
      <c r="AJ193" s="3">
        <f t="shared" si="94"/>
        <v>-8.1032037824578712E-2</v>
      </c>
      <c r="AK193" s="3">
        <f t="shared" si="122"/>
        <v>-3.2988154156593161E-2</v>
      </c>
      <c r="AL193" s="3">
        <f t="shared" si="123"/>
        <v>7.401332879518932E-2</v>
      </c>
      <c r="AM193" s="3">
        <f t="shared" si="124"/>
        <v>-3.2701738602325697E-2</v>
      </c>
      <c r="AN193" s="3">
        <f t="shared" si="125"/>
        <v>7.3370717253803105E-2</v>
      </c>
      <c r="AO193" s="3">
        <f t="shared" si="95"/>
        <v>-0.76881828056826251</v>
      </c>
      <c r="AP193" s="3">
        <f t="shared" si="126"/>
        <v>-0.31298603168165595</v>
      </c>
      <c r="AQ193" s="3">
        <f t="shared" si="127"/>
        <v>0.70222595545031596</v>
      </c>
      <c r="AR193" s="3"/>
      <c r="AS193" s="2"/>
      <c r="AT193" s="2"/>
    </row>
    <row r="194" spans="1:46">
      <c r="A194">
        <f t="shared" si="128"/>
        <v>191</v>
      </c>
      <c r="B194" s="1">
        <f t="shared" si="86"/>
        <v>23.556602999999999</v>
      </c>
      <c r="C194" s="1">
        <f t="shared" si="87"/>
        <v>148.01050185666256</v>
      </c>
      <c r="D194" s="1">
        <f t="shared" si="88"/>
        <v>-0.34819707902953762</v>
      </c>
      <c r="E194" s="1">
        <f t="shared" si="89"/>
        <v>-0.9374213535840209</v>
      </c>
      <c r="F194" s="2">
        <f t="shared" si="90"/>
        <v>-11409.37368856086</v>
      </c>
      <c r="G194" s="2">
        <f t="shared" si="91"/>
        <v>-30716.485492887612</v>
      </c>
      <c r="H194" s="2">
        <f t="shared" si="92"/>
        <v>-2852.4304714099721</v>
      </c>
      <c r="I194" s="3">
        <f t="shared" si="96"/>
        <v>0.9963438199960597</v>
      </c>
      <c r="J194" s="3">
        <f t="shared" si="97"/>
        <v>0.99270100764434066</v>
      </c>
      <c r="K194" s="3">
        <f t="shared" si="98"/>
        <v>-2.6548214557741614E-3</v>
      </c>
      <c r="L194" s="3">
        <f t="shared" si="99"/>
        <v>9.2440107624550778E-4</v>
      </c>
      <c r="M194" s="3">
        <f t="shared" si="100"/>
        <v>2.4886863225957153E-3</v>
      </c>
      <c r="N194" s="3">
        <f t="shared" si="101"/>
        <v>9.1765387985642854E-4</v>
      </c>
      <c r="O194" s="3">
        <f t="shared" si="102"/>
        <v>2.4705214201514551E-3</v>
      </c>
      <c r="P194" s="3">
        <f t="shared" si="103"/>
        <v>0.71554509813410982</v>
      </c>
      <c r="Q194" s="3">
        <f t="shared" si="104"/>
        <v>-0.24915071308420089</v>
      </c>
      <c r="R194" s="3">
        <f t="shared" si="105"/>
        <v>-0.67076725444328833</v>
      </c>
      <c r="S194" s="3">
        <f t="shared" si="106"/>
        <v>-0.24733216393399224</v>
      </c>
      <c r="T194" s="3">
        <f t="shared" si="107"/>
        <v>-0.66587132938068017</v>
      </c>
      <c r="U194" s="3">
        <f t="shared" si="108"/>
        <v>0.9996444644422311</v>
      </c>
      <c r="V194" s="3">
        <f t="shared" si="109"/>
        <v>-0.34807328258683135</v>
      </c>
      <c r="W194" s="3">
        <f t="shared" si="110"/>
        <v>-0.93708806696020996</v>
      </c>
      <c r="X194" s="3">
        <f t="shared" si="111"/>
        <v>-0.34553269835802081</v>
      </c>
      <c r="Y194" s="3">
        <f t="shared" si="112"/>
        <v>-0.93024826832288776</v>
      </c>
      <c r="Z194" s="3">
        <f t="shared" si="113"/>
        <v>0.67728839386591566</v>
      </c>
      <c r="AA194" s="3">
        <f t="shared" si="114"/>
        <v>-0.23582984040471883</v>
      </c>
      <c r="AB194" s="3">
        <f t="shared" si="115"/>
        <v>-0.6349046029445341</v>
      </c>
      <c r="AC194" s="3">
        <f t="shared" si="116"/>
        <v>-0.23410852020236841</v>
      </c>
      <c r="AD194" s="3">
        <f t="shared" si="117"/>
        <v>-0.63027043910106906</v>
      </c>
      <c r="AE194" s="3">
        <f t="shared" si="93"/>
        <v>-5.5958991982054819E-2</v>
      </c>
      <c r="AF194" s="3">
        <f t="shared" si="118"/>
        <v>1.9484757553588805E-2</v>
      </c>
      <c r="AG194" s="3">
        <f t="shared" si="119"/>
        <v>5.2457154009015204E-2</v>
      </c>
      <c r="AH194" s="3">
        <f t="shared" si="120"/>
        <v>1.9342538457153283E-2</v>
      </c>
      <c r="AI194" s="3">
        <f t="shared" si="121"/>
        <v>5.207426964290375E-2</v>
      </c>
      <c r="AJ194" s="3">
        <f t="shared" si="94"/>
        <v>-0.75525767292822255</v>
      </c>
      <c r="AK194" s="3">
        <f t="shared" si="122"/>
        <v>0.26297851562825297</v>
      </c>
      <c r="AL194" s="3">
        <f t="shared" si="123"/>
        <v>0.70799467006109207</v>
      </c>
      <c r="AM194" s="3">
        <f t="shared" si="124"/>
        <v>0.2610590374529797</v>
      </c>
      <c r="AN194" s="3">
        <f t="shared" si="125"/>
        <v>0.70282702237646866</v>
      </c>
      <c r="AO194" s="3">
        <f t="shared" si="95"/>
        <v>-0.996363327965337</v>
      </c>
      <c r="AP194" s="3">
        <f t="shared" si="126"/>
        <v>0.34693080044967955</v>
      </c>
      <c r="AQ194" s="3">
        <f t="shared" si="127"/>
        <v>0.93401225956274592</v>
      </c>
      <c r="AR194" s="3"/>
      <c r="AS194" s="2"/>
      <c r="AT194" s="2"/>
    </row>
    <row r="195" spans="1:46">
      <c r="A195">
        <f t="shared" si="128"/>
        <v>192</v>
      </c>
      <c r="B195" s="1">
        <f t="shared" ref="B195:B258" si="129">A195*0.123333</f>
        <v>23.679935999999998</v>
      </c>
      <c r="C195" s="1">
        <f t="shared" ref="C195:C258" si="130">2*PI() * B195</f>
        <v>148.78542595015293</v>
      </c>
      <c r="D195" s="1">
        <f t="shared" ref="D195:D258" si="131">SIN(C195)</f>
        <v>-0.90465576330164343</v>
      </c>
      <c r="E195" s="1">
        <f t="shared" ref="E195:E258" si="132">COS(C195)</f>
        <v>-0.42614310967692642</v>
      </c>
      <c r="F195" s="2">
        <f t="shared" ref="F195:F258" si="133">32767*D195</f>
        <v>-29642.855396104951</v>
      </c>
      <c r="G195" s="2">
        <f t="shared" ref="G195:G258" si="134">32767*E195</f>
        <v>-13963.431274783848</v>
      </c>
      <c r="H195" s="2">
        <f t="shared" ref="H195:H258" si="135">8192*SIN(C195)</f>
        <v>-7410.940012967063</v>
      </c>
      <c r="I195" s="3">
        <f t="shared" si="96"/>
        <v>0.99697804382562927</v>
      </c>
      <c r="J195" s="3">
        <f t="shared" si="97"/>
        <v>0.99396521987037834</v>
      </c>
      <c r="K195" s="3">
        <f t="shared" si="98"/>
        <v>0.68260941200141656</v>
      </c>
      <c r="L195" s="3">
        <f t="shared" si="99"/>
        <v>-0.61752653865102747</v>
      </c>
      <c r="M195" s="3">
        <f t="shared" si="100"/>
        <v>-0.29088929752502191</v>
      </c>
      <c r="N195" s="3">
        <f t="shared" si="101"/>
        <v>-0.61379990176606225</v>
      </c>
      <c r="O195" s="3">
        <f t="shared" si="102"/>
        <v>-0.28913384457239827</v>
      </c>
      <c r="P195" s="3">
        <f t="shared" si="103"/>
        <v>0.9998841598450724</v>
      </c>
      <c r="Q195" s="3">
        <f t="shared" si="104"/>
        <v>-0.90455096783786637</v>
      </c>
      <c r="R195" s="3">
        <f t="shared" si="105"/>
        <v>-0.42609374519308013</v>
      </c>
      <c r="S195" s="3">
        <f t="shared" si="106"/>
        <v>-0.89909220163092851</v>
      </c>
      <c r="T195" s="3">
        <f t="shared" si="107"/>
        <v>-0.42352236312623287</v>
      </c>
      <c r="U195" s="3">
        <f t="shared" si="108"/>
        <v>0.7045364938113815</v>
      </c>
      <c r="V195" s="3">
        <f t="shared" si="109"/>
        <v>-0.63736299958279896</v>
      </c>
      <c r="W195" s="3">
        <f t="shared" si="110"/>
        <v>-0.30023337235366077</v>
      </c>
      <c r="X195" s="3">
        <f t="shared" si="111"/>
        <v>-0.63351665401756063</v>
      </c>
      <c r="Y195" s="3">
        <f t="shared" si="112"/>
        <v>-0.29842152996393156</v>
      </c>
      <c r="Z195" s="3">
        <f t="shared" si="113"/>
        <v>-2.2476023849024009E-2</v>
      </c>
      <c r="AA195" s="3">
        <f t="shared" si="114"/>
        <v>2.0333064511124755E-2</v>
      </c>
      <c r="AB195" s="3">
        <f t="shared" si="115"/>
        <v>9.5780026961958514E-3</v>
      </c>
      <c r="AC195" s="3">
        <f t="shared" si="116"/>
        <v>2.0210358937438704E-2</v>
      </c>
      <c r="AD195" s="3">
        <f t="shared" si="117"/>
        <v>9.5202015558433859E-3</v>
      </c>
      <c r="AE195" s="3">
        <f t="shared" ref="AE195:AE258" si="136">SIN(0.5+A195*92/750*2*PI())</f>
        <v>-0.73571763030018722</v>
      </c>
      <c r="AF195" s="3">
        <f t="shared" si="118"/>
        <v>0.66557119441369217</v>
      </c>
      <c r="AG195" s="3">
        <f t="shared" si="119"/>
        <v>0.31352099882026108</v>
      </c>
      <c r="AH195" s="3">
        <f t="shared" si="120"/>
        <v>0.66155461859479581</v>
      </c>
      <c r="AI195" s="3">
        <f t="shared" si="121"/>
        <v>0.31162896852636141</v>
      </c>
      <c r="AJ195" s="3">
        <f t="shared" ref="AJ195:AJ258" si="137">SIN(0.5+A195*92.5/750*2*PI())</f>
        <v>-0.99818990895594473</v>
      </c>
      <c r="AK195" s="3">
        <f t="shared" si="122"/>
        <v>0.90301825400653812</v>
      </c>
      <c r="AL195" s="3">
        <f t="shared" si="123"/>
        <v>0.42537175185061438</v>
      </c>
      <c r="AM195" s="3">
        <f t="shared" si="124"/>
        <v>0.89756873739057386</v>
      </c>
      <c r="AN195" s="3">
        <f t="shared" si="125"/>
        <v>0.42280472685484394</v>
      </c>
      <c r="AO195" s="3">
        <f t="shared" ref="AO195:AO258" si="138">SIN(0.5+A195*93/750*2*PI())</f>
        <v>-0.64907783005237241</v>
      </c>
      <c r="AP195" s="3">
        <f t="shared" si="126"/>
        <v>0.58719199978820336</v>
      </c>
      <c r="AQ195" s="3">
        <f t="shared" si="127"/>
        <v>0.27660004492086954</v>
      </c>
      <c r="AR195" s="3"/>
      <c r="AS195" s="2"/>
      <c r="AT195" s="2"/>
    </row>
    <row r="196" spans="1:46">
      <c r="A196">
        <f t="shared" si="128"/>
        <v>193</v>
      </c>
      <c r="B196" s="1">
        <f t="shared" si="129"/>
        <v>23.803269</v>
      </c>
      <c r="C196" s="1">
        <f t="shared" si="130"/>
        <v>149.56035004364333</v>
      </c>
      <c r="D196" s="1">
        <f t="shared" si="131"/>
        <v>-0.9445092269838975</v>
      </c>
      <c r="E196" s="1">
        <f t="shared" si="132"/>
        <v>0.32848488571360535</v>
      </c>
      <c r="F196" s="2">
        <f t="shared" si="133"/>
        <v>-30948.733840581368</v>
      </c>
      <c r="G196" s="2">
        <f t="shared" si="134"/>
        <v>10763.464250177707</v>
      </c>
      <c r="H196" s="2">
        <f t="shared" si="135"/>
        <v>-7737.4195874520883</v>
      </c>
      <c r="I196" s="3">
        <f t="shared" ref="I196:I259" si="139">SIN(PI()*A196/404)</f>
        <v>0.99755198110666632</v>
      </c>
      <c r="J196" s="3">
        <f t="shared" ref="J196:J259" si="140">I196*I196</f>
        <v>0.99510995500983479</v>
      </c>
      <c r="K196" s="3">
        <f t="shared" ref="K196:K259" si="141">SIN(0.5+A196*90/750*2*PI())</f>
        <v>0.9978565137190103</v>
      </c>
      <c r="L196" s="3">
        <f t="shared" ref="L196:L259" si="142">K196*D196</f>
        <v>-0.94248468441358935</v>
      </c>
      <c r="M196" s="3">
        <f t="shared" ref="M196:M259" si="143">K196*E196</f>
        <v>0.32778078286756573</v>
      </c>
      <c r="N196" s="3">
        <f t="shared" ref="N196:N259" si="144">K196*J196*D196</f>
        <v>-0.93787589190426524</v>
      </c>
      <c r="O196" s="3">
        <f t="shared" ref="O196:O259" si="145">K196*J196*E196</f>
        <v>0.32617792009243179</v>
      </c>
      <c r="P196" s="3">
        <f t="shared" ref="P196:P259" si="146">SIN(0.5+A196*90.5/750*2*PI())</f>
        <v>0.736476312745029</v>
      </c>
      <c r="Q196" s="3">
        <f t="shared" ref="Q196:Q259" si="147">P196*D196</f>
        <v>-0.69560867284275851</v>
      </c>
      <c r="R196" s="3">
        <f t="shared" ref="R196:R259" si="148">P196*E196</f>
        <v>0.24192133742282831</v>
      </c>
      <c r="S196" s="3">
        <f t="shared" ref="S196:S259" si="149">P196*J196*D196</f>
        <v>-0.69220711513700828</v>
      </c>
      <c r="T196" s="3">
        <f t="shared" ref="T196:T259" si="150">P196*J196*E196</f>
        <v>0.24073833119874977</v>
      </c>
      <c r="U196" s="3">
        <f t="shared" ref="U196:U259" si="151">SIN(0.5+A196*91/750*2*PI())</f>
        <v>1.9408766639138438E-2</v>
      </c>
      <c r="V196" s="3">
        <f t="shared" ref="V196:V259" si="152">U196*D196</f>
        <v>-1.8331759175043504E-2</v>
      </c>
      <c r="W196" s="3">
        <f t="shared" ref="W196:W259" si="153">U196*E196</f>
        <v>6.3754864912994261E-3</v>
      </c>
      <c r="X196" s="3">
        <f t="shared" ref="X196:X259" si="154">U196*J196*D196</f>
        <v>-1.8242116047928667E-2</v>
      </c>
      <c r="Y196" s="3">
        <f t="shared" ref="Y196:Y259" si="155">U196*J196*E196</f>
        <v>6.3443100755227813E-3</v>
      </c>
      <c r="Z196" s="3">
        <f t="shared" ref="Z196:Z259" si="156">SIN(0.5+A196*91.5/750*2*PI())</f>
        <v>-0.70966775951001171</v>
      </c>
      <c r="AA196" s="3">
        <f t="shared" ref="AA196:AA259" si="157">Z196*D196</f>
        <v>0.67028774695019566</v>
      </c>
      <c r="AB196" s="3">
        <f t="shared" ref="AB196:AB259" si="158">Z196*E196</f>
        <v>-0.23311513287727656</v>
      </c>
      <c r="AC196" s="3">
        <f t="shared" ref="AC196:AC259" si="159">Z196*J196*D196</f>
        <v>0.66701000971125279</v>
      </c>
      <c r="AD196" s="3">
        <f t="shared" ref="AD196:AD259" si="160">Z196*J196*E196</f>
        <v>-0.23197518938961836</v>
      </c>
      <c r="AE196" s="3">
        <f t="shared" si="136"/>
        <v>-0.99964446444223065</v>
      </c>
      <c r="AF196" s="3">
        <f t="shared" ref="AF196:AF259" si="161">AE196*D196</f>
        <v>0.94417342036906349</v>
      </c>
      <c r="AG196" s="3">
        <f t="shared" ref="AG196:AG259" si="162">AE196*E196</f>
        <v>-0.32836809765654434</v>
      </c>
      <c r="AH196" s="3">
        <f t="shared" ref="AH196:AH259" si="163">AE196*J196*D196</f>
        <v>0.93955636986494062</v>
      </c>
      <c r="AI196" s="3">
        <f t="shared" ref="AI196:AI259" si="164">AE196*J196*E196</f>
        <v>-0.3267623628856689</v>
      </c>
      <c r="AJ196" s="3">
        <f t="shared" si="137"/>
        <v>-0.67110116514013107</v>
      </c>
      <c r="AK196" s="3">
        <f t="shared" ref="AK196:AK259" si="165">AJ196*D196</f>
        <v>0.63386124271449817</v>
      </c>
      <c r="AL196" s="3">
        <f t="shared" ref="AL196:AL259" si="166">AJ196*E196</f>
        <v>-0.22044658953332336</v>
      </c>
      <c r="AM196" s="3">
        <f t="shared" ref="AM196:AM259" si="167">AJ196*J196*D196</f>
        <v>0.63076163272010222</v>
      </c>
      <c r="AN196" s="3">
        <f t="shared" ref="AN196:AN259" si="168">AJ196*J196*E196</f>
        <v>-0.21936859579257689</v>
      </c>
      <c r="AO196" s="3">
        <f t="shared" si="138"/>
        <v>7.267926122963525E-2</v>
      </c>
      <c r="AP196" s="3">
        <f t="shared" ref="AP196:AP259" si="169">AO196*D196</f>
        <v>-6.8646232841763535E-2</v>
      </c>
      <c r="AQ196" s="3">
        <f t="shared" ref="AQ196:AQ259" si="170">AO196*E196</f>
        <v>2.3874038818766003E-2</v>
      </c>
      <c r="AR196" s="3"/>
      <c r="AS196" s="2"/>
      <c r="AT196" s="2"/>
    </row>
    <row r="197" spans="1:46">
      <c r="A197">
        <f t="shared" ref="A197:A260" si="171">A196+1</f>
        <v>194</v>
      </c>
      <c r="B197" s="1">
        <f t="shared" si="129"/>
        <v>23.926601999999999</v>
      </c>
      <c r="C197" s="1">
        <f t="shared" si="130"/>
        <v>150.33527413713369</v>
      </c>
      <c r="D197" s="1">
        <f t="shared" si="131"/>
        <v>-0.44499908149133965</v>
      </c>
      <c r="E197" s="1">
        <f t="shared" si="132"/>
        <v>0.89553102540998775</v>
      </c>
      <c r="F197" s="2">
        <f t="shared" si="133"/>
        <v>-14581.284903226726</v>
      </c>
      <c r="G197" s="2">
        <f t="shared" si="134"/>
        <v>29343.865109609069</v>
      </c>
      <c r="H197" s="2">
        <f t="shared" si="135"/>
        <v>-3645.4324755770544</v>
      </c>
      <c r="I197" s="3">
        <f t="shared" si="139"/>
        <v>0.99806559713359433</v>
      </c>
      <c r="J197" s="3">
        <f t="shared" si="140"/>
        <v>0.99613493618163818</v>
      </c>
      <c r="K197" s="3">
        <f t="shared" si="141"/>
        <v>0.77220277433711426</v>
      </c>
      <c r="L197" s="3">
        <f t="shared" si="142"/>
        <v>-0.34362952530508006</v>
      </c>
      <c r="M197" s="3">
        <f t="shared" si="143"/>
        <v>0.69153154232655334</v>
      </c>
      <c r="N197" s="3">
        <f t="shared" si="144"/>
        <v>-0.34230137525990256</v>
      </c>
      <c r="O197" s="3">
        <f t="shared" si="145"/>
        <v>0.68885872878305099</v>
      </c>
      <c r="P197" s="3">
        <f t="shared" si="146"/>
        <v>6.9619106290102623E-2</v>
      </c>
      <c r="Q197" s="3">
        <f t="shared" si="147"/>
        <v>-3.0980438353343614E-2</v>
      </c>
      <c r="R197" s="3">
        <f t="shared" si="148"/>
        <v>6.2346069644102532E-2</v>
      </c>
      <c r="S197" s="3">
        <f t="shared" si="149"/>
        <v>-3.0860696981987113E-2</v>
      </c>
      <c r="T197" s="3">
        <f t="shared" si="150"/>
        <v>6.210509810610404E-2</v>
      </c>
      <c r="U197" s="3">
        <f t="shared" si="151"/>
        <v>-0.67646333290539917</v>
      </c>
      <c r="V197" s="3">
        <f t="shared" si="152"/>
        <v>0.30102556180547296</v>
      </c>
      <c r="W197" s="3">
        <f t="shared" si="153"/>
        <v>-0.60579390216903006</v>
      </c>
      <c r="X197" s="3">
        <f t="shared" si="154"/>
        <v>0.29986207879813659</v>
      </c>
      <c r="Y197" s="3">
        <f t="shared" si="155"/>
        <v>-0.60345247007637226</v>
      </c>
      <c r="Z197" s="3">
        <f t="shared" si="156"/>
        <v>-0.99988415984507262</v>
      </c>
      <c r="AA197" s="3">
        <f t="shared" si="157"/>
        <v>0.44494753272879717</v>
      </c>
      <c r="AB197" s="3">
        <f t="shared" si="158"/>
        <v>-0.89542728695726193</v>
      </c>
      <c r="AC197" s="3">
        <f t="shared" si="159"/>
        <v>0.44322778211897773</v>
      </c>
      <c r="AD197" s="3">
        <f t="shared" si="160"/>
        <v>-0.89196640334846955</v>
      </c>
      <c r="AE197" s="3">
        <f t="shared" si="136"/>
        <v>-0.69856654123731365</v>
      </c>
      <c r="AF197" s="3">
        <f t="shared" si="161"/>
        <v>0.31086146921118663</v>
      </c>
      <c r="AG197" s="3">
        <f t="shared" si="162"/>
        <v>-0.62558801099135997</v>
      </c>
      <c r="AH197" s="3">
        <f t="shared" si="163"/>
        <v>0.30965996979401567</v>
      </c>
      <c r="AI197" s="3">
        <f t="shared" si="164"/>
        <v>-0.6231700734048764</v>
      </c>
      <c r="AJ197" s="3">
        <f t="shared" si="137"/>
        <v>3.9223013431185845E-2</v>
      </c>
      <c r="AK197" s="3">
        <f t="shared" si="165"/>
        <v>-1.745420495020018E-2</v>
      </c>
      <c r="AL197" s="3">
        <f t="shared" si="166"/>
        <v>3.512542543769958E-2</v>
      </c>
      <c r="AM197" s="3">
        <f t="shared" si="167"/>
        <v>-1.7386743334168887E-2</v>
      </c>
      <c r="AN197" s="3">
        <f t="shared" si="168"/>
        <v>3.4989663426735762E-2</v>
      </c>
      <c r="AO197" s="3">
        <f t="shared" si="138"/>
        <v>0.75250560476858985</v>
      </c>
      <c r="AP197" s="3">
        <f t="shared" si="169"/>
        <v>-0.33486430293910757</v>
      </c>
      <c r="AQ197" s="3">
        <f t="shared" si="170"/>
        <v>0.67389211586517828</v>
      </c>
      <c r="AR197" s="3"/>
      <c r="AS197" s="2"/>
      <c r="AT197" s="2"/>
    </row>
    <row r="198" spans="1:46">
      <c r="A198">
        <f t="shared" si="171"/>
        <v>195</v>
      </c>
      <c r="B198" s="1">
        <f t="shared" si="129"/>
        <v>24.049935000000001</v>
      </c>
      <c r="C198" s="1">
        <f t="shared" si="130"/>
        <v>151.11019823062409</v>
      </c>
      <c r="D198" s="1">
        <f t="shared" si="131"/>
        <v>0.30862855043288567</v>
      </c>
      <c r="E198" s="1">
        <f t="shared" si="132"/>
        <v>0.9511826416928012</v>
      </c>
      <c r="F198" s="2">
        <f t="shared" si="133"/>
        <v>10112.831712034365</v>
      </c>
      <c r="G198" s="2">
        <f t="shared" si="134"/>
        <v>31167.401620348017</v>
      </c>
      <c r="H198" s="2">
        <f t="shared" si="135"/>
        <v>2528.2850851461994</v>
      </c>
      <c r="I198" s="3">
        <f t="shared" si="139"/>
        <v>0.99851886084842001</v>
      </c>
      <c r="J198" s="3">
        <f t="shared" si="140"/>
        <v>0.99703991547002635</v>
      </c>
      <c r="K198" s="3">
        <f t="shared" si="141"/>
        <v>0.12796667928007183</v>
      </c>
      <c r="L198" s="3">
        <f t="shared" si="142"/>
        <v>3.9494170729918551E-2</v>
      </c>
      <c r="M198" s="3">
        <f t="shared" si="143"/>
        <v>0.12171968404627417</v>
      </c>
      <c r="N198" s="3">
        <f t="shared" si="144"/>
        <v>3.937726464611678E-2</v>
      </c>
      <c r="O198" s="3">
        <f t="shared" si="145"/>
        <v>0.1213593834925355</v>
      </c>
      <c r="P198" s="3">
        <f t="shared" si="146"/>
        <v>-0.63537616834918065</v>
      </c>
      <c r="Q198" s="3">
        <f t="shared" si="147"/>
        <v>-0.19609522581720876</v>
      </c>
      <c r="R198" s="3">
        <f t="shared" si="148"/>
        <v>-0.60435878227902362</v>
      </c>
      <c r="S198" s="3">
        <f t="shared" si="149"/>
        <v>-0.19551476737286555</v>
      </c>
      <c r="T198" s="3">
        <f t="shared" si="150"/>
        <v>-0.60256982919704583</v>
      </c>
      <c r="U198" s="3">
        <f t="shared" si="151"/>
        <v>-0.99785651371901141</v>
      </c>
      <c r="V198" s="3">
        <f t="shared" si="152"/>
        <v>-0.30796700936911137</v>
      </c>
      <c r="W198" s="3">
        <f t="shared" si="153"/>
        <v>-0.94914379474961819</v>
      </c>
      <c r="X198" s="3">
        <f t="shared" si="154"/>
        <v>-0.30705540098893563</v>
      </c>
      <c r="Y198" s="3">
        <f t="shared" si="155"/>
        <v>-0.94633424888605944</v>
      </c>
      <c r="Z198" s="3">
        <f t="shared" si="156"/>
        <v>-0.73078340884772175</v>
      </c>
      <c r="AA198" s="3">
        <f t="shared" si="157"/>
        <v>-0.22554062415307521</v>
      </c>
      <c r="AB198" s="3">
        <f t="shared" si="158"/>
        <v>-0.69510849333304636</v>
      </c>
      <c r="AC198" s="3">
        <f t="shared" si="159"/>
        <v>-0.22487300484063907</v>
      </c>
      <c r="AD198" s="3">
        <f t="shared" si="160"/>
        <v>-0.69305091343527792</v>
      </c>
      <c r="AE198" s="3">
        <f t="shared" si="136"/>
        <v>-2.6548214557957227E-3</v>
      </c>
      <c r="AF198" s="3">
        <f t="shared" si="161"/>
        <v>-8.1935369756035712E-4</v>
      </c>
      <c r="AG198" s="3">
        <f t="shared" si="162"/>
        <v>-2.5252200855465038E-3</v>
      </c>
      <c r="AH198" s="3">
        <f t="shared" si="163"/>
        <v>-8.169283413556321E-4</v>
      </c>
      <c r="AI198" s="3">
        <f t="shared" si="164"/>
        <v>-2.5177452206364987E-3</v>
      </c>
      <c r="AJ198" s="3">
        <f t="shared" si="137"/>
        <v>0.72714870815907717</v>
      </c>
      <c r="AK198" s="3">
        <f t="shared" si="165"/>
        <v>0.22441885174828141</v>
      </c>
      <c r="AL198" s="3">
        <f t="shared" si="166"/>
        <v>0.69165122913025878</v>
      </c>
      <c r="AM198" s="3">
        <f t="shared" si="167"/>
        <v>0.22375455297698688</v>
      </c>
      <c r="AN198" s="3">
        <f t="shared" si="168"/>
        <v>0.689603883026773</v>
      </c>
      <c r="AO198" s="3">
        <f t="shared" si="138"/>
        <v>0.99818990895594539</v>
      </c>
      <c r="AP198" s="3">
        <f t="shared" si="169"/>
        <v>0.30806990465780754</v>
      </c>
      <c r="AQ198" s="3">
        <f t="shared" si="170"/>
        <v>0.94946091451181291</v>
      </c>
      <c r="AR198" s="3"/>
      <c r="AS198" s="2"/>
      <c r="AT198" s="2"/>
    </row>
    <row r="199" spans="1:46">
      <c r="A199">
        <f t="shared" si="171"/>
        <v>196</v>
      </c>
      <c r="B199" s="1">
        <f t="shared" si="129"/>
        <v>24.173268</v>
      </c>
      <c r="C199" s="1">
        <f t="shared" si="130"/>
        <v>151.88512232411446</v>
      </c>
      <c r="D199" s="1">
        <f t="shared" si="131"/>
        <v>0.88601332087924223</v>
      </c>
      <c r="E199" s="1">
        <f t="shared" si="132"/>
        <v>0.4636597839197798</v>
      </c>
      <c r="F199" s="2">
        <f t="shared" si="133"/>
        <v>29031.998485250129</v>
      </c>
      <c r="G199" s="2">
        <f t="shared" si="134"/>
        <v>15192.740139699425</v>
      </c>
      <c r="H199" s="2">
        <f t="shared" si="135"/>
        <v>7258.2211246427523</v>
      </c>
      <c r="I199" s="3">
        <f t="shared" si="139"/>
        <v>0.9989117448426108</v>
      </c>
      <c r="J199" s="3">
        <f t="shared" si="140"/>
        <v>0.99782467398450925</v>
      </c>
      <c r="K199" s="3">
        <f t="shared" si="141"/>
        <v>-0.58563538523619418</v>
      </c>
      <c r="L199" s="3">
        <f t="shared" si="142"/>
        <v>-0.51888075249751475</v>
      </c>
      <c r="M199" s="3">
        <f t="shared" si="143"/>
        <v>-0.27153557617439078</v>
      </c>
      <c r="N199" s="3">
        <f t="shared" si="144"/>
        <v>-0.51775201769766943</v>
      </c>
      <c r="O199" s="3">
        <f t="shared" si="145"/>
        <v>-0.27094489777140734</v>
      </c>
      <c r="P199" s="3">
        <f t="shared" si="146"/>
        <v>-0.99230579086391946</v>
      </c>
      <c r="Q199" s="3">
        <f t="shared" si="147"/>
        <v>-0.87919614909104415</v>
      </c>
      <c r="R199" s="3">
        <f t="shared" si="148"/>
        <v>-0.46009228857431111</v>
      </c>
      <c r="S199" s="3">
        <f t="shared" si="149"/>
        <v>-0.87728361083520701</v>
      </c>
      <c r="T199" s="3">
        <f t="shared" si="150"/>
        <v>-0.45909143784944872</v>
      </c>
      <c r="U199" s="3">
        <f t="shared" si="151"/>
        <v>-0.76685282373528951</v>
      </c>
      <c r="V199" s="3">
        <f t="shared" si="152"/>
        <v>-0.67944181698332806</v>
      </c>
      <c r="W199" s="3">
        <f t="shared" si="153"/>
        <v>-0.35555881455137733</v>
      </c>
      <c r="X199" s="3">
        <f t="shared" si="154"/>
        <v>-0.67796380952283186</v>
      </c>
      <c r="Y199" s="3">
        <f t="shared" si="155"/>
        <v>-0.35478535821204665</v>
      </c>
      <c r="Z199" s="3">
        <f t="shared" si="156"/>
        <v>-5.2895609417637497E-2</v>
      </c>
      <c r="AA199" s="3">
        <f t="shared" si="157"/>
        <v>-4.686621456005232E-2</v>
      </c>
      <c r="AB199" s="3">
        <f t="shared" si="158"/>
        <v>-2.4525566832886873E-2</v>
      </c>
      <c r="AC199" s="3">
        <f t="shared" si="159"/>
        <v>-4.676426526427227E-2</v>
      </c>
      <c r="AD199" s="3">
        <f t="shared" si="160"/>
        <v>-2.4472215729310638E-2</v>
      </c>
      <c r="AE199" s="3">
        <f t="shared" si="136"/>
        <v>0.69475741856643392</v>
      </c>
      <c r="AF199" s="3">
        <f t="shared" si="161"/>
        <v>0.61556432762953583</v>
      </c>
      <c r="AG199" s="3">
        <f t="shared" si="162"/>
        <v>0.32213107456917678</v>
      </c>
      <c r="AH199" s="3">
        <f t="shared" si="163"/>
        <v>0.61422527453343523</v>
      </c>
      <c r="AI199" s="3">
        <f t="shared" si="164"/>
        <v>0.32143033446226843</v>
      </c>
      <c r="AJ199" s="3">
        <f t="shared" si="137"/>
        <v>0.99983275858867904</v>
      </c>
      <c r="AK199" s="3">
        <f t="shared" si="165"/>
        <v>0.88586514276100925</v>
      </c>
      <c r="AL199" s="3">
        <f t="shared" si="166"/>
        <v>0.46358224080314431</v>
      </c>
      <c r="AM199" s="3">
        <f t="shared" si="167"/>
        <v>0.8839380972697447</v>
      </c>
      <c r="AN199" s="3">
        <f t="shared" si="168"/>
        <v>0.4625737982944057</v>
      </c>
      <c r="AO199" s="3">
        <f t="shared" si="138"/>
        <v>0.6679898609363053</v>
      </c>
      <c r="AP199" s="3">
        <f t="shared" si="169"/>
        <v>0.59184791500183909</v>
      </c>
      <c r="AQ199" s="3">
        <f t="shared" si="170"/>
        <v>0.30972003458233105</v>
      </c>
      <c r="AR199" s="3"/>
      <c r="AS199" s="2"/>
      <c r="AT199" s="2"/>
    </row>
    <row r="200" spans="1:46">
      <c r="A200">
        <f t="shared" si="171"/>
        <v>197</v>
      </c>
      <c r="B200" s="1">
        <f t="shared" si="129"/>
        <v>24.296600999999999</v>
      </c>
      <c r="C200" s="1">
        <f t="shared" si="130"/>
        <v>152.66004641760483</v>
      </c>
      <c r="D200" s="1">
        <f t="shared" si="131"/>
        <v>0.95743866935954391</v>
      </c>
      <c r="E200" s="1">
        <f t="shared" si="132"/>
        <v>-0.28863678631634254</v>
      </c>
      <c r="F200" s="2">
        <f t="shared" si="133"/>
        <v>31372.392878904175</v>
      </c>
      <c r="G200" s="2">
        <f t="shared" si="134"/>
        <v>-9457.7615772275967</v>
      </c>
      <c r="H200" s="2">
        <f t="shared" si="135"/>
        <v>7843.3375793933837</v>
      </c>
      <c r="I200" s="3">
        <f t="shared" si="139"/>
        <v>0.99924422535875312</v>
      </c>
      <c r="J200" s="3">
        <f t="shared" si="140"/>
        <v>0.99848902191281463</v>
      </c>
      <c r="K200" s="3">
        <f t="shared" si="141"/>
        <v>-0.98178632517013997</v>
      </c>
      <c r="L200" s="3">
        <f t="shared" si="142"/>
        <v>-0.94000019276629532</v>
      </c>
      <c r="M200" s="3">
        <f t="shared" si="143"/>
        <v>0.28337964974644086</v>
      </c>
      <c r="N200" s="3">
        <f t="shared" si="144"/>
        <v>-0.93857987307307544</v>
      </c>
      <c r="O200" s="3">
        <f t="shared" si="145"/>
        <v>0.28295146930531972</v>
      </c>
      <c r="P200" s="3">
        <f t="shared" si="146"/>
        <v>-0.80564001366238613</v>
      </c>
      <c r="Q200" s="3">
        <f t="shared" si="147"/>
        <v>-0.77135090266371975</v>
      </c>
      <c r="R200" s="3">
        <f t="shared" si="148"/>
        <v>0.23253734447136543</v>
      </c>
      <c r="S200" s="3">
        <f t="shared" si="149"/>
        <v>-0.77018540835226423</v>
      </c>
      <c r="T200" s="3">
        <f t="shared" si="150"/>
        <v>0.23218598563941692</v>
      </c>
      <c r="U200" s="3">
        <f t="shared" si="151"/>
        <v>-0.11133208709253453</v>
      </c>
      <c r="V200" s="3">
        <f t="shared" si="152"/>
        <v>-0.10659364532289711</v>
      </c>
      <c r="W200" s="3">
        <f t="shared" si="153"/>
        <v>3.2134535832280327E-2</v>
      </c>
      <c r="X200" s="3">
        <f t="shared" si="154"/>
        <v>-0.106432584660581</v>
      </c>
      <c r="Y200" s="3">
        <f t="shared" si="155"/>
        <v>3.2085981252795874E-2</v>
      </c>
      <c r="Z200" s="3">
        <f t="shared" si="156"/>
        <v>0.65458103916676136</v>
      </c>
      <c r="AA200" s="3">
        <f t="shared" si="157"/>
        <v>0.62672119912781155</v>
      </c>
      <c r="AB200" s="3">
        <f t="shared" si="158"/>
        <v>-0.18893616752870596</v>
      </c>
      <c r="AC200" s="3">
        <f t="shared" si="159"/>
        <v>0.62577423712915481</v>
      </c>
      <c r="AD200" s="3">
        <f t="shared" si="160"/>
        <v>-0.18865068911969327</v>
      </c>
      <c r="AE200" s="3">
        <f t="shared" si="136"/>
        <v>0.99948879988842576</v>
      </c>
      <c r="AF200" s="3">
        <f t="shared" si="161"/>
        <v>0.95694922660494186</v>
      </c>
      <c r="AG200" s="3">
        <f t="shared" si="162"/>
        <v>-0.28848923515897318</v>
      </c>
      <c r="AH200" s="3">
        <f t="shared" si="163"/>
        <v>0.95550329729299277</v>
      </c>
      <c r="AI200" s="3">
        <f t="shared" si="164"/>
        <v>-0.28805333424625912</v>
      </c>
      <c r="AJ200" s="3">
        <f t="shared" si="137"/>
        <v>0.70155767226796295</v>
      </c>
      <c r="AK200" s="3">
        <f t="shared" si="165"/>
        <v>0.67169844421521741</v>
      </c>
      <c r="AL200" s="3">
        <f t="shared" si="166"/>
        <v>-0.2024953519389987</v>
      </c>
      <c r="AM200" s="3">
        <f t="shared" si="167"/>
        <v>0.67068352258481168</v>
      </c>
      <c r="AN200" s="3">
        <f t="shared" si="168"/>
        <v>-0.20218938589946198</v>
      </c>
      <c r="AO200" s="3">
        <f t="shared" si="138"/>
        <v>-4.7592672815467564E-2</v>
      </c>
      <c r="AP200" s="3">
        <f t="shared" si="169"/>
        <v>-4.5567065331705403E-2</v>
      </c>
      <c r="AQ200" s="3">
        <f t="shared" si="170"/>
        <v>1.3736996133661717E-2</v>
      </c>
      <c r="AR200" s="3"/>
      <c r="AS200" s="2"/>
      <c r="AT200" s="2"/>
    </row>
    <row r="201" spans="1:46">
      <c r="A201">
        <f t="shared" si="171"/>
        <v>198</v>
      </c>
      <c r="B201" s="1">
        <f t="shared" si="129"/>
        <v>24.419934000000001</v>
      </c>
      <c r="C201" s="1">
        <f t="shared" si="130"/>
        <v>153.43497051109523</v>
      </c>
      <c r="D201" s="1">
        <f t="shared" si="131"/>
        <v>0.48211702848713173</v>
      </c>
      <c r="E201" s="1">
        <f t="shared" si="132"/>
        <v>-0.87610682615919511</v>
      </c>
      <c r="F201" s="2">
        <f t="shared" si="133"/>
        <v>15797.528672437846</v>
      </c>
      <c r="G201" s="2">
        <f t="shared" si="134"/>
        <v>-28707.392372758346</v>
      </c>
      <c r="H201" s="2">
        <f t="shared" si="135"/>
        <v>3949.5026973665831</v>
      </c>
      <c r="I201" s="3">
        <f t="shared" si="139"/>
        <v>0.99951628229198808</v>
      </c>
      <c r="J201" s="3">
        <f t="shared" si="140"/>
        <v>0.99903279856679716</v>
      </c>
      <c r="K201" s="3">
        <f t="shared" si="141"/>
        <v>-0.84574747452456955</v>
      </c>
      <c r="L201" s="3">
        <f t="shared" si="142"/>
        <v>-0.40774925926828159</v>
      </c>
      <c r="M201" s="3">
        <f t="shared" si="143"/>
        <v>0.74096513563787536</v>
      </c>
      <c r="N201" s="3">
        <f t="shared" si="144"/>
        <v>-0.40735488360032995</v>
      </c>
      <c r="O201" s="3">
        <f t="shared" si="145"/>
        <v>0.74024847309673303</v>
      </c>
      <c r="P201" s="3">
        <f t="shared" si="146"/>
        <v>-0.17763628470611692</v>
      </c>
      <c r="Q201" s="3">
        <f t="shared" si="147"/>
        <v>-8.564147773400721E-2</v>
      </c>
      <c r="R201" s="3">
        <f t="shared" si="148"/>
        <v>0.15562836160458726</v>
      </c>
      <c r="S201" s="3">
        <f t="shared" si="149"/>
        <v>-8.5558645174001274E-2</v>
      </c>
      <c r="T201" s="3">
        <f t="shared" si="150"/>
        <v>0.15547783763019629</v>
      </c>
      <c r="U201" s="3">
        <f t="shared" si="151"/>
        <v>0.60582025257505434</v>
      </c>
      <c r="V201" s="3">
        <f t="shared" si="152"/>
        <v>0.29207625996880882</v>
      </c>
      <c r="W201" s="3">
        <f t="shared" si="153"/>
        <v>-0.53076325870649277</v>
      </c>
      <c r="X201" s="3">
        <f t="shared" si="154"/>
        <v>0.29179376339156243</v>
      </c>
      <c r="Y201" s="3">
        <f t="shared" si="155"/>
        <v>-0.53024990372198044</v>
      </c>
      <c r="Z201" s="3">
        <f t="shared" si="156"/>
        <v>0.99589686948229394</v>
      </c>
      <c r="AA201" s="3">
        <f t="shared" si="157"/>
        <v>0.48013883939444041</v>
      </c>
      <c r="AB201" s="3">
        <f t="shared" si="158"/>
        <v>-0.87251204550401074</v>
      </c>
      <c r="AC201" s="3">
        <f t="shared" si="159"/>
        <v>0.47967444842084178</v>
      </c>
      <c r="AD201" s="3">
        <f t="shared" si="160"/>
        <v>-0.87166815060311242</v>
      </c>
      <c r="AE201" s="3">
        <f t="shared" si="136"/>
        <v>0.73930340635779213</v>
      </c>
      <c r="AF201" s="3">
        <f t="shared" si="161"/>
        <v>0.35643076142363317</v>
      </c>
      <c r="AG201" s="3">
        <f t="shared" si="162"/>
        <v>-0.64770876091280694</v>
      </c>
      <c r="AH201" s="3">
        <f t="shared" si="163"/>
        <v>0.35608602108034665</v>
      </c>
      <c r="AI201" s="3">
        <f t="shared" si="164"/>
        <v>-0.64708229607095402</v>
      </c>
      <c r="AJ201" s="3">
        <f t="shared" si="137"/>
        <v>2.6548214557780814E-3</v>
      </c>
      <c r="AK201" s="3">
        <f t="shared" si="165"/>
        <v>1.2799346314236097E-3</v>
      </c>
      <c r="AL201" s="3">
        <f t="shared" si="166"/>
        <v>-2.3259071996410688E-3</v>
      </c>
      <c r="AM201" s="3">
        <f t="shared" si="167"/>
        <v>1.278696676813691E-3</v>
      </c>
      <c r="AN201" s="3">
        <f t="shared" si="168"/>
        <v>-2.3236575788640793E-3</v>
      </c>
      <c r="AO201" s="3">
        <f t="shared" si="138"/>
        <v>-0.73571763030019188</v>
      </c>
      <c r="AP201" s="3">
        <f t="shared" si="169"/>
        <v>-0.35470199772592265</v>
      </c>
      <c r="AQ201" s="3">
        <f t="shared" si="170"/>
        <v>0.64456723803166516</v>
      </c>
      <c r="AR201" s="3"/>
      <c r="AS201" s="2"/>
      <c r="AT201" s="2"/>
    </row>
    <row r="202" spans="1:46">
      <c r="A202">
        <f t="shared" si="171"/>
        <v>199</v>
      </c>
      <c r="B202" s="1">
        <f t="shared" si="129"/>
        <v>24.543267</v>
      </c>
      <c r="C202" s="1">
        <f t="shared" si="130"/>
        <v>154.2098946045856</v>
      </c>
      <c r="D202" s="1">
        <f t="shared" si="131"/>
        <v>-0.26851836592034745</v>
      </c>
      <c r="E202" s="1">
        <f t="shared" si="132"/>
        <v>-0.96327456478590068</v>
      </c>
      <c r="F202" s="2">
        <f t="shared" si="133"/>
        <v>-8798.5412961120255</v>
      </c>
      <c r="G202" s="2">
        <f t="shared" si="134"/>
        <v>-31563.617664339607</v>
      </c>
      <c r="H202" s="2">
        <f t="shared" si="135"/>
        <v>-2199.7024536194863</v>
      </c>
      <c r="I202" s="3">
        <f t="shared" si="139"/>
        <v>0.99972789919122762</v>
      </c>
      <c r="J202" s="3">
        <f t="shared" si="140"/>
        <v>0.9994558724213054</v>
      </c>
      <c r="K202" s="3">
        <f t="shared" si="141"/>
        <v>-0.25126042612847743</v>
      </c>
      <c r="L202" s="3">
        <f t="shared" si="142"/>
        <v>6.7468039044468936E-2</v>
      </c>
      <c r="M202" s="3">
        <f t="shared" si="143"/>
        <v>0.24203277762682904</v>
      </c>
      <c r="N202" s="3">
        <f t="shared" si="144"/>
        <v>6.7431327823744391E-2</v>
      </c>
      <c r="O202" s="3">
        <f t="shared" si="145"/>
        <v>0.24190108091757423</v>
      </c>
      <c r="P202" s="3">
        <f t="shared" si="146"/>
        <v>0.54767844261172605</v>
      </c>
      <c r="Q202" s="3">
        <f t="shared" si="147"/>
        <v>-0.14706172045990146</v>
      </c>
      <c r="R202" s="3">
        <f t="shared" si="148"/>
        <v>-0.52756471344943023</v>
      </c>
      <c r="S202" s="3">
        <f t="shared" si="149"/>
        <v>-0.14698170012202894</v>
      </c>
      <c r="T202" s="3">
        <f t="shared" si="150"/>
        <v>-0.52727765093929635</v>
      </c>
      <c r="U202" s="3">
        <f t="shared" si="151"/>
        <v>0.98760051500792068</v>
      </c>
      <c r="V202" s="3">
        <f t="shared" si="152"/>
        <v>-0.26518887647202044</v>
      </c>
      <c r="W202" s="3">
        <f t="shared" si="153"/>
        <v>-0.95133045627658619</v>
      </c>
      <c r="X202" s="3">
        <f t="shared" si="154"/>
        <v>-0.26504457989076896</v>
      </c>
      <c r="Y202" s="3">
        <f t="shared" si="155"/>
        <v>-0.95081281113887395</v>
      </c>
      <c r="Z202" s="3">
        <f t="shared" si="156"/>
        <v>0.78012596672465806</v>
      </c>
      <c r="AA202" s="3">
        <f t="shared" si="157"/>
        <v>-0.20947814979693652</v>
      </c>
      <c r="AB202" s="3">
        <f t="shared" si="158"/>
        <v>-0.75147550107487504</v>
      </c>
      <c r="AC202" s="3">
        <f t="shared" si="159"/>
        <v>-0.20936416695849808</v>
      </c>
      <c r="AD202" s="3">
        <f t="shared" si="160"/>
        <v>-0.75106660253002677</v>
      </c>
      <c r="AE202" s="3">
        <f t="shared" si="136"/>
        <v>6.1259507555437381E-2</v>
      </c>
      <c r="AF202" s="3">
        <f t="shared" si="161"/>
        <v>-1.6449302865871224E-2</v>
      </c>
      <c r="AG202" s="3">
        <f t="shared" si="162"/>
        <v>-5.9009725479462538E-2</v>
      </c>
      <c r="AH202" s="3">
        <f t="shared" si="163"/>
        <v>-1.6440352346531604E-2</v>
      </c>
      <c r="AI202" s="3">
        <f t="shared" si="164"/>
        <v>-5.8977616660417967E-2</v>
      </c>
      <c r="AJ202" s="3">
        <f t="shared" si="137"/>
        <v>-0.69776407746900948</v>
      </c>
      <c r="AK202" s="3">
        <f t="shared" si="165"/>
        <v>0.18736246987989716</v>
      </c>
      <c r="AL202" s="3">
        <f t="shared" si="166"/>
        <v>0.67213838804719561</v>
      </c>
      <c r="AM202" s="3">
        <f t="shared" si="167"/>
        <v>0.18726052079282318</v>
      </c>
      <c r="AN202" s="3">
        <f t="shared" si="168"/>
        <v>0.67177265901355987</v>
      </c>
      <c r="AO202" s="3">
        <f t="shared" si="138"/>
        <v>-0.99938601180545483</v>
      </c>
      <c r="AP202" s="3">
        <f t="shared" si="169"/>
        <v>0.26835349881365378</v>
      </c>
      <c r="AQ202" s="3">
        <f t="shared" si="170"/>
        <v>0.96268312557501645</v>
      </c>
      <c r="AR202" s="3"/>
      <c r="AS202" s="2"/>
      <c r="AT202" s="2"/>
    </row>
    <row r="203" spans="1:46">
      <c r="A203">
        <f t="shared" si="171"/>
        <v>200</v>
      </c>
      <c r="B203" s="1">
        <f t="shared" si="129"/>
        <v>24.666599999999999</v>
      </c>
      <c r="C203" s="1">
        <f t="shared" si="130"/>
        <v>154.98481869807597</v>
      </c>
      <c r="D203" s="1">
        <f t="shared" si="131"/>
        <v>-0.86581588830406575</v>
      </c>
      <c r="E203" s="1">
        <f t="shared" si="132"/>
        <v>-0.50036271599734683</v>
      </c>
      <c r="F203" s="2">
        <f t="shared" si="133"/>
        <v>-28370.189212059322</v>
      </c>
      <c r="G203" s="2">
        <f t="shared" si="134"/>
        <v>-16395.385115085064</v>
      </c>
      <c r="H203" s="2">
        <f t="shared" si="135"/>
        <v>-7092.7637569869066</v>
      </c>
      <c r="I203" s="3">
        <f t="shared" si="139"/>
        <v>0.99987906326014953</v>
      </c>
      <c r="J203" s="3">
        <f t="shared" si="140"/>
        <v>0.99975814114599415</v>
      </c>
      <c r="K203" s="3">
        <f t="shared" si="141"/>
        <v>0.47942553860419784</v>
      </c>
      <c r="L203" s="3">
        <f t="shared" si="142"/>
        <v>-0.41509424858224875</v>
      </c>
      <c r="M203" s="3">
        <f t="shared" si="143"/>
        <v>-0.23988666461448729</v>
      </c>
      <c r="N203" s="3">
        <f t="shared" si="144"/>
        <v>-0.4149938543629822</v>
      </c>
      <c r="O203" s="3">
        <f t="shared" si="145"/>
        <v>-0.23982864590069233</v>
      </c>
      <c r="P203" s="3">
        <f t="shared" si="146"/>
        <v>0.97296924114817784</v>
      </c>
      <c r="Q203" s="3">
        <f t="shared" si="147"/>
        <v>-0.84241222781724234</v>
      </c>
      <c r="R203" s="3">
        <f t="shared" si="148"/>
        <v>-0.48683753208277974</v>
      </c>
      <c r="S203" s="3">
        <f t="shared" si="149"/>
        <v>-0.84220848296122197</v>
      </c>
      <c r="T203" s="3">
        <f t="shared" si="150"/>
        <v>-0.48671978611518318</v>
      </c>
      <c r="U203" s="3">
        <f t="shared" si="151"/>
        <v>0.82266145799180823</v>
      </c>
      <c r="V203" s="3">
        <f t="shared" si="152"/>
        <v>-0.7122733610246953</v>
      </c>
      <c r="W203" s="3">
        <f t="shared" si="153"/>
        <v>-0.41162912146711839</v>
      </c>
      <c r="X203" s="3">
        <f t="shared" si="154"/>
        <v>-0.71210109140585898</v>
      </c>
      <c r="Y203" s="3">
        <f t="shared" si="155"/>
        <v>-0.41152956531952495</v>
      </c>
      <c r="Z203" s="3">
        <f t="shared" si="156"/>
        <v>0.12796667928006503</v>
      </c>
      <c r="AA203" s="3">
        <f t="shared" si="157"/>
        <v>-0.11079558409419099</v>
      </c>
      <c r="AB203" s="3">
        <f t="shared" si="158"/>
        <v>-6.4029755201734748E-2</v>
      </c>
      <c r="AC203" s="3">
        <f t="shared" si="159"/>
        <v>-0.11076878720119306</v>
      </c>
      <c r="AD203" s="3">
        <f t="shared" si="160"/>
        <v>-6.4014269038519381E-2</v>
      </c>
      <c r="AE203" s="3">
        <f t="shared" si="136"/>
        <v>-0.65140861459103183</v>
      </c>
      <c r="AF203" s="3">
        <f t="shared" si="161"/>
        <v>0.56399992829105505</v>
      </c>
      <c r="AG203" s="3">
        <f t="shared" si="162"/>
        <v>0.32594058362083761</v>
      </c>
      <c r="AH203" s="3">
        <f t="shared" si="163"/>
        <v>0.56386351991473915</v>
      </c>
      <c r="AI203" s="3">
        <f t="shared" si="164"/>
        <v>0.3258617520048091</v>
      </c>
      <c r="AJ203" s="3">
        <f t="shared" si="137"/>
        <v>-0.99972156181739336</v>
      </c>
      <c r="AK203" s="3">
        <f t="shared" si="165"/>
        <v>0.86557481210165443</v>
      </c>
      <c r="AL203" s="3">
        <f t="shared" si="166"/>
        <v>0.50022339591206044</v>
      </c>
      <c r="AM203" s="3">
        <f t="shared" si="167"/>
        <v>0.86536546516954316</v>
      </c>
      <c r="AN203" s="3">
        <f t="shared" si="168"/>
        <v>0.50010241245477816</v>
      </c>
      <c r="AO203" s="3">
        <f t="shared" si="138"/>
        <v>-0.68647997510677716</v>
      </c>
      <c r="AP203" s="3">
        <f t="shared" si="169"/>
        <v>0.59436526945002721</v>
      </c>
      <c r="AQ203" s="3">
        <f t="shared" si="170"/>
        <v>0.34348898482221807</v>
      </c>
      <c r="AR203" s="3"/>
      <c r="AS203" s="2"/>
      <c r="AT203" s="2"/>
    </row>
    <row r="204" spans="1:46">
      <c r="A204">
        <f t="shared" si="171"/>
        <v>201</v>
      </c>
      <c r="B204" s="1">
        <f t="shared" si="129"/>
        <v>24.789933000000001</v>
      </c>
      <c r="C204" s="1">
        <f t="shared" si="130"/>
        <v>155.75974279156637</v>
      </c>
      <c r="D204" s="1">
        <f t="shared" si="131"/>
        <v>-0.96868776713127658</v>
      </c>
      <c r="E204" s="1">
        <f t="shared" si="132"/>
        <v>0.2482821173790446</v>
      </c>
      <c r="F204" s="2">
        <f t="shared" si="133"/>
        <v>-31740.992065590541</v>
      </c>
      <c r="G204" s="2">
        <f t="shared" si="134"/>
        <v>8135.4601401591544</v>
      </c>
      <c r="H204" s="2">
        <f t="shared" si="135"/>
        <v>-7935.4901883394177</v>
      </c>
      <c r="I204" s="3">
        <f t="shared" si="139"/>
        <v>0.99996976535797055</v>
      </c>
      <c r="J204" s="3">
        <f t="shared" si="140"/>
        <v>0.99993953163007465</v>
      </c>
      <c r="K204" s="3">
        <f t="shared" si="141"/>
        <v>0.950232779782617</v>
      </c>
      <c r="L204" s="3">
        <f t="shared" si="142"/>
        <v>-0.92047886970256931</v>
      </c>
      <c r="M204" s="3">
        <f t="shared" si="143"/>
        <v>0.23592580656740356</v>
      </c>
      <c r="N204" s="3">
        <f t="shared" si="144"/>
        <v>-0.92042320984576764</v>
      </c>
      <c r="O204" s="3">
        <f t="shared" si="145"/>
        <v>0.23591154051845709</v>
      </c>
      <c r="P204" s="3">
        <f t="shared" si="146"/>
        <v>0.86525740236944093</v>
      </c>
      <c r="Q204" s="3">
        <f t="shared" si="147"/>
        <v>-0.83816426109506226</v>
      </c>
      <c r="R204" s="3">
        <f t="shared" si="148"/>
        <v>0.21482793993817675</v>
      </c>
      <c r="S204" s="3">
        <f t="shared" si="149"/>
        <v>-0.83811357866846425</v>
      </c>
      <c r="T204" s="3">
        <f t="shared" si="150"/>
        <v>0.21481494964283429</v>
      </c>
      <c r="U204" s="3">
        <f t="shared" si="151"/>
        <v>0.2023106169441484</v>
      </c>
      <c r="V204" s="3">
        <f t="shared" si="152"/>
        <v>-0.19597581979457812</v>
      </c>
      <c r="W204" s="3">
        <f t="shared" si="153"/>
        <v>5.023010834315398E-2</v>
      </c>
      <c r="X204" s="3">
        <f t="shared" si="154"/>
        <v>-0.19596396945621036</v>
      </c>
      <c r="Y204" s="3">
        <f t="shared" si="155"/>
        <v>5.0227071010381298E-2</v>
      </c>
      <c r="Z204" s="3">
        <f t="shared" si="156"/>
        <v>-0.59577485878394443</v>
      </c>
      <c r="AA204" s="3">
        <f t="shared" si="157"/>
        <v>0.57711981766837073</v>
      </c>
      <c r="AB204" s="3">
        <f t="shared" si="158"/>
        <v>-0.14792024342007901</v>
      </c>
      <c r="AC204" s="3">
        <f t="shared" si="159"/>
        <v>0.57708492017374469</v>
      </c>
      <c r="AD204" s="3">
        <f t="shared" si="160"/>
        <v>-0.14791129892408045</v>
      </c>
      <c r="AE204" s="3">
        <f t="shared" si="136"/>
        <v>-0.9958968694822955</v>
      </c>
      <c r="AF204" s="3">
        <f t="shared" si="161"/>
        <v>0.96471311479183319</v>
      </c>
      <c r="AG204" s="3">
        <f t="shared" si="162"/>
        <v>-0.24726338344622634</v>
      </c>
      <c r="AH204" s="3">
        <f t="shared" si="163"/>
        <v>0.96465478016233608</v>
      </c>
      <c r="AI204" s="3">
        <f t="shared" si="164"/>
        <v>-0.24724843183248713</v>
      </c>
      <c r="AJ204" s="3">
        <f t="shared" si="137"/>
        <v>-0.73078340884771709</v>
      </c>
      <c r="AK204" s="3">
        <f t="shared" si="165"/>
        <v>0.7079009485732779</v>
      </c>
      <c r="AL204" s="3">
        <f t="shared" si="166"/>
        <v>-0.18144045209418724</v>
      </c>
      <c r="AM204" s="3">
        <f t="shared" si="167"/>
        <v>0.70785814295684901</v>
      </c>
      <c r="AN204" s="3">
        <f t="shared" si="168"/>
        <v>-0.18142948068581058</v>
      </c>
      <c r="AO204" s="3">
        <f t="shared" si="138"/>
        <v>2.2476023849020092E-2</v>
      </c>
      <c r="AP204" s="3">
        <f t="shared" si="169"/>
        <v>-2.1772249356296593E-2</v>
      </c>
      <c r="AQ204" s="3">
        <f t="shared" si="170"/>
        <v>5.580394791496612E-3</v>
      </c>
      <c r="AR204" s="3"/>
      <c r="AS204" s="2"/>
      <c r="AT204" s="2"/>
    </row>
    <row r="205" spans="1:46">
      <c r="A205">
        <f t="shared" si="171"/>
        <v>202</v>
      </c>
      <c r="B205" s="1">
        <f t="shared" si="129"/>
        <v>24.913266</v>
      </c>
      <c r="C205" s="1">
        <f t="shared" si="130"/>
        <v>156.53466688505674</v>
      </c>
      <c r="D205" s="1">
        <f t="shared" si="131"/>
        <v>-0.51838884008734032</v>
      </c>
      <c r="E205" s="1">
        <f t="shared" si="132"/>
        <v>0.85514502306503659</v>
      </c>
      <c r="F205" s="2">
        <f t="shared" si="133"/>
        <v>-16986.047123141881</v>
      </c>
      <c r="G205" s="2">
        <f t="shared" si="134"/>
        <v>28020.536970772053</v>
      </c>
      <c r="H205" s="2">
        <f t="shared" si="135"/>
        <v>-4246.6413779954919</v>
      </c>
      <c r="I205" s="3">
        <f t="shared" si="139"/>
        <v>1</v>
      </c>
      <c r="J205" s="3">
        <f t="shared" si="140"/>
        <v>1</v>
      </c>
      <c r="K205" s="3">
        <f t="shared" si="141"/>
        <v>0.9059542318137348</v>
      </c>
      <c r="L205" s="3">
        <f t="shared" si="142"/>
        <v>-0.46963656340213938</v>
      </c>
      <c r="M205" s="3">
        <f t="shared" si="143"/>
        <v>0.77472225246022375</v>
      </c>
      <c r="N205" s="3">
        <f t="shared" si="144"/>
        <v>-0.46963656340213938</v>
      </c>
      <c r="O205" s="3">
        <f t="shared" si="145"/>
        <v>0.77472225246022375</v>
      </c>
      <c r="P205" s="3">
        <f t="shared" si="146"/>
        <v>0.2835485882339408</v>
      </c>
      <c r="Q205" s="3">
        <f t="shared" si="147"/>
        <v>-0.14698842376299545</v>
      </c>
      <c r="R205" s="3">
        <f t="shared" si="148"/>
        <v>0.24247516402537186</v>
      </c>
      <c r="S205" s="3">
        <f t="shared" si="149"/>
        <v>-0.14698842376299545</v>
      </c>
      <c r="T205" s="3">
        <f t="shared" si="150"/>
        <v>0.24247516402537186</v>
      </c>
      <c r="U205" s="3">
        <f t="shared" si="151"/>
        <v>-0.53003603732168236</v>
      </c>
      <c r="V205" s="3">
        <f t="shared" si="152"/>
        <v>0.27476476659167715</v>
      </c>
      <c r="W205" s="3">
        <f t="shared" si="153"/>
        <v>-0.45325767936075068</v>
      </c>
      <c r="X205" s="3">
        <f t="shared" si="154"/>
        <v>0.27476476659167715</v>
      </c>
      <c r="Y205" s="3">
        <f t="shared" si="155"/>
        <v>-0.45325767936075068</v>
      </c>
      <c r="Z205" s="3">
        <f t="shared" si="156"/>
        <v>-0.98625069444683389</v>
      </c>
      <c r="AA205" s="3">
        <f t="shared" si="157"/>
        <v>0.51126135352962809</v>
      </c>
      <c r="AB205" s="3">
        <f t="shared" si="158"/>
        <v>-0.84338737285064613</v>
      </c>
      <c r="AC205" s="3">
        <f t="shared" si="159"/>
        <v>0.51126135352962809</v>
      </c>
      <c r="AD205" s="3">
        <f t="shared" si="160"/>
        <v>-0.84338737285064613</v>
      </c>
      <c r="AE205" s="3">
        <f t="shared" si="136"/>
        <v>-0.77749852908950345</v>
      </c>
      <c r="AF205" s="3">
        <f t="shared" si="161"/>
        <v>0.40304656066432093</v>
      </c>
      <c r="AG205" s="3">
        <f t="shared" si="162"/>
        <v>-0.66487399759127541</v>
      </c>
      <c r="AH205" s="3">
        <f t="shared" si="163"/>
        <v>0.40304656066432093</v>
      </c>
      <c r="AI205" s="3">
        <f t="shared" si="164"/>
        <v>-0.66487399759127541</v>
      </c>
      <c r="AJ205" s="3">
        <f t="shared" si="137"/>
        <v>-4.4527998883850978E-2</v>
      </c>
      <c r="AK205" s="3">
        <f t="shared" si="165"/>
        <v>2.3082817692809891E-2</v>
      </c>
      <c r="AL205" s="3">
        <f t="shared" si="166"/>
        <v>-3.8077896632570669E-2</v>
      </c>
      <c r="AM205" s="3">
        <f t="shared" si="167"/>
        <v>2.3082817692809891E-2</v>
      </c>
      <c r="AN205" s="3">
        <f t="shared" si="168"/>
        <v>-3.8077896632570669E-2</v>
      </c>
      <c r="AO205" s="3">
        <f t="shared" si="138"/>
        <v>0.7184649608075464</v>
      </c>
      <c r="AP205" s="3">
        <f t="shared" si="169"/>
        <v>-0.37244421767642039</v>
      </c>
      <c r="AQ205" s="3">
        <f t="shared" si="170"/>
        <v>0.61439173548118986</v>
      </c>
      <c r="AR205" s="3"/>
      <c r="AS205" s="2"/>
      <c r="AT205" s="2"/>
    </row>
    <row r="206" spans="1:46">
      <c r="A206">
        <f t="shared" si="171"/>
        <v>203</v>
      </c>
      <c r="B206" s="1">
        <f t="shared" si="129"/>
        <v>25.036598999999999</v>
      </c>
      <c r="C206" s="1">
        <f t="shared" si="130"/>
        <v>157.30959097854711</v>
      </c>
      <c r="D206" s="1">
        <f t="shared" si="131"/>
        <v>0.22793692053057102</v>
      </c>
      <c r="E206" s="1">
        <f t="shared" si="132"/>
        <v>0.97367590103639734</v>
      </c>
      <c r="F206" s="2">
        <f t="shared" si="133"/>
        <v>7468.8090750252204</v>
      </c>
      <c r="G206" s="2">
        <f t="shared" si="134"/>
        <v>31904.438249259631</v>
      </c>
      <c r="H206" s="2">
        <f t="shared" si="135"/>
        <v>1867.2592529864378</v>
      </c>
      <c r="I206" s="3">
        <f t="shared" si="139"/>
        <v>0.99996976535797055</v>
      </c>
      <c r="J206" s="3">
        <f t="shared" si="140"/>
        <v>0.99993953163007465</v>
      </c>
      <c r="K206" s="3">
        <f t="shared" si="141"/>
        <v>0.37059164596113453</v>
      </c>
      <c r="L206" s="3">
        <f t="shared" si="142"/>
        <v>8.4471518554736627E-2</v>
      </c>
      <c r="M206" s="3">
        <f t="shared" si="143"/>
        <v>0.3608361547977692</v>
      </c>
      <c r="N206" s="3">
        <f t="shared" si="144"/>
        <v>8.4466410699704508E-2</v>
      </c>
      <c r="O206" s="3">
        <f t="shared" si="145"/>
        <v>0.36081433562367848</v>
      </c>
      <c r="P206" s="3">
        <f t="shared" si="146"/>
        <v>-0.45349108215487871</v>
      </c>
      <c r="Q206" s="3">
        <f t="shared" si="147"/>
        <v>-0.10336736075445924</v>
      </c>
      <c r="R206" s="3">
        <f t="shared" si="148"/>
        <v>-0.44155333802912244</v>
      </c>
      <c r="S206" s="3">
        <f t="shared" si="149"/>
        <v>-0.10336111029865093</v>
      </c>
      <c r="T206" s="3">
        <f t="shared" si="150"/>
        <v>-0.4415266380185367</v>
      </c>
      <c r="U206" s="3">
        <f t="shared" si="151"/>
        <v>-0.96896350315621549</v>
      </c>
      <c r="V206" s="3">
        <f t="shared" si="152"/>
        <v>-0.22086255701594198</v>
      </c>
      <c r="W206" s="3">
        <f t="shared" si="153"/>
        <v>-0.94345641200701214</v>
      </c>
      <c r="X206" s="3">
        <f t="shared" si="154"/>
        <v>-0.22084920181714168</v>
      </c>
      <c r="Y206" s="3">
        <f t="shared" si="155"/>
        <v>-0.94339936273568248</v>
      </c>
      <c r="Z206" s="3">
        <f t="shared" si="156"/>
        <v>-0.82503569324011194</v>
      </c>
      <c r="AA206" s="3">
        <f t="shared" si="157"/>
        <v>-0.18805609524495598</v>
      </c>
      <c r="AB206" s="3">
        <f t="shared" si="158"/>
        <v>-0.80331737200275466</v>
      </c>
      <c r="AC206" s="3">
        <f t="shared" si="159"/>
        <v>-0.188044723799422</v>
      </c>
      <c r="AD206" s="3">
        <f t="shared" si="160"/>
        <v>-0.80326879671073703</v>
      </c>
      <c r="AE206" s="3">
        <f t="shared" si="136"/>
        <v>-0.11965358203648135</v>
      </c>
      <c r="AF206" s="3">
        <f t="shared" si="161"/>
        <v>-2.7273469019847611E-2</v>
      </c>
      <c r="AG206" s="3">
        <f t="shared" si="162"/>
        <v>-0.11650380930160346</v>
      </c>
      <c r="AH206" s="3">
        <f t="shared" si="163"/>
        <v>-2.7271819837633771E-2</v>
      </c>
      <c r="AI206" s="3">
        <f t="shared" si="164"/>
        <v>-0.1164967645061649</v>
      </c>
      <c r="AJ206" s="3">
        <f t="shared" si="137"/>
        <v>0.6671553314852543</v>
      </c>
      <c r="AK206" s="3">
        <f t="shared" si="165"/>
        <v>0.15206933177430118</v>
      </c>
      <c r="AL206" s="3">
        <f t="shared" si="166"/>
        <v>0.64959306851514131</v>
      </c>
      <c r="AM206" s="3">
        <f t="shared" si="167"/>
        <v>0.15206013638969315</v>
      </c>
      <c r="AN206" s="3">
        <f t="shared" si="168"/>
        <v>0.64955378868117342</v>
      </c>
      <c r="AO206" s="3">
        <f t="shared" si="138"/>
        <v>0.99995088102966601</v>
      </c>
      <c r="AP206" s="3">
        <f t="shared" si="169"/>
        <v>0.22792572450373347</v>
      </c>
      <c r="AQ206" s="3">
        <f t="shared" si="170"/>
        <v>0.97362807507869942</v>
      </c>
      <c r="AR206" s="3"/>
      <c r="AS206" s="2"/>
      <c r="AT206" s="2"/>
    </row>
    <row r="207" spans="1:46">
      <c r="A207">
        <f t="shared" si="171"/>
        <v>204</v>
      </c>
      <c r="B207" s="1">
        <f t="shared" si="129"/>
        <v>25.159932000000001</v>
      </c>
      <c r="C207" s="1">
        <f t="shared" si="130"/>
        <v>158.0845150720375</v>
      </c>
      <c r="D207" s="1">
        <f t="shared" si="131"/>
        <v>0.8440989129086196</v>
      </c>
      <c r="E207" s="1">
        <f t="shared" si="132"/>
        <v>0.53618749074040006</v>
      </c>
      <c r="F207" s="2">
        <f t="shared" si="133"/>
        <v>27658.589079276739</v>
      </c>
      <c r="G207" s="2">
        <f t="shared" si="134"/>
        <v>17569.25550909069</v>
      </c>
      <c r="H207" s="2">
        <f t="shared" si="135"/>
        <v>6914.8582945474118</v>
      </c>
      <c r="I207" s="3">
        <f t="shared" si="139"/>
        <v>0.99987906326014953</v>
      </c>
      <c r="J207" s="3">
        <f t="shared" si="140"/>
        <v>0.99975814114599415</v>
      </c>
      <c r="K207" s="3">
        <f t="shared" si="141"/>
        <v>-0.36565486483347998</v>
      </c>
      <c r="L207" s="3">
        <f t="shared" si="142"/>
        <v>-0.30864887390568868</v>
      </c>
      <c r="M207" s="3">
        <f t="shared" si="143"/>
        <v>-0.19605956445208378</v>
      </c>
      <c r="N207" s="3">
        <f t="shared" si="144"/>
        <v>-0.30857422444275567</v>
      </c>
      <c r="O207" s="3">
        <f t="shared" si="145"/>
        <v>-0.19601214571050851</v>
      </c>
      <c r="P207" s="3">
        <f t="shared" si="146"/>
        <v>-0.94210363628436</v>
      </c>
      <c r="Q207" s="3">
        <f t="shared" si="147"/>
        <v>-0.79522865523488584</v>
      </c>
      <c r="R207" s="3">
        <f t="shared" si="148"/>
        <v>-0.50514418475671752</v>
      </c>
      <c r="S207" s="3">
        <f t="shared" si="149"/>
        <v>-0.79503632214365816</v>
      </c>
      <c r="T207" s="3">
        <f t="shared" si="150"/>
        <v>-0.50502201116308454</v>
      </c>
      <c r="U207" s="3">
        <f t="shared" si="151"/>
        <v>-0.87148879122129108</v>
      </c>
      <c r="V207" s="3">
        <f t="shared" si="152"/>
        <v>-0.73562274128193872</v>
      </c>
      <c r="W207" s="3">
        <f t="shared" si="153"/>
        <v>-0.46728138817332848</v>
      </c>
      <c r="X207" s="3">
        <f t="shared" si="154"/>
        <v>-0.7354448244087517</v>
      </c>
      <c r="Y207" s="3">
        <f t="shared" si="155"/>
        <v>-0.46716837203228662</v>
      </c>
      <c r="Z207" s="3">
        <f t="shared" si="156"/>
        <v>-0.20231061694413111</v>
      </c>
      <c r="AA207" s="3">
        <f t="shared" si="157"/>
        <v>-0.17077017183241322</v>
      </c>
      <c r="AB207" s="3">
        <f t="shared" si="158"/>
        <v>-0.10847642204941592</v>
      </c>
      <c r="AC207" s="3">
        <f t="shared" si="159"/>
        <v>-0.17072886955435546</v>
      </c>
      <c r="AD207" s="3">
        <f t="shared" si="160"/>
        <v>-0.10845018606629239</v>
      </c>
      <c r="AE207" s="3">
        <f t="shared" si="136"/>
        <v>0.60582025257503724</v>
      </c>
      <c r="AF207" s="3">
        <f t="shared" si="161"/>
        <v>0.51137221661661425</v>
      </c>
      <c r="AG207" s="3">
        <f t="shared" si="162"/>
        <v>0.32483324106792461</v>
      </c>
      <c r="AH207" s="3">
        <f t="shared" si="163"/>
        <v>0.51124853671833292</v>
      </c>
      <c r="AI207" s="3">
        <f t="shared" si="164"/>
        <v>0.32475467727249691</v>
      </c>
      <c r="AJ207" s="3">
        <f t="shared" si="137"/>
        <v>0.99785651371901118</v>
      </c>
      <c r="AK207" s="3">
        <f t="shared" si="165"/>
        <v>0.84228959846900242</v>
      </c>
      <c r="AL207" s="3">
        <f t="shared" si="166"/>
        <v>0.53503818020996019</v>
      </c>
      <c r="AM207" s="3">
        <f t="shared" si="167"/>
        <v>0.84208588327197564</v>
      </c>
      <c r="AN207" s="3">
        <f t="shared" si="168"/>
        <v>0.53490877648884527</v>
      </c>
      <c r="AO207" s="3">
        <f t="shared" si="138"/>
        <v>0.70453649381137184</v>
      </c>
      <c r="AP207" s="3">
        <f t="shared" si="169"/>
        <v>0.59469848853062934</v>
      </c>
      <c r="AQ207" s="3">
        <f t="shared" si="170"/>
        <v>0.37776365475175888</v>
      </c>
      <c r="AR207" s="3"/>
      <c r="AS207" s="2"/>
      <c r="AT207" s="2"/>
    </row>
    <row r="208" spans="1:46">
      <c r="A208">
        <f t="shared" si="171"/>
        <v>205</v>
      </c>
      <c r="B208" s="1">
        <f t="shared" si="129"/>
        <v>25.283265</v>
      </c>
      <c r="C208" s="1">
        <f t="shared" si="130"/>
        <v>158.85943916552787</v>
      </c>
      <c r="D208" s="1">
        <f t="shared" si="131"/>
        <v>0.97823677766561956</v>
      </c>
      <c r="E208" s="1">
        <f t="shared" si="132"/>
        <v>-0.20749170302059136</v>
      </c>
      <c r="F208" s="2">
        <f t="shared" si="133"/>
        <v>32053.884493769358</v>
      </c>
      <c r="G208" s="2">
        <f t="shared" si="134"/>
        <v>-6798.8806328757173</v>
      </c>
      <c r="H208" s="2">
        <f t="shared" si="135"/>
        <v>8013.7156826367554</v>
      </c>
      <c r="I208" s="3">
        <f t="shared" si="139"/>
        <v>0.99972789919122762</v>
      </c>
      <c r="J208" s="3">
        <f t="shared" si="140"/>
        <v>0.9994558724213054</v>
      </c>
      <c r="K208" s="3">
        <f t="shared" si="141"/>
        <v>-0.90369349581637681</v>
      </c>
      <c r="L208" s="3">
        <f t="shared" si="142"/>
        <v>-0.88402621334479148</v>
      </c>
      <c r="M208" s="3">
        <f t="shared" si="143"/>
        <v>0.18750890245557167</v>
      </c>
      <c r="N208" s="3">
        <f t="shared" si="144"/>
        <v>-0.88354519030182155</v>
      </c>
      <c r="O208" s="3">
        <f t="shared" si="145"/>
        <v>0.18740687369049483</v>
      </c>
      <c r="P208" s="3">
        <f t="shared" si="146"/>
        <v>-0.91462205143447139</v>
      </c>
      <c r="Q208" s="3">
        <f t="shared" si="147"/>
        <v>-0.89471692837717587</v>
      </c>
      <c r="R208" s="3">
        <f t="shared" si="148"/>
        <v>0.18977648707232539</v>
      </c>
      <c r="S208" s="3">
        <f t="shared" si="149"/>
        <v>-0.89423008822132088</v>
      </c>
      <c r="T208" s="3">
        <f t="shared" si="150"/>
        <v>0.18967322445192156</v>
      </c>
      <c r="U208" s="3">
        <f t="shared" si="151"/>
        <v>-0.29157229072559149</v>
      </c>
      <c r="V208" s="3">
        <f t="shared" si="152"/>
        <v>-0.28522673813598581</v>
      </c>
      <c r="W208" s="3">
        <f t="shared" si="153"/>
        <v>6.0498831156267953E-2</v>
      </c>
      <c r="X208" s="3">
        <f t="shared" si="154"/>
        <v>-0.28507153840158495</v>
      </c>
      <c r="Y208" s="3">
        <f t="shared" si="155"/>
        <v>6.0465912073757046E-2</v>
      </c>
      <c r="Z208" s="3">
        <f t="shared" si="156"/>
        <v>0.53358336680908058</v>
      </c>
      <c r="AA208" s="3">
        <f t="shared" si="157"/>
        <v>0.52197087336328729</v>
      </c>
      <c r="AB208" s="3">
        <f t="shared" si="158"/>
        <v>-0.11071412148267701</v>
      </c>
      <c r="AC208" s="3">
        <f t="shared" si="159"/>
        <v>0.5216868546158151</v>
      </c>
      <c r="AD208" s="3">
        <f t="shared" si="160"/>
        <v>-0.11065387887582735</v>
      </c>
      <c r="AE208" s="3">
        <f t="shared" si="136"/>
        <v>0.98888102236452124</v>
      </c>
      <c r="AF208" s="3">
        <f t="shared" si="161"/>
        <v>0.96735978481255269</v>
      </c>
      <c r="AG208" s="3">
        <f t="shared" si="162"/>
        <v>-0.20518460741515801</v>
      </c>
      <c r="AH208" s="3">
        <f t="shared" si="163"/>
        <v>0.9668334176751161</v>
      </c>
      <c r="AI208" s="3">
        <f t="shared" si="164"/>
        <v>-0.20507296081153978</v>
      </c>
      <c r="AJ208" s="3">
        <f t="shared" si="137"/>
        <v>0.75872710300648183</v>
      </c>
      <c r="AK208" s="3">
        <f t="shared" si="165"/>
        <v>0.74221475637263135</v>
      </c>
      <c r="AL208" s="3">
        <f t="shared" si="166"/>
        <v>-0.15742957873069455</v>
      </c>
      <c r="AM208" s="3">
        <f t="shared" si="167"/>
        <v>0.74181089685437496</v>
      </c>
      <c r="AN208" s="3">
        <f t="shared" si="168"/>
        <v>-0.15734391695520492</v>
      </c>
      <c r="AO208" s="3">
        <f t="shared" si="138"/>
        <v>2.6548214557996427E-3</v>
      </c>
      <c r="AP208" s="3">
        <f t="shared" si="169"/>
        <v>2.5970439861989917E-3</v>
      </c>
      <c r="AQ208" s="3">
        <f t="shared" si="170"/>
        <v>-5.5085342507947348E-4</v>
      </c>
      <c r="AR208" s="3"/>
      <c r="AS208" s="2"/>
      <c r="AT208" s="2"/>
    </row>
    <row r="209" spans="1:46">
      <c r="A209">
        <f t="shared" si="171"/>
        <v>206</v>
      </c>
      <c r="B209" s="1">
        <f t="shared" si="129"/>
        <v>25.406597999999999</v>
      </c>
      <c r="C209" s="1">
        <f t="shared" si="130"/>
        <v>159.63436325901824</v>
      </c>
      <c r="D209" s="1">
        <f t="shared" si="131"/>
        <v>0.55375085775709387</v>
      </c>
      <c r="E209" s="1">
        <f t="shared" si="132"/>
        <v>-0.83268240496198953</v>
      </c>
      <c r="F209" s="2">
        <f t="shared" si="133"/>
        <v>18144.754356126694</v>
      </c>
      <c r="G209" s="2">
        <f t="shared" si="134"/>
        <v>-27284.504363389511</v>
      </c>
      <c r="H209" s="2">
        <f t="shared" si="135"/>
        <v>4536.327026746113</v>
      </c>
      <c r="I209" s="3">
        <f t="shared" si="139"/>
        <v>0.99951628229198808</v>
      </c>
      <c r="J209" s="3">
        <f t="shared" si="140"/>
        <v>0.99903279856679716</v>
      </c>
      <c r="K209" s="3">
        <f t="shared" si="141"/>
        <v>-0.95187354967635907</v>
      </c>
      <c r="L209" s="3">
        <f t="shared" si="142"/>
        <v>-0.52710079460957349</v>
      </c>
      <c r="M209" s="3">
        <f t="shared" si="143"/>
        <v>0.79260835656421647</v>
      </c>
      <c r="N209" s="3">
        <f t="shared" si="144"/>
        <v>-0.52659098196558485</v>
      </c>
      <c r="O209" s="3">
        <f t="shared" si="145"/>
        <v>0.79184174462577905</v>
      </c>
      <c r="P209" s="3">
        <f t="shared" si="146"/>
        <v>-0.38610102469441293</v>
      </c>
      <c r="Q209" s="3">
        <f t="shared" si="147"/>
        <v>-0.21380377360542405</v>
      </c>
      <c r="R209" s="3">
        <f t="shared" si="148"/>
        <v>0.3214995298008323</v>
      </c>
      <c r="S209" s="3">
        <f t="shared" si="149"/>
        <v>-0.21359698228916871</v>
      </c>
      <c r="T209" s="3">
        <f t="shared" si="150"/>
        <v>0.32118857499483489</v>
      </c>
      <c r="U209" s="3">
        <f t="shared" si="151"/>
        <v>0.449753810041924</v>
      </c>
      <c r="V209" s="3">
        <f t="shared" si="152"/>
        <v>0.24905155809023646</v>
      </c>
      <c r="W209" s="3">
        <f t="shared" si="153"/>
        <v>-0.37450208418652708</v>
      </c>
      <c r="X209" s="3">
        <f t="shared" si="154"/>
        <v>0.24881067506631019</v>
      </c>
      <c r="Y209" s="3">
        <f t="shared" si="155"/>
        <v>-0.37413986523396442</v>
      </c>
      <c r="Z209" s="3">
        <f t="shared" si="156"/>
        <v>0.97100044622945048</v>
      </c>
      <c r="AA209" s="3">
        <f t="shared" si="157"/>
        <v>0.53769232998207905</v>
      </c>
      <c r="AB209" s="3">
        <f t="shared" si="158"/>
        <v>-0.80853498678550384</v>
      </c>
      <c r="AC209" s="3">
        <f t="shared" si="159"/>
        <v>0.53717227318989835</v>
      </c>
      <c r="AD209" s="3">
        <f t="shared" si="160"/>
        <v>-0.80775297058749029</v>
      </c>
      <c r="AE209" s="3">
        <f t="shared" si="136"/>
        <v>0.8130205937078826</v>
      </c>
      <c r="AF209" s="3">
        <f t="shared" si="161"/>
        <v>0.45021085113992171</v>
      </c>
      <c r="AG209" s="3">
        <f t="shared" si="162"/>
        <v>-0.67698794325230427</v>
      </c>
      <c r="AH209" s="3">
        <f t="shared" si="163"/>
        <v>0.44977540655945569</v>
      </c>
      <c r="AI209" s="3">
        <f t="shared" si="164"/>
        <v>-0.67633315954332962</v>
      </c>
      <c r="AJ209" s="3">
        <f t="shared" si="137"/>
        <v>8.6323059071137506E-2</v>
      </c>
      <c r="AK209" s="3">
        <f t="shared" si="165"/>
        <v>4.7801468004858676E-2</v>
      </c>
      <c r="AL209" s="3">
        <f t="shared" si="166"/>
        <v>-7.1879692431030665E-2</v>
      </c>
      <c r="AM209" s="3">
        <f t="shared" si="167"/>
        <v>4.7755234356495174E-2</v>
      </c>
      <c r="AN209" s="3">
        <f t="shared" si="168"/>
        <v>-7.1810170289493186E-2</v>
      </c>
      <c r="AO209" s="3">
        <f t="shared" si="138"/>
        <v>-0.70075849344652752</v>
      </c>
      <c r="AP209" s="3">
        <f t="shared" si="169"/>
        <v>-0.38804561682658345</v>
      </c>
      <c r="AQ209" s="3">
        <f t="shared" si="170"/>
        <v>0.58350926762059507</v>
      </c>
      <c r="AR209" s="3"/>
      <c r="AS209" s="2"/>
      <c r="AT209" s="2"/>
    </row>
    <row r="210" spans="1:46">
      <c r="A210">
        <f t="shared" si="171"/>
        <v>207</v>
      </c>
      <c r="B210" s="1">
        <f t="shared" si="129"/>
        <v>25.529931000000001</v>
      </c>
      <c r="C210" s="1">
        <f t="shared" si="130"/>
        <v>160.40928735250864</v>
      </c>
      <c r="D210" s="1">
        <f t="shared" si="131"/>
        <v>-0.18695543638460552</v>
      </c>
      <c r="E210" s="1">
        <f t="shared" si="132"/>
        <v>-0.98236839566745104</v>
      </c>
      <c r="F210" s="2">
        <f t="shared" si="133"/>
        <v>-6125.9687840143688</v>
      </c>
      <c r="G210" s="2">
        <f t="shared" si="134"/>
        <v>-32189.265220835368</v>
      </c>
      <c r="H210" s="2">
        <f t="shared" si="135"/>
        <v>-1531.5389348626884</v>
      </c>
      <c r="I210" s="3">
        <f t="shared" si="139"/>
        <v>0.99924422535875312</v>
      </c>
      <c r="J210" s="3">
        <f t="shared" si="140"/>
        <v>0.99848902191281463</v>
      </c>
      <c r="K210" s="3">
        <f t="shared" si="141"/>
        <v>-0.48407841415626696</v>
      </c>
      <c r="L210" s="3">
        <f t="shared" si="142"/>
        <v>9.0501091162952685E-2</v>
      </c>
      <c r="M210" s="3">
        <f t="shared" si="143"/>
        <v>0.47554333509193591</v>
      </c>
      <c r="N210" s="3">
        <f t="shared" si="144"/>
        <v>9.0364345997339099E-2</v>
      </c>
      <c r="O210" s="3">
        <f t="shared" si="145"/>
        <v>0.47482479953310491</v>
      </c>
      <c r="P210" s="3">
        <f t="shared" si="146"/>
        <v>0.35393014617867558</v>
      </c>
      <c r="Q210" s="3">
        <f t="shared" si="147"/>
        <v>-6.6169164928501514E-2</v>
      </c>
      <c r="R210" s="3">
        <f t="shared" si="148"/>
        <v>-0.34768978987989196</v>
      </c>
      <c r="S210" s="3">
        <f t="shared" si="149"/>
        <v>-6.6069184770247188E-2</v>
      </c>
      <c r="T210" s="3">
        <f t="shared" si="150"/>
        <v>-0.34716443822624532</v>
      </c>
      <c r="U210" s="3">
        <f t="shared" si="151"/>
        <v>0.94210363628436589</v>
      </c>
      <c r="V210" s="3">
        <f t="shared" si="152"/>
        <v>-0.17613139644106729</v>
      </c>
      <c r="W210" s="3">
        <f t="shared" si="153"/>
        <v>-0.92549283772914437</v>
      </c>
      <c r="X210" s="3">
        <f t="shared" si="154"/>
        <v>-0.17586526576057951</v>
      </c>
      <c r="Y210" s="3">
        <f t="shared" si="155"/>
        <v>-0.92409443833148863</v>
      </c>
      <c r="Z210" s="3">
        <f t="shared" si="156"/>
        <v>0.86525740236943749</v>
      </c>
      <c r="AA210" s="3">
        <f t="shared" si="157"/>
        <v>-0.16176457524498838</v>
      </c>
      <c r="AB210" s="3">
        <f t="shared" si="158"/>
        <v>-0.85000152620505043</v>
      </c>
      <c r="AC210" s="3">
        <f t="shared" si="159"/>
        <v>-0.16152015251651036</v>
      </c>
      <c r="AD210" s="3">
        <f t="shared" si="160"/>
        <v>-0.84871719252488054</v>
      </c>
      <c r="AE210" s="3">
        <f t="shared" si="136"/>
        <v>0.17763628470612078</v>
      </c>
      <c r="AF210" s="3">
        <f t="shared" si="161"/>
        <v>-3.3210069124972839E-2</v>
      </c>
      <c r="AG210" s="3">
        <f t="shared" si="162"/>
        <v>-0.17450427201907845</v>
      </c>
      <c r="AH210" s="3">
        <f t="shared" si="163"/>
        <v>-3.3159889438251093E-2</v>
      </c>
      <c r="AI210" s="3">
        <f t="shared" si="164"/>
        <v>-0.17424059988793739</v>
      </c>
      <c r="AJ210" s="3">
        <f t="shared" si="137"/>
        <v>-0.63537616834916932</v>
      </c>
      <c r="AK210" s="3">
        <f t="shared" si="165"/>
        <v>0.11878702882209753</v>
      </c>
      <c r="AL210" s="3">
        <f t="shared" si="166"/>
        <v>0.62417346714650579</v>
      </c>
      <c r="AM210" s="3">
        <f t="shared" si="167"/>
        <v>0.11860754422450549</v>
      </c>
      <c r="AN210" s="3">
        <f t="shared" si="168"/>
        <v>0.62323035471504495</v>
      </c>
      <c r="AO210" s="3">
        <f t="shared" si="138"/>
        <v>-0.9998841598450724</v>
      </c>
      <c r="AP210" s="3">
        <f t="shared" si="169"/>
        <v>0.18693377943789016</v>
      </c>
      <c r="AQ210" s="3">
        <f t="shared" si="170"/>
        <v>0.9822545979603009</v>
      </c>
      <c r="AR210" s="3"/>
      <c r="AS210" s="2"/>
      <c r="AT210" s="2"/>
    </row>
    <row r="211" spans="1:46">
      <c r="A211">
        <f t="shared" si="171"/>
        <v>208</v>
      </c>
      <c r="B211" s="1">
        <f t="shared" si="129"/>
        <v>25.653264</v>
      </c>
      <c r="C211" s="1">
        <f t="shared" si="130"/>
        <v>161.18421144599901</v>
      </c>
      <c r="D211" s="1">
        <f t="shared" si="131"/>
        <v>-0.82090050888607202</v>
      </c>
      <c r="E211" s="1">
        <f t="shared" si="132"/>
        <v>-0.57107123418238104</v>
      </c>
      <c r="F211" s="2">
        <f t="shared" si="133"/>
        <v>-26898.446974669921</v>
      </c>
      <c r="G211" s="2">
        <f t="shared" si="134"/>
        <v>-18712.291130454079</v>
      </c>
      <c r="H211" s="2">
        <f t="shared" si="135"/>
        <v>-6724.816968794702</v>
      </c>
      <c r="I211" s="3">
        <f t="shared" si="139"/>
        <v>0.9989117448426108</v>
      </c>
      <c r="J211" s="3">
        <f t="shared" si="140"/>
        <v>0.99782467398450925</v>
      </c>
      <c r="K211" s="3">
        <f t="shared" si="141"/>
        <v>0.2461175954126831</v>
      </c>
      <c r="L211" s="3">
        <f t="shared" si="142"/>
        <v>-0.20203805932008795</v>
      </c>
      <c r="M211" s="3">
        <f t="shared" si="143"/>
        <v>-0.14055067896632087</v>
      </c>
      <c r="N211" s="3">
        <f t="shared" si="144"/>
        <v>-0.20159856067352969</v>
      </c>
      <c r="O211" s="3">
        <f t="shared" si="145"/>
        <v>-0.14024493541787053</v>
      </c>
      <c r="P211" s="3">
        <f t="shared" si="146"/>
        <v>0.90007471369315672</v>
      </c>
      <c r="Q211" s="3">
        <f t="shared" si="147"/>
        <v>-0.73887179050619789</v>
      </c>
      <c r="R211" s="3">
        <f t="shared" si="148"/>
        <v>-0.51400677760510427</v>
      </c>
      <c r="S211" s="3">
        <f t="shared" si="149"/>
        <v>-0.73726450347819761</v>
      </c>
      <c r="T211" s="3">
        <f t="shared" si="150"/>
        <v>-0.51288864528964129</v>
      </c>
      <c r="U211" s="3">
        <f t="shared" si="151"/>
        <v>0.91292046304706653</v>
      </c>
      <c r="V211" s="3">
        <f t="shared" si="152"/>
        <v>-0.7494168726878454</v>
      </c>
      <c r="W211" s="3">
        <f t="shared" si="153"/>
        <v>-0.52134261554263905</v>
      </c>
      <c r="X211" s="3">
        <f t="shared" si="154"/>
        <v>-0.7477866466682398</v>
      </c>
      <c r="Y211" s="3">
        <f t="shared" si="155"/>
        <v>-0.52020852538806517</v>
      </c>
      <c r="Z211" s="3">
        <f t="shared" si="156"/>
        <v>0.27550498532610296</v>
      </c>
      <c r="AA211" s="3">
        <f t="shared" si="157"/>
        <v>-0.22616218265484772</v>
      </c>
      <c r="AB211" s="3">
        <f t="shared" si="158"/>
        <v>-0.1573329719935764</v>
      </c>
      <c r="AC211" s="3">
        <f t="shared" si="159"/>
        <v>-0.22567020617519848</v>
      </c>
      <c r="AD211" s="3">
        <f t="shared" si="160"/>
        <v>-0.15699072148650431</v>
      </c>
      <c r="AE211" s="3">
        <f t="shared" si="136"/>
        <v>-0.55814906637253736</v>
      </c>
      <c r="AF211" s="3">
        <f t="shared" si="161"/>
        <v>0.45818485261950193</v>
      </c>
      <c r="AG211" s="3">
        <f t="shared" si="162"/>
        <v>0.31874287619110864</v>
      </c>
      <c r="AH211" s="3">
        <f t="shared" si="163"/>
        <v>0.45718815118969491</v>
      </c>
      <c r="AI211" s="3">
        <f t="shared" si="164"/>
        <v>0.31804950652027775</v>
      </c>
      <c r="AJ211" s="3">
        <f t="shared" si="137"/>
        <v>-0.99424088622164453</v>
      </c>
      <c r="AK211" s="3">
        <f t="shared" si="165"/>
        <v>0.81617284945468727</v>
      </c>
      <c r="AL211" s="3">
        <f t="shared" si="166"/>
        <v>0.56778236996917886</v>
      </c>
      <c r="AM211" s="3">
        <f t="shared" si="167"/>
        <v>0.81439740742213129</v>
      </c>
      <c r="AN211" s="3">
        <f t="shared" si="168"/>
        <v>0.56654725820864793</v>
      </c>
      <c r="AO211" s="3">
        <f t="shared" si="138"/>
        <v>-0.72214801216586288</v>
      </c>
      <c r="AP211" s="3">
        <f t="shared" si="169"/>
        <v>0.59281167067802221</v>
      </c>
      <c r="AQ211" s="3">
        <f t="shared" si="170"/>
        <v>0.41239795656991246</v>
      </c>
      <c r="AR211" s="3"/>
      <c r="AS211" s="2"/>
      <c r="AT211" s="2"/>
    </row>
    <row r="212" spans="1:46">
      <c r="A212">
        <f t="shared" si="171"/>
        <v>209</v>
      </c>
      <c r="B212" s="1">
        <f t="shared" si="129"/>
        <v>25.776596999999999</v>
      </c>
      <c r="C212" s="1">
        <f t="shared" si="130"/>
        <v>161.95913553948938</v>
      </c>
      <c r="D212" s="1">
        <f t="shared" si="131"/>
        <v>-0.98606894205273821</v>
      </c>
      <c r="E212" s="1">
        <f t="shared" si="132"/>
        <v>0.1663371321112446</v>
      </c>
      <c r="F212" s="2">
        <f t="shared" si="133"/>
        <v>-32310.521024242073</v>
      </c>
      <c r="G212" s="2">
        <f t="shared" si="134"/>
        <v>5450.3688078891519</v>
      </c>
      <c r="H212" s="2">
        <f t="shared" si="135"/>
        <v>-8077.8767732960314</v>
      </c>
      <c r="I212" s="3">
        <f t="shared" si="139"/>
        <v>0.99851886084842001</v>
      </c>
      <c r="J212" s="3">
        <f t="shared" si="140"/>
        <v>0.99703991547002635</v>
      </c>
      <c r="K212" s="3">
        <f t="shared" si="141"/>
        <v>0.84290242558075701</v>
      </c>
      <c r="L212" s="3">
        <f t="shared" si="142"/>
        <v>-0.83115990304610399</v>
      </c>
      <c r="M212" s="3">
        <f t="shared" si="143"/>
        <v>0.14020597212071489</v>
      </c>
      <c r="N212" s="3">
        <f t="shared" si="144"/>
        <v>-0.82869959947516281</v>
      </c>
      <c r="O212" s="3">
        <f t="shared" si="145"/>
        <v>0.13979095059163044</v>
      </c>
      <c r="P212" s="3">
        <f t="shared" si="146"/>
        <v>0.95314902174804017</v>
      </c>
      <c r="Q212" s="3">
        <f t="shared" si="147"/>
        <v>-0.93987064749369231</v>
      </c>
      <c r="R212" s="3">
        <f t="shared" si="148"/>
        <v>0.1585440747522073</v>
      </c>
      <c r="S212" s="3">
        <f t="shared" si="149"/>
        <v>-0.93708855092986998</v>
      </c>
      <c r="T212" s="3">
        <f t="shared" si="150"/>
        <v>0.15807477088921432</v>
      </c>
      <c r="U212" s="3">
        <f t="shared" si="151"/>
        <v>0.37835961261793571</v>
      </c>
      <c r="V212" s="3">
        <f t="shared" si="152"/>
        <v>-0.3730886629296517</v>
      </c>
      <c r="W212" s="3">
        <f t="shared" si="153"/>
        <v>6.2935252869588898E-2</v>
      </c>
      <c r="X212" s="3">
        <f t="shared" si="154"/>
        <v>-0.37198428895020508</v>
      </c>
      <c r="Y212" s="3">
        <f t="shared" si="155"/>
        <v>6.2748959201179649E-2</v>
      </c>
      <c r="Z212" s="3">
        <f t="shared" si="156"/>
        <v>-0.46835994770545331</v>
      </c>
      <c r="AA212" s="3">
        <f t="shared" si="157"/>
        <v>0.46183519813379215</v>
      </c>
      <c r="AB212" s="3">
        <f t="shared" si="158"/>
        <v>-7.7905650497097592E-2</v>
      </c>
      <c r="AC212" s="3">
        <f t="shared" si="159"/>
        <v>0.460468126908399</v>
      </c>
      <c r="AD212" s="3">
        <f t="shared" si="160"/>
        <v>-7.7675043186263601E-2</v>
      </c>
      <c r="AE212" s="3">
        <f t="shared" si="136"/>
        <v>-0.97846537918145604</v>
      </c>
      <c r="AF212" s="3">
        <f t="shared" si="161"/>
        <v>0.96483432128468971</v>
      </c>
      <c r="AG212" s="3">
        <f t="shared" si="162"/>
        <v>-0.1627551250431849</v>
      </c>
      <c r="AH212" s="3">
        <f t="shared" si="163"/>
        <v>0.96197833013626732</v>
      </c>
      <c r="AI212" s="3">
        <f t="shared" si="164"/>
        <v>-0.16227335611537064</v>
      </c>
      <c r="AJ212" s="3">
        <f t="shared" si="137"/>
        <v>-0.78533973200937168</v>
      </c>
      <c r="AK212" s="3">
        <f t="shared" si="165"/>
        <v>0.7743991186944621</v>
      </c>
      <c r="AL212" s="3">
        <f t="shared" si="166"/>
        <v>-0.13063115875545228</v>
      </c>
      <c r="AM212" s="3">
        <f t="shared" si="167"/>
        <v>0.7721068318431894</v>
      </c>
      <c r="AN212" s="3">
        <f t="shared" si="168"/>
        <v>-0.13024447948328774</v>
      </c>
      <c r="AO212" s="3">
        <f t="shared" si="138"/>
        <v>-2.7783989918486043E-2</v>
      </c>
      <c r="AP212" s="3">
        <f t="shared" si="169"/>
        <v>2.7396929544925477E-2</v>
      </c>
      <c r="AQ212" s="3">
        <f t="shared" si="170"/>
        <v>-4.6215092016487005E-3</v>
      </c>
      <c r="AR212" s="3"/>
      <c r="AS212" s="2"/>
      <c r="AT212" s="2"/>
    </row>
    <row r="213" spans="1:46">
      <c r="A213">
        <f t="shared" si="171"/>
        <v>210</v>
      </c>
      <c r="B213" s="1">
        <f t="shared" si="129"/>
        <v>25.899930000000001</v>
      </c>
      <c r="C213" s="1">
        <f t="shared" si="130"/>
        <v>162.73405963297978</v>
      </c>
      <c r="D213" s="1">
        <f t="shared" si="131"/>
        <v>-0.5881410196876331</v>
      </c>
      <c r="E213" s="1">
        <f t="shared" si="132"/>
        <v>0.80875839467716881</v>
      </c>
      <c r="F213" s="2">
        <f t="shared" si="133"/>
        <v>-19271.616792104673</v>
      </c>
      <c r="G213" s="2">
        <f t="shared" si="134"/>
        <v>26500.586318386791</v>
      </c>
      <c r="H213" s="2">
        <f t="shared" si="135"/>
        <v>-4818.0512332810904</v>
      </c>
      <c r="I213" s="3">
        <f t="shared" si="139"/>
        <v>0.99806559713359433</v>
      </c>
      <c r="J213" s="3">
        <f t="shared" si="140"/>
        <v>0.99613493618163818</v>
      </c>
      <c r="K213" s="3">
        <f t="shared" si="141"/>
        <v>0.98278125303889874</v>
      </c>
      <c r="L213" s="3">
        <f t="shared" si="142"/>
        <v>-0.57801396829218765</v>
      </c>
      <c r="M213" s="3">
        <f t="shared" si="143"/>
        <v>0.79483258852655614</v>
      </c>
      <c r="N213" s="3">
        <f t="shared" si="144"/>
        <v>-0.57577990741683382</v>
      </c>
      <c r="O213" s="3">
        <f t="shared" si="145"/>
        <v>0.79176050984698731</v>
      </c>
      <c r="P213" s="3">
        <f t="shared" si="146"/>
        <v>0.48407841415627639</v>
      </c>
      <c r="Q213" s="3">
        <f t="shared" si="147"/>
        <v>-0.28470637211064476</v>
      </c>
      <c r="R213" s="3">
        <f t="shared" si="148"/>
        <v>0.39150248113089975</v>
      </c>
      <c r="S213" s="3">
        <f t="shared" si="149"/>
        <v>-0.28360596381294284</v>
      </c>
      <c r="T213" s="3">
        <f t="shared" si="150"/>
        <v>0.38998929905628182</v>
      </c>
      <c r="U213" s="3">
        <f t="shared" si="151"/>
        <v>-0.36565486483345988</v>
      </c>
      <c r="V213" s="3">
        <f t="shared" si="152"/>
        <v>0.21505662505689474</v>
      </c>
      <c r="W213" s="3">
        <f t="shared" si="153"/>
        <v>-0.29572644148860616</v>
      </c>
      <c r="X213" s="3">
        <f t="shared" si="154"/>
        <v>0.21422541747648835</v>
      </c>
      <c r="Y213" s="3">
        <f t="shared" si="155"/>
        <v>-0.29458343991947566</v>
      </c>
      <c r="Z213" s="3">
        <f t="shared" si="156"/>
        <v>-0.95023277978261578</v>
      </c>
      <c r="AA213" s="3">
        <f t="shared" si="157"/>
        <v>0.55887087604196173</v>
      </c>
      <c r="AB213" s="3">
        <f t="shared" si="158"/>
        <v>-0.76850873754661198</v>
      </c>
      <c r="AC213" s="3">
        <f t="shared" si="159"/>
        <v>0.55671080443983578</v>
      </c>
      <c r="AD213" s="3">
        <f t="shared" si="160"/>
        <v>-0.76553840223102576</v>
      </c>
      <c r="AE213" s="3">
        <f t="shared" si="136"/>
        <v>-0.84574747452456223</v>
      </c>
      <c r="AF213" s="3">
        <f t="shared" si="161"/>
        <v>0.49741878206511653</v>
      </c>
      <c r="AG213" s="3">
        <f t="shared" si="162"/>
        <v>-0.6840053697987547</v>
      </c>
      <c r="AH213" s="3">
        <f t="shared" si="163"/>
        <v>0.49549622672798305</v>
      </c>
      <c r="AI213" s="3">
        <f t="shared" si="164"/>
        <v>-0.68136164539238031</v>
      </c>
      <c r="AJ213" s="3">
        <f t="shared" si="137"/>
        <v>-0.12796667928006891</v>
      </c>
      <c r="AK213" s="3">
        <f t="shared" si="165"/>
        <v>7.5262453237820034E-2</v>
      </c>
      <c r="AL213" s="3">
        <f t="shared" si="166"/>
        <v>-0.10349412610671666</v>
      </c>
      <c r="AM213" s="3">
        <f t="shared" si="167"/>
        <v>7.4971559052929404E-2</v>
      </c>
      <c r="AN213" s="3">
        <f t="shared" si="168"/>
        <v>-0.10309411470448861</v>
      </c>
      <c r="AO213" s="3">
        <f t="shared" si="138"/>
        <v>0.68260941200141079</v>
      </c>
      <c r="AP213" s="3">
        <f t="shared" si="169"/>
        <v>-0.4014705956228854</v>
      </c>
      <c r="AQ213" s="3">
        <f t="shared" si="170"/>
        <v>0.55206609224178715</v>
      </c>
      <c r="AR213" s="3"/>
      <c r="AS213" s="2"/>
      <c r="AT213" s="2"/>
    </row>
    <row r="214" spans="1:46">
      <c r="A214">
        <f t="shared" si="171"/>
        <v>211</v>
      </c>
      <c r="B214" s="1">
        <f t="shared" si="129"/>
        <v>26.023263</v>
      </c>
      <c r="C214" s="1">
        <f t="shared" si="130"/>
        <v>163.50898372647015</v>
      </c>
      <c r="D214" s="1">
        <f t="shared" si="131"/>
        <v>0.14564583768803752</v>
      </c>
      <c r="E214" s="1">
        <f t="shared" si="132"/>
        <v>0.98933679299020805</v>
      </c>
      <c r="F214" s="2">
        <f t="shared" si="133"/>
        <v>4772.3771635239254</v>
      </c>
      <c r="G214" s="2">
        <f t="shared" si="134"/>
        <v>32417.598695910146</v>
      </c>
      <c r="H214" s="2">
        <f t="shared" si="135"/>
        <v>1193.1307023404033</v>
      </c>
      <c r="I214" s="3">
        <f t="shared" si="139"/>
        <v>0.99755198110666632</v>
      </c>
      <c r="J214" s="3">
        <f t="shared" si="140"/>
        <v>0.99510995500983479</v>
      </c>
      <c r="K214" s="3">
        <f t="shared" si="141"/>
        <v>0.58993097658575167</v>
      </c>
      <c r="L214" s="3">
        <f t="shared" si="142"/>
        <v>8.5920991262953841E-2</v>
      </c>
      <c r="M214" s="3">
        <f t="shared" si="143"/>
        <v>0.58364042046092901</v>
      </c>
      <c r="N214" s="3">
        <f t="shared" si="144"/>
        <v>8.5500833750078414E-2</v>
      </c>
      <c r="O214" s="3">
        <f t="shared" si="145"/>
        <v>0.5807863925467962</v>
      </c>
      <c r="P214" s="3">
        <f t="shared" si="146"/>
        <v>-0.25017536727166328</v>
      </c>
      <c r="Q214" s="3">
        <f t="shared" si="147"/>
        <v>-3.6437000935193843E-2</v>
      </c>
      <c r="R214" s="3">
        <f t="shared" si="148"/>
        <v>-0.2475076955416948</v>
      </c>
      <c r="S214" s="3">
        <f t="shared" si="149"/>
        <v>-3.6258822361314051E-2</v>
      </c>
      <c r="T214" s="3">
        <f t="shared" si="150"/>
        <v>-0.24629737177508382</v>
      </c>
      <c r="U214" s="3">
        <f t="shared" si="151"/>
        <v>-0.90724885361858287</v>
      </c>
      <c r="V214" s="3">
        <f t="shared" si="152"/>
        <v>-0.13213701927679022</v>
      </c>
      <c r="W214" s="3">
        <f t="shared" si="153"/>
        <v>-0.89757467128305146</v>
      </c>
      <c r="X214" s="3">
        <f t="shared" si="154"/>
        <v>-0.13149086330766041</v>
      </c>
      <c r="Y214" s="3">
        <f t="shared" si="155"/>
        <v>-0.89318549075844467</v>
      </c>
      <c r="Z214" s="3">
        <f t="shared" si="156"/>
        <v>-0.900562546338045</v>
      </c>
      <c r="AA214" s="3">
        <f t="shared" si="157"/>
        <v>-0.13116318645187666</v>
      </c>
      <c r="AB214" s="3">
        <f t="shared" si="158"/>
        <v>-0.89095966148117711</v>
      </c>
      <c r="AC214" s="3">
        <f t="shared" si="159"/>
        <v>-0.13052179256907356</v>
      </c>
      <c r="AD214" s="3">
        <f t="shared" si="160"/>
        <v>-0.88660282865211171</v>
      </c>
      <c r="AE214" s="3">
        <f t="shared" si="136"/>
        <v>-0.2350082696775353</v>
      </c>
      <c r="AF214" s="3">
        <f t="shared" si="161"/>
        <v>-3.4227976300800857E-2</v>
      </c>
      <c r="AG214" s="3">
        <f t="shared" si="162"/>
        <v>-0.23250232784895072</v>
      </c>
      <c r="AH214" s="3">
        <f t="shared" si="163"/>
        <v>-3.4060599956767627E-2</v>
      </c>
      <c r="AI214" s="3">
        <f t="shared" si="164"/>
        <v>-0.2313653810054512</v>
      </c>
      <c r="AJ214" s="3">
        <f t="shared" si="137"/>
        <v>0.60248233951152741</v>
      </c>
      <c r="AK214" s="3">
        <f t="shared" si="165"/>
        <v>8.7749045030405037E-2</v>
      </c>
      <c r="AL214" s="3">
        <f t="shared" si="166"/>
        <v>0.59605794560557224</v>
      </c>
      <c r="AM214" s="3">
        <f t="shared" si="167"/>
        <v>8.731994825236232E-2</v>
      </c>
      <c r="AN214" s="3">
        <f t="shared" si="168"/>
        <v>0.59314319543481553</v>
      </c>
      <c r="AO214" s="3">
        <f t="shared" si="138"/>
        <v>0.99918589039420458</v>
      </c>
      <c r="AP214" s="3">
        <f t="shared" si="169"/>
        <v>0.14552726601253158</v>
      </c>
      <c r="AQ214" s="3">
        <f t="shared" si="170"/>
        <v>0.98853136440366784</v>
      </c>
      <c r="AR214" s="3"/>
      <c r="AS214" s="2"/>
      <c r="AT214" s="2"/>
    </row>
    <row r="215" spans="1:46">
      <c r="A215">
        <f t="shared" si="171"/>
        <v>212</v>
      </c>
      <c r="B215" s="1">
        <f t="shared" si="129"/>
        <v>26.146595999999999</v>
      </c>
      <c r="C215" s="1">
        <f t="shared" si="130"/>
        <v>164.28390781996055</v>
      </c>
      <c r="D215" s="1">
        <f t="shared" si="131"/>
        <v>0.79626139039838062</v>
      </c>
      <c r="E215" s="1">
        <f t="shared" si="132"/>
        <v>0.60495272390562693</v>
      </c>
      <c r="F215" s="2">
        <f t="shared" si="133"/>
        <v>26091.096979183738</v>
      </c>
      <c r="G215" s="2">
        <f t="shared" si="134"/>
        <v>19822.485904215679</v>
      </c>
      <c r="H215" s="2">
        <f t="shared" si="135"/>
        <v>6522.973310143534</v>
      </c>
      <c r="I215" s="3">
        <f t="shared" si="139"/>
        <v>0.99697804382562927</v>
      </c>
      <c r="J215" s="3">
        <f t="shared" si="140"/>
        <v>0.99396521987037834</v>
      </c>
      <c r="K215" s="3">
        <f t="shared" si="141"/>
        <v>-0.12269890448873037</v>
      </c>
      <c r="L215" s="3">
        <f t="shared" si="142"/>
        <v>-9.7700400288554548E-2</v>
      </c>
      <c r="M215" s="3">
        <f t="shared" si="143"/>
        <v>-7.4227036490693801E-2</v>
      </c>
      <c r="N215" s="3">
        <f t="shared" si="144"/>
        <v>-9.7110799854237109E-2</v>
      </c>
      <c r="O215" s="3">
        <f t="shared" si="145"/>
        <v>-7.3779092645799058E-2</v>
      </c>
      <c r="P215" s="3">
        <f t="shared" si="146"/>
        <v>-0.84738048887790485</v>
      </c>
      <c r="Q215" s="3">
        <f t="shared" si="147"/>
        <v>-0.67473636627038003</v>
      </c>
      <c r="R215" s="3">
        <f t="shared" si="148"/>
        <v>-0.51262513493117035</v>
      </c>
      <c r="S215" s="3">
        <f t="shared" si="149"/>
        <v>-0.67066448065447837</v>
      </c>
      <c r="T215" s="3">
        <f t="shared" si="150"/>
        <v>-0.50953155495294311</v>
      </c>
      <c r="U215" s="3">
        <f t="shared" si="151"/>
        <v>-0.94660487443620212</v>
      </c>
      <c r="V215" s="3">
        <f t="shared" si="152"/>
        <v>-0.75374491347645478</v>
      </c>
      <c r="W215" s="3">
        <f t="shared" si="153"/>
        <v>-0.57265119725252445</v>
      </c>
      <c r="X215" s="3">
        <f t="shared" si="154"/>
        <v>-0.74919622864980362</v>
      </c>
      <c r="Y215" s="3">
        <f t="shared" si="155"/>
        <v>-0.56919537318614077</v>
      </c>
      <c r="Z215" s="3">
        <f t="shared" si="156"/>
        <v>-0.34713387942402818</v>
      </c>
      <c r="AA215" s="3">
        <f t="shared" si="157"/>
        <v>-0.2764093054845605</v>
      </c>
      <c r="AB215" s="3">
        <f t="shared" si="158"/>
        <v>-0.20999958591749332</v>
      </c>
      <c r="AC215" s="3">
        <f t="shared" si="159"/>
        <v>-0.27474123610017975</v>
      </c>
      <c r="AD215" s="3">
        <f t="shared" si="160"/>
        <v>-0.20873228458916965</v>
      </c>
      <c r="AE215" s="3">
        <f t="shared" si="136"/>
        <v>0.50855895063573819</v>
      </c>
      <c r="AF215" s="3">
        <f t="shared" si="161"/>
        <v>0.40494585713275433</v>
      </c>
      <c r="AG215" s="3">
        <f t="shared" si="162"/>
        <v>0.30765412245367707</v>
      </c>
      <c r="AH215" s="3">
        <f t="shared" si="163"/>
        <v>0.40250209792055691</v>
      </c>
      <c r="AI215" s="3">
        <f t="shared" si="164"/>
        <v>0.30579749746869744</v>
      </c>
      <c r="AJ215" s="3">
        <f t="shared" si="137"/>
        <v>0.98888102236452224</v>
      </c>
      <c r="AK215" s="3">
        <f t="shared" si="165"/>
        <v>0.78740777780654658</v>
      </c>
      <c r="AL215" s="3">
        <f t="shared" si="166"/>
        <v>0.59822626809799895</v>
      </c>
      <c r="AM215" s="3">
        <f t="shared" si="167"/>
        <v>0.78265594499513003</v>
      </c>
      <c r="AN215" s="3">
        <f t="shared" si="168"/>
        <v>0.5946161041022634</v>
      </c>
      <c r="AO215" s="3">
        <f t="shared" si="138"/>
        <v>0.73930340635778291</v>
      </c>
      <c r="AP215" s="3">
        <f t="shared" si="169"/>
        <v>0.58867875827270721</v>
      </c>
      <c r="AQ215" s="3">
        <f t="shared" si="170"/>
        <v>0.44724360946884933</v>
      </c>
      <c r="AR215" s="3"/>
      <c r="AS215" s="2"/>
      <c r="AT215" s="2"/>
    </row>
    <row r="216" spans="1:46">
      <c r="A216">
        <f t="shared" si="171"/>
        <v>213</v>
      </c>
      <c r="B216" s="1">
        <f t="shared" si="129"/>
        <v>26.269929000000001</v>
      </c>
      <c r="C216" s="1">
        <f t="shared" si="130"/>
        <v>165.05883191345092</v>
      </c>
      <c r="D216" s="1">
        <f t="shared" si="131"/>
        <v>0.99217051451905003</v>
      </c>
      <c r="E216" s="1">
        <f t="shared" si="132"/>
        <v>-0.1248906326311285</v>
      </c>
      <c r="F216" s="2">
        <f t="shared" si="133"/>
        <v>32510.451249245711</v>
      </c>
      <c r="G216" s="2">
        <f t="shared" si="134"/>
        <v>-4092.2913594241877</v>
      </c>
      <c r="H216" s="2">
        <f t="shared" si="135"/>
        <v>8127.8608549400578</v>
      </c>
      <c r="I216" s="3">
        <f t="shared" si="139"/>
        <v>0.9963438199960597</v>
      </c>
      <c r="J216" s="3">
        <f t="shared" si="140"/>
        <v>0.99270100764434066</v>
      </c>
      <c r="K216" s="3">
        <f t="shared" si="141"/>
        <v>-0.76881828056825308</v>
      </c>
      <c r="L216" s="3">
        <f t="shared" si="142"/>
        <v>-0.76279882900305507</v>
      </c>
      <c r="M216" s="3">
        <f t="shared" si="143"/>
        <v>9.6018201438545572E-2</v>
      </c>
      <c r="N216" s="3">
        <f t="shared" si="144"/>
        <v>-0.75723116618125585</v>
      </c>
      <c r="O216" s="3">
        <f t="shared" si="145"/>
        <v>9.5317365320241473E-2</v>
      </c>
      <c r="P216" s="3">
        <f t="shared" si="146"/>
        <v>-0.98038179367245692</v>
      </c>
      <c r="Q216" s="3">
        <f t="shared" si="147"/>
        <v>-0.97270590865311068</v>
      </c>
      <c r="R216" s="3">
        <f t="shared" si="148"/>
        <v>0.12244050243179364</v>
      </c>
      <c r="S216" s="3">
        <f t="shared" si="149"/>
        <v>-0.96560613566154696</v>
      </c>
      <c r="T216" s="3">
        <f t="shared" si="150"/>
        <v>0.12154681014052088</v>
      </c>
      <c r="U216" s="3">
        <f t="shared" si="151"/>
        <v>-0.46193608474150388</v>
      </c>
      <c r="V216" s="3">
        <f t="shared" si="152"/>
        <v>-0.45831936287289338</v>
      </c>
      <c r="W216" s="3">
        <f t="shared" si="153"/>
        <v>5.7691489858513002E-2</v>
      </c>
      <c r="X216" s="3">
        <f t="shared" si="154"/>
        <v>-0.45497409334683353</v>
      </c>
      <c r="Y216" s="3">
        <f t="shared" si="155"/>
        <v>5.7270400115049122E-2</v>
      </c>
      <c r="Z216" s="3">
        <f t="shared" si="156"/>
        <v>0.40047521395107089</v>
      </c>
      <c r="AA216" s="3">
        <f t="shared" si="157"/>
        <v>0.39733969907796063</v>
      </c>
      <c r="AB216" s="3">
        <f t="shared" si="158"/>
        <v>-5.0015602823435777E-2</v>
      </c>
      <c r="AC216" s="3">
        <f t="shared" si="159"/>
        <v>0.39443951965179064</v>
      </c>
      <c r="AD216" s="3">
        <f t="shared" si="160"/>
        <v>-4.9650539320763833E-2</v>
      </c>
      <c r="AE216" s="3">
        <f t="shared" si="136"/>
        <v>0.96468574915777194</v>
      </c>
      <c r="AF216" s="3">
        <f t="shared" si="161"/>
        <v>0.95713275609106185</v>
      </c>
      <c r="AG216" s="3">
        <f t="shared" si="162"/>
        <v>-0.12048021350254827</v>
      </c>
      <c r="AH216" s="3">
        <f t="shared" si="163"/>
        <v>0.95014665142100208</v>
      </c>
      <c r="AI216" s="3">
        <f t="shared" si="164"/>
        <v>-0.11960082934518497</v>
      </c>
      <c r="AJ216" s="3">
        <f t="shared" si="137"/>
        <v>0.81057460826209993</v>
      </c>
      <c r="AK216" s="3">
        <f t="shared" si="165"/>
        <v>0.80422822613548506</v>
      </c>
      <c r="AL216" s="3">
        <f t="shared" si="166"/>
        <v>-0.10123317562058282</v>
      </c>
      <c r="AM216" s="3">
        <f t="shared" si="167"/>
        <v>0.79835817046071678</v>
      </c>
      <c r="AN216" s="3">
        <f t="shared" si="168"/>
        <v>-0.10049427544558907</v>
      </c>
      <c r="AO216" s="3">
        <f t="shared" si="138"/>
        <v>5.2895609417662949E-2</v>
      </c>
      <c r="AP216" s="3">
        <f t="shared" si="169"/>
        <v>5.2481464011721358E-2</v>
      </c>
      <c r="AQ216" s="3">
        <f t="shared" si="170"/>
        <v>-6.6061661235810041E-3</v>
      </c>
      <c r="AR216" s="3"/>
      <c r="AS216" s="2"/>
      <c r="AT216" s="2"/>
    </row>
    <row r="217" spans="1:46">
      <c r="A217">
        <f t="shared" si="171"/>
        <v>214</v>
      </c>
      <c r="B217" s="1">
        <f t="shared" si="129"/>
        <v>26.393262</v>
      </c>
      <c r="C217" s="1">
        <f t="shared" si="130"/>
        <v>165.83375600694131</v>
      </c>
      <c r="D217" s="1">
        <f t="shared" si="131"/>
        <v>0.62149896971740592</v>
      </c>
      <c r="E217" s="1">
        <f t="shared" si="132"/>
        <v>-0.78341497984159258</v>
      </c>
      <c r="F217" s="2">
        <f t="shared" si="133"/>
        <v>20364.656740730239</v>
      </c>
      <c r="G217" s="2">
        <f t="shared" si="134"/>
        <v>-25670.158644469466</v>
      </c>
      <c r="H217" s="2">
        <f t="shared" si="135"/>
        <v>5091.3195599249893</v>
      </c>
      <c r="I217" s="3">
        <f t="shared" si="139"/>
        <v>0.99564934796901861</v>
      </c>
      <c r="J217" s="3">
        <f t="shared" si="140"/>
        <v>0.99131762411113189</v>
      </c>
      <c r="K217" s="3">
        <f t="shared" si="141"/>
        <v>-0.99818990895594562</v>
      </c>
      <c r="L217" s="3">
        <f t="shared" si="142"/>
        <v>-0.62037399999843146</v>
      </c>
      <c r="M217" s="3">
        <f t="shared" si="143"/>
        <v>0.78199692740280324</v>
      </c>
      <c r="N217" s="3">
        <f t="shared" si="144"/>
        <v>-0.61498767973876445</v>
      </c>
      <c r="O217" s="3">
        <f t="shared" si="145"/>
        <v>0.77520733613515225</v>
      </c>
      <c r="P217" s="3">
        <f t="shared" si="146"/>
        <v>-0.57631978803124384</v>
      </c>
      <c r="Q217" s="3">
        <f t="shared" si="147"/>
        <v>-0.35818215448917184</v>
      </c>
      <c r="R217" s="3">
        <f t="shared" si="148"/>
        <v>0.45149755512280781</v>
      </c>
      <c r="S217" s="3">
        <f t="shared" si="149"/>
        <v>-0.35507228238721222</v>
      </c>
      <c r="T217" s="3">
        <f t="shared" si="150"/>
        <v>0.44757748363632666</v>
      </c>
      <c r="U217" s="3">
        <f t="shared" si="151"/>
        <v>0.27845288537126217</v>
      </c>
      <c r="V217" s="3">
        <f t="shared" si="152"/>
        <v>0.17305818137307838</v>
      </c>
      <c r="W217" s="3">
        <f t="shared" si="153"/>
        <v>-0.21814416157996064</v>
      </c>
      <c r="X217" s="3">
        <f t="shared" si="154"/>
        <v>0.17155562519175338</v>
      </c>
      <c r="Y217" s="3">
        <f t="shared" si="155"/>
        <v>-0.21625015197116143</v>
      </c>
      <c r="Z217" s="3">
        <f t="shared" si="156"/>
        <v>0.92406570112978936</v>
      </c>
      <c r="AA217" s="3">
        <f t="shared" si="157"/>
        <v>0.57430588120335646</v>
      </c>
      <c r="AB217" s="3">
        <f t="shared" si="158"/>
        <v>-0.7239269126229011</v>
      </c>
      <c r="AC217" s="3">
        <f t="shared" si="159"/>
        <v>0.56931954166756127</v>
      </c>
      <c r="AD217" s="3">
        <f t="shared" si="160"/>
        <v>-0.71764150705144125</v>
      </c>
      <c r="AE217" s="3">
        <f t="shared" si="136"/>
        <v>0.87556665575852255</v>
      </c>
      <c r="AF217" s="3">
        <f t="shared" si="161"/>
        <v>0.54416377447283637</v>
      </c>
      <c r="AG217" s="3">
        <f t="shared" si="162"/>
        <v>-0.68593203397103353</v>
      </c>
      <c r="AH217" s="3">
        <f t="shared" si="163"/>
        <v>0.53943914003775795</v>
      </c>
      <c r="AI217" s="3">
        <f t="shared" si="164"/>
        <v>-0.67997651421788119</v>
      </c>
      <c r="AJ217" s="3">
        <f t="shared" si="137"/>
        <v>0.16938580245011703</v>
      </c>
      <c r="AK217" s="3">
        <f t="shared" si="165"/>
        <v>0.10527310170750379</v>
      </c>
      <c r="AL217" s="3">
        <f t="shared" si="166"/>
        <v>-0.13269937501191043</v>
      </c>
      <c r="AM217" s="3">
        <f t="shared" si="167"/>
        <v>0.1043590810674922</v>
      </c>
      <c r="AN217" s="3">
        <f t="shared" si="168"/>
        <v>-0.13154722915783915</v>
      </c>
      <c r="AO217" s="3">
        <f t="shared" si="138"/>
        <v>-0.6640291798210336</v>
      </c>
      <c r="AP217" s="3">
        <f t="shared" si="169"/>
        <v>-0.41269345112106648</v>
      </c>
      <c r="AQ217" s="3">
        <f t="shared" si="170"/>
        <v>0.5202104065237243</v>
      </c>
      <c r="AR217" s="3"/>
      <c r="AS217" s="2"/>
      <c r="AT217" s="2"/>
    </row>
    <row r="218" spans="1:46">
      <c r="A218">
        <f t="shared" si="171"/>
        <v>215</v>
      </c>
      <c r="B218" s="1">
        <f t="shared" si="129"/>
        <v>26.516594999999999</v>
      </c>
      <c r="C218" s="1">
        <f t="shared" si="130"/>
        <v>166.60868010043168</v>
      </c>
      <c r="D218" s="1">
        <f t="shared" si="131"/>
        <v>-0.10408062450122001</v>
      </c>
      <c r="E218" s="1">
        <f t="shared" si="132"/>
        <v>-0.99456886317812909</v>
      </c>
      <c r="F218" s="2">
        <f t="shared" si="133"/>
        <v>-3410.4098230314758</v>
      </c>
      <c r="G218" s="2">
        <f t="shared" si="134"/>
        <v>-32589.037939757756</v>
      </c>
      <c r="H218" s="2">
        <f t="shared" si="135"/>
        <v>-852.62847591399429</v>
      </c>
      <c r="I218" s="3">
        <f t="shared" si="139"/>
        <v>0.99489466973873208</v>
      </c>
      <c r="J218" s="3">
        <f t="shared" si="140"/>
        <v>0.98981540387454081</v>
      </c>
      <c r="K218" s="3">
        <f t="shared" si="141"/>
        <v>-0.68647997510677217</v>
      </c>
      <c r="L218" s="3">
        <f t="shared" si="142"/>
        <v>7.144926451669481E-2</v>
      </c>
      <c r="M218" s="3">
        <f t="shared" si="143"/>
        <v>0.68275160843649274</v>
      </c>
      <c r="N218" s="3">
        <f t="shared" si="144"/>
        <v>7.0721582614131182E-2</v>
      </c>
      <c r="O218" s="3">
        <f t="shared" si="145"/>
        <v>0.67579805905055945</v>
      </c>
      <c r="P218" s="3">
        <f t="shared" si="146"/>
        <v>0.14345617234409866</v>
      </c>
      <c r="Q218" s="3">
        <f t="shared" si="147"/>
        <v>-1.4931008006128435E-2</v>
      </c>
      <c r="R218" s="3">
        <f t="shared" si="148"/>
        <v>-0.14267704224415598</v>
      </c>
      <c r="S218" s="3">
        <f t="shared" si="149"/>
        <v>-1.4778941719840019E-2</v>
      </c>
      <c r="T218" s="3">
        <f t="shared" si="150"/>
        <v>-0.14122393419252416</v>
      </c>
      <c r="U218" s="3">
        <f t="shared" si="151"/>
        <v>0.86469494114431034</v>
      </c>
      <c r="V218" s="3">
        <f t="shared" si="152"/>
        <v>-8.9997989477345497E-2</v>
      </c>
      <c r="W218" s="3">
        <f t="shared" si="153"/>
        <v>-0.85999866460977592</v>
      </c>
      <c r="X218" s="3">
        <f t="shared" si="154"/>
        <v>-8.9081396302415405E-2</v>
      </c>
      <c r="Y218" s="3">
        <f t="shared" si="155"/>
        <v>-0.85123992554229122</v>
      </c>
      <c r="Z218" s="3">
        <f t="shared" si="156"/>
        <v>0.93075051427523581</v>
      </c>
      <c r="AA218" s="3">
        <f t="shared" si="157"/>
        <v>-9.6873094780598232E-2</v>
      </c>
      <c r="AB218" s="3">
        <f t="shared" si="158"/>
        <v>-0.92569548088518028</v>
      </c>
      <c r="AC218" s="3">
        <f t="shared" si="159"/>
        <v>-9.5886481434834511E-2</v>
      </c>
      <c r="AD218" s="3">
        <f t="shared" si="160"/>
        <v>-0.91626764627720192</v>
      </c>
      <c r="AE218" s="3">
        <f t="shared" si="136"/>
        <v>0.29157229072559521</v>
      </c>
      <c r="AF218" s="3">
        <f t="shared" si="161"/>
        <v>-3.0347026105971227E-2</v>
      </c>
      <c r="AG218" s="3">
        <f t="shared" si="162"/>
        <v>-0.28998872172119816</v>
      </c>
      <c r="AH218" s="3">
        <f t="shared" si="163"/>
        <v>-3.0037953901473142E-2</v>
      </c>
      <c r="AI218" s="3">
        <f t="shared" si="164"/>
        <v>-0.28703530370952957</v>
      </c>
      <c r="AJ218" s="3">
        <f t="shared" si="137"/>
        <v>-0.56853155192548466</v>
      </c>
      <c r="AK218" s="3">
        <f t="shared" si="165"/>
        <v>5.9173118973052233E-2</v>
      </c>
      <c r="AL218" s="3">
        <f t="shared" si="166"/>
        <v>0.56544377927942679</v>
      </c>
      <c r="AM218" s="3">
        <f t="shared" si="167"/>
        <v>5.8570464654827945E-2</v>
      </c>
      <c r="AN218" s="3">
        <f t="shared" si="168"/>
        <v>0.55968496275581248</v>
      </c>
      <c r="AO218" s="3">
        <f t="shared" si="138"/>
        <v>-0.99785651371901085</v>
      </c>
      <c r="AP218" s="3">
        <f t="shared" si="169"/>
        <v>0.10385752911048486</v>
      </c>
      <c r="AQ218" s="3">
        <f t="shared" si="170"/>
        <v>0.99243701846440779</v>
      </c>
      <c r="AR218" s="3"/>
      <c r="AS218" s="2"/>
      <c r="AT218" s="2"/>
    </row>
    <row r="219" spans="1:46">
      <c r="A219">
        <f t="shared" si="171"/>
        <v>216</v>
      </c>
      <c r="B219" s="1">
        <f t="shared" si="129"/>
        <v>26.639928000000001</v>
      </c>
      <c r="C219" s="1">
        <f t="shared" si="130"/>
        <v>167.38360419392205</v>
      </c>
      <c r="D219" s="1">
        <f t="shared" si="131"/>
        <v>-0.77022480012112193</v>
      </c>
      <c r="E219" s="1">
        <f t="shared" si="132"/>
        <v>-0.6377724964894439</v>
      </c>
      <c r="F219" s="2">
        <f t="shared" si="133"/>
        <v>-25237.956025568801</v>
      </c>
      <c r="G219" s="2">
        <f t="shared" si="134"/>
        <v>-20897.89139246961</v>
      </c>
      <c r="H219" s="2">
        <f t="shared" si="135"/>
        <v>-6309.6815625922309</v>
      </c>
      <c r="I219" s="3">
        <f t="shared" si="139"/>
        <v>0.99407983094005259</v>
      </c>
      <c r="J219" s="3">
        <f t="shared" si="140"/>
        <v>0.9881947102818035</v>
      </c>
      <c r="K219" s="3">
        <f t="shared" si="141"/>
        <v>-2.6548214557820019E-3</v>
      </c>
      <c r="L219" s="3">
        <f t="shared" si="142"/>
        <v>2.0448093251369585E-3</v>
      </c>
      <c r="M219" s="3">
        <f t="shared" si="143"/>
        <v>1.6931721075878271E-3</v>
      </c>
      <c r="N219" s="3">
        <f t="shared" si="144"/>
        <v>2.0206697586352467E-3</v>
      </c>
      <c r="O219" s="3">
        <f t="shared" si="145"/>
        <v>1.6731837203149834E-3</v>
      </c>
      <c r="P219" s="3">
        <f t="shared" si="146"/>
        <v>0.78464535426353377</v>
      </c>
      <c r="Q219" s="3">
        <f t="shared" si="147"/>
        <v>-0.60435331115359725</v>
      </c>
      <c r="R219" s="3">
        <f t="shared" si="148"/>
        <v>-0.50042522644749809</v>
      </c>
      <c r="S219" s="3">
        <f t="shared" si="149"/>
        <v>-0.59721874522327767</v>
      </c>
      <c r="T219" s="3">
        <f t="shared" si="150"/>
        <v>-0.49451756166699129</v>
      </c>
      <c r="U219" s="3">
        <f t="shared" si="151"/>
        <v>0.97225617145260035</v>
      </c>
      <c r="V219" s="3">
        <f t="shared" si="152"/>
        <v>-0.74885581532360634</v>
      </c>
      <c r="W219" s="3">
        <f t="shared" si="153"/>
        <v>-0.62007824569459369</v>
      </c>
      <c r="X219" s="3">
        <f t="shared" si="154"/>
        <v>-0.74001535546655495</v>
      </c>
      <c r="Y219" s="3">
        <f t="shared" si="155"/>
        <v>-0.612758042356218</v>
      </c>
      <c r="Z219" s="3">
        <f t="shared" si="156"/>
        <v>0.41679028957325226</v>
      </c>
      <c r="AA219" s="3">
        <f t="shared" si="157"/>
        <v>-0.32102221747898274</v>
      </c>
      <c r="AB219" s="3">
        <f t="shared" si="158"/>
        <v>-0.26581738349369133</v>
      </c>
      <c r="AC219" s="3">
        <f t="shared" si="159"/>
        <v>-0.31723245719566545</v>
      </c>
      <c r="AD219" s="3">
        <f t="shared" si="160"/>
        <v>-0.26267933226941537</v>
      </c>
      <c r="AE219" s="3">
        <f t="shared" si="136"/>
        <v>-0.45722039734152459</v>
      </c>
      <c r="AF219" s="3">
        <f t="shared" si="161"/>
        <v>0.35216248915367571</v>
      </c>
      <c r="AG219" s="3">
        <f t="shared" si="162"/>
        <v>0.29160259425839963</v>
      </c>
      <c r="AH219" s="3">
        <f t="shared" si="163"/>
        <v>0.34800510894133535</v>
      </c>
      <c r="AI219" s="3">
        <f t="shared" si="164"/>
        <v>0.28816014115060151</v>
      </c>
      <c r="AJ219" s="3">
        <f t="shared" si="137"/>
        <v>-0.98178632517013853</v>
      </c>
      <c r="AK219" s="3">
        <f t="shared" si="165"/>
        <v>0.75619617606582079</v>
      </c>
      <c r="AL219" s="3">
        <f t="shared" si="166"/>
        <v>0.62615631562295615</v>
      </c>
      <c r="AM219" s="3">
        <f t="shared" si="167"/>
        <v>0.74726906112357139</v>
      </c>
      <c r="AN219" s="3">
        <f t="shared" si="168"/>
        <v>0.61876435890814874</v>
      </c>
      <c r="AO219" s="3">
        <f t="shared" si="138"/>
        <v>-0.75599184067248049</v>
      </c>
      <c r="AP219" s="3">
        <f t="shared" si="169"/>
        <v>0.58228366437516033</v>
      </c>
      <c r="AQ219" s="3">
        <f t="shared" si="170"/>
        <v>0.48215080355133777</v>
      </c>
      <c r="AR219" s="3"/>
      <c r="AS219" s="2"/>
      <c r="AT219" s="2"/>
    </row>
    <row r="220" spans="1:46">
      <c r="A220">
        <f t="shared" si="171"/>
        <v>217</v>
      </c>
      <c r="B220" s="1">
        <f t="shared" si="129"/>
        <v>26.763261</v>
      </c>
      <c r="C220" s="1">
        <f t="shared" si="130"/>
        <v>168.15852828741245</v>
      </c>
      <c r="D220" s="1">
        <f t="shared" si="131"/>
        <v>-0.99653078655163241</v>
      </c>
      <c r="E220" s="1">
        <f t="shared" si="132"/>
        <v>8.3224944907069526E-2</v>
      </c>
      <c r="F220" s="2">
        <f t="shared" si="133"/>
        <v>-32653.324282937338</v>
      </c>
      <c r="G220" s="2">
        <f t="shared" si="134"/>
        <v>2727.031769769947</v>
      </c>
      <c r="H220" s="2">
        <f t="shared" si="135"/>
        <v>-8163.5802034309727</v>
      </c>
      <c r="I220" s="3">
        <f t="shared" si="139"/>
        <v>0.9932048808456988</v>
      </c>
      <c r="J220" s="3">
        <f t="shared" si="140"/>
        <v>0.98645593533571874</v>
      </c>
      <c r="K220" s="3">
        <f t="shared" si="141"/>
        <v>0.68260941200141079</v>
      </c>
      <c r="L220" s="3">
        <f t="shared" si="142"/>
        <v>-0.68024129424931323</v>
      </c>
      <c r="M220" s="3">
        <f t="shared" si="143"/>
        <v>5.6810130706864539E-2</v>
      </c>
      <c r="N220" s="3">
        <f t="shared" si="144"/>
        <v>-0.67102806217268607</v>
      </c>
      <c r="O220" s="3">
        <f t="shared" si="145"/>
        <v>5.6040690622984494E-2</v>
      </c>
      <c r="P220" s="3">
        <f t="shared" si="146"/>
        <v>0.99599767650378224</v>
      </c>
      <c r="Q220" s="3">
        <f t="shared" si="147"/>
        <v>-0.99254234796991248</v>
      </c>
      <c r="R220" s="3">
        <f t="shared" si="148"/>
        <v>8.2891851754596527E-2</v>
      </c>
      <c r="S220" s="3">
        <f t="shared" si="149"/>
        <v>-0.9790992902269704</v>
      </c>
      <c r="T220" s="3">
        <f t="shared" si="150"/>
        <v>8.1769159154290269E-2</v>
      </c>
      <c r="U220" s="3">
        <f t="shared" si="151"/>
        <v>0.54159245725241401</v>
      </c>
      <c r="V220" s="3">
        <f t="shared" si="152"/>
        <v>-0.53971355741617943</v>
      </c>
      <c r="W220" s="3">
        <f t="shared" si="153"/>
        <v>4.5074002416916566E-2</v>
      </c>
      <c r="X220" s="3">
        <f t="shared" si="154"/>
        <v>-0.53240364209434543</v>
      </c>
      <c r="Y220" s="3">
        <f t="shared" si="155"/>
        <v>4.4463517213503875E-2</v>
      </c>
      <c r="Z220" s="3">
        <f t="shared" si="156"/>
        <v>-0.33031490014474013</v>
      </c>
      <c r="AA220" s="3">
        <f t="shared" si="157"/>
        <v>0.32916896725096179</v>
      </c>
      <c r="AB220" s="3">
        <f t="shared" si="158"/>
        <v>-2.7490439366530169E-2</v>
      </c>
      <c r="AC220" s="3">
        <f t="shared" si="159"/>
        <v>0.32471068147304011</v>
      </c>
      <c r="AD220" s="3">
        <f t="shared" si="160"/>
        <v>-2.7118107078100383E-2</v>
      </c>
      <c r="AE220" s="3">
        <f t="shared" si="136"/>
        <v>-0.94758950698353717</v>
      </c>
      <c r="AF220" s="3">
        <f t="shared" si="161"/>
        <v>0.94430211672237785</v>
      </c>
      <c r="AG220" s="3">
        <f t="shared" si="162"/>
        <v>-7.8863084513222048E-2</v>
      </c>
      <c r="AH220" s="3">
        <f t="shared" si="163"/>
        <v>0.93151242779087229</v>
      </c>
      <c r="AI220" s="3">
        <f t="shared" si="164"/>
        <v>-7.7794957796950295E-2</v>
      </c>
      <c r="AJ220" s="3">
        <f t="shared" si="137"/>
        <v>-0.83438746121681662</v>
      </c>
      <c r="AK220" s="3">
        <f t="shared" si="165"/>
        <v>0.83149279301521395</v>
      </c>
      <c r="AL220" s="3">
        <f t="shared" si="166"/>
        <v>-6.944185049091918E-2</v>
      </c>
      <c r="AM220" s="3">
        <f t="shared" si="167"/>
        <v>0.82023100085873213</v>
      </c>
      <c r="AN220" s="3">
        <f t="shared" si="168"/>
        <v>-6.8501325577462815E-2</v>
      </c>
      <c r="AO220" s="3">
        <f t="shared" si="138"/>
        <v>-7.7973818916142162E-2</v>
      </c>
      <c r="AP220" s="3">
        <f t="shared" si="169"/>
        <v>7.7703311094937708E-2</v>
      </c>
      <c r="AQ220" s="3">
        <f t="shared" si="170"/>
        <v>-6.4893667834897469E-3</v>
      </c>
      <c r="AR220" s="3"/>
      <c r="AS220" s="2"/>
      <c r="AT220" s="2"/>
    </row>
    <row r="221" spans="1:46">
      <c r="A221">
        <f t="shared" si="171"/>
        <v>218</v>
      </c>
      <c r="B221" s="1">
        <f t="shared" si="129"/>
        <v>26.886593999999999</v>
      </c>
      <c r="C221" s="1">
        <f t="shared" si="130"/>
        <v>168.93345238090282</v>
      </c>
      <c r="D221" s="1">
        <f t="shared" si="131"/>
        <v>-0.65376616325958581</v>
      </c>
      <c r="E221" s="1">
        <f t="shared" si="132"/>
        <v>0.75669663920017549</v>
      </c>
      <c r="F221" s="2">
        <f t="shared" si="133"/>
        <v>-21421.955871526847</v>
      </c>
      <c r="G221" s="2">
        <f t="shared" si="134"/>
        <v>24794.67877667215</v>
      </c>
      <c r="H221" s="2">
        <f t="shared" si="135"/>
        <v>-5355.6524094225269</v>
      </c>
      <c r="I221" s="3">
        <f t="shared" si="139"/>
        <v>0.99226987236327657</v>
      </c>
      <c r="J221" s="3">
        <f t="shared" si="140"/>
        <v>0.98459949959983317</v>
      </c>
      <c r="K221" s="3">
        <f t="shared" si="141"/>
        <v>0.99785651371901163</v>
      </c>
      <c r="L221" s="3">
        <f t="shared" si="142"/>
        <v>-0.65236482445766453</v>
      </c>
      <c r="M221" s="3">
        <f t="shared" si="143"/>
        <v>0.75507467033517994</v>
      </c>
      <c r="N221" s="3">
        <f t="shared" si="144"/>
        <v>-0.64231807971754951</v>
      </c>
      <c r="O221" s="3">
        <f t="shared" si="145"/>
        <v>0.74344614257252717</v>
      </c>
      <c r="P221" s="3">
        <f t="shared" si="146"/>
        <v>0.66173214579952266</v>
      </c>
      <c r="Q221" s="3">
        <f t="shared" si="147"/>
        <v>-0.43261808606488678</v>
      </c>
      <c r="R221" s="3">
        <f t="shared" si="148"/>
        <v>0.50073049077721932</v>
      </c>
      <c r="S221" s="3">
        <f t="shared" si="149"/>
        <v>-0.42595555105732508</v>
      </c>
      <c r="T221" s="3">
        <f t="shared" si="150"/>
        <v>0.49301899065362897</v>
      </c>
      <c r="U221" s="3">
        <f t="shared" si="151"/>
        <v>-0.18888788841780649</v>
      </c>
      <c r="V221" s="3">
        <f t="shared" si="152"/>
        <v>0.1234885100971141</v>
      </c>
      <c r="W221" s="3">
        <f t="shared" si="153"/>
        <v>-0.14293083035137191</v>
      </c>
      <c r="X221" s="3">
        <f t="shared" si="154"/>
        <v>0.12158672524794749</v>
      </c>
      <c r="Y221" s="3">
        <f t="shared" si="155"/>
        <v>-0.14072962404134942</v>
      </c>
      <c r="Z221" s="3">
        <f t="shared" si="156"/>
        <v>-0.89264789683164025</v>
      </c>
      <c r="AA221" s="3">
        <f t="shared" si="157"/>
        <v>0.58358299065336006</v>
      </c>
      <c r="AB221" s="3">
        <f t="shared" si="158"/>
        <v>-0.67546366352160714</v>
      </c>
      <c r="AC221" s="3">
        <f t="shared" si="159"/>
        <v>0.57459552057227237</v>
      </c>
      <c r="AD221" s="3">
        <f t="shared" si="160"/>
        <v>-0.66506118510124446</v>
      </c>
      <c r="AE221" s="3">
        <f t="shared" si="136"/>
        <v>-0.90237561836775382</v>
      </c>
      <c r="AF221" s="3">
        <f t="shared" si="161"/>
        <v>0.58994264583928269</v>
      </c>
      <c r="AG221" s="3">
        <f t="shared" si="162"/>
        <v>-0.68282459771505943</v>
      </c>
      <c r="AH221" s="3">
        <f t="shared" si="163"/>
        <v>0.58085723388595933</v>
      </c>
      <c r="AI221" s="3">
        <f t="shared" si="164"/>
        <v>-0.67230875722470496</v>
      </c>
      <c r="AJ221" s="3">
        <f t="shared" si="137"/>
        <v>-0.21050776536504123</v>
      </c>
      <c r="AK221" s="3">
        <f t="shared" si="165"/>
        <v>0.13762285409905212</v>
      </c>
      <c r="AL221" s="3">
        <f t="shared" si="166"/>
        <v>-0.15929051857726581</v>
      </c>
      <c r="AM221" s="3">
        <f t="shared" si="167"/>
        <v>0.13550339327942756</v>
      </c>
      <c r="AN221" s="3">
        <f t="shared" si="168"/>
        <v>-0.15683736488217384</v>
      </c>
      <c r="AO221" s="3">
        <f t="shared" si="138"/>
        <v>0.64502953257827844</v>
      </c>
      <c r="AP221" s="3">
        <f t="shared" si="169"/>
        <v>-0.42169848270282512</v>
      </c>
      <c r="AQ221" s="3">
        <f t="shared" si="170"/>
        <v>0.4880916794868434</v>
      </c>
      <c r="AR221" s="3"/>
      <c r="AS221" s="2"/>
      <c r="AT221" s="2"/>
    </row>
    <row r="222" spans="1:46">
      <c r="A222">
        <f t="shared" si="171"/>
        <v>219</v>
      </c>
      <c r="B222" s="1">
        <f t="shared" si="129"/>
        <v>27.009927000000001</v>
      </c>
      <c r="C222" s="1">
        <f t="shared" si="130"/>
        <v>169.70837647439322</v>
      </c>
      <c r="D222" s="1">
        <f t="shared" si="131"/>
        <v>6.2332745498461926E-2</v>
      </c>
      <c r="E222" s="1">
        <f t="shared" si="132"/>
        <v>0.99805542373087874</v>
      </c>
      <c r="F222" s="2">
        <f t="shared" si="133"/>
        <v>2042.457071748102</v>
      </c>
      <c r="G222" s="2">
        <f t="shared" si="134"/>
        <v>32703.282069389705</v>
      </c>
      <c r="H222" s="2">
        <f t="shared" si="135"/>
        <v>510.6298511234001</v>
      </c>
      <c r="I222" s="3">
        <f t="shared" si="139"/>
        <v>0.99127486203207926</v>
      </c>
      <c r="J222" s="3">
        <f t="shared" si="140"/>
        <v>0.98262585209671782</v>
      </c>
      <c r="K222" s="3">
        <f t="shared" si="141"/>
        <v>0.77220277433710127</v>
      </c>
      <c r="L222" s="3">
        <f t="shared" si="142"/>
        <v>4.8133519005960759E-2</v>
      </c>
      <c r="M222" s="3">
        <f t="shared" si="143"/>
        <v>0.77070116714717574</v>
      </c>
      <c r="N222" s="3">
        <f t="shared" si="144"/>
        <v>4.7297240127645752E-2</v>
      </c>
      <c r="O222" s="3">
        <f t="shared" si="145"/>
        <v>0.75731089107992844</v>
      </c>
      <c r="P222" s="3">
        <f t="shared" si="146"/>
        <v>-3.5037114715522878E-2</v>
      </c>
      <c r="Q222" s="3">
        <f t="shared" si="147"/>
        <v>-2.183959554563103E-3</v>
      </c>
      <c r="R222" s="3">
        <f t="shared" si="148"/>
        <v>-3.4968982373708594E-2</v>
      </c>
      <c r="S222" s="3">
        <f t="shared" si="149"/>
        <v>-2.1460151182473371E-3</v>
      </c>
      <c r="T222" s="3">
        <f t="shared" si="150"/>
        <v>-3.4361426101920514E-2</v>
      </c>
      <c r="U222" s="3">
        <f t="shared" si="151"/>
        <v>-0.8148030214958546</v>
      </c>
      <c r="V222" s="3">
        <f t="shared" si="152"/>
        <v>-5.0788909370278905E-2</v>
      </c>
      <c r="W222" s="3">
        <f t="shared" si="153"/>
        <v>-0.81321857487624549</v>
      </c>
      <c r="X222" s="3">
        <f t="shared" si="154"/>
        <v>-4.9906495347033293E-2</v>
      </c>
      <c r="Y222" s="3">
        <f t="shared" si="155"/>
        <v>-0.7990895950786493</v>
      </c>
      <c r="Z222" s="3">
        <f t="shared" si="156"/>
        <v>-0.95564977212534596</v>
      </c>
      <c r="AA222" s="3">
        <f t="shared" si="157"/>
        <v>-5.9568274031552328E-2</v>
      </c>
      <c r="AB222" s="3">
        <f t="shared" si="158"/>
        <v>-0.95379143825687984</v>
      </c>
      <c r="AC222" s="3">
        <f t="shared" si="159"/>
        <v>-5.8533326028184889E-2</v>
      </c>
      <c r="AD222" s="3">
        <f t="shared" si="160"/>
        <v>-0.93722012473972061</v>
      </c>
      <c r="AE222" s="3">
        <f t="shared" si="136"/>
        <v>-0.34713387942402174</v>
      </c>
      <c r="AF222" s="3">
        <f t="shared" si="161"/>
        <v>-2.1637807760031318E-2</v>
      </c>
      <c r="AG222" s="3">
        <f t="shared" si="162"/>
        <v>-0.34645885111988578</v>
      </c>
      <c r="AH222" s="3">
        <f t="shared" si="163"/>
        <v>-2.1261869287705744E-2</v>
      </c>
      <c r="AI222" s="3">
        <f t="shared" si="164"/>
        <v>-0.34043942379812769</v>
      </c>
      <c r="AJ222" s="3">
        <f t="shared" si="137"/>
        <v>0.53358336680906815</v>
      </c>
      <c r="AK222" s="3">
        <f t="shared" si="165"/>
        <v>3.3259716205522101E-2</v>
      </c>
      <c r="AL222" s="3">
        <f t="shared" si="166"/>
        <v>0.53254577325637342</v>
      </c>
      <c r="AM222" s="3">
        <f t="shared" si="167"/>
        <v>3.2681856976946172E-2</v>
      </c>
      <c r="AN222" s="3">
        <f t="shared" si="168"/>
        <v>0.52329324422654944</v>
      </c>
      <c r="AO222" s="3">
        <f t="shared" si="138"/>
        <v>0.99589686948229583</v>
      </c>
      <c r="AP222" s="3">
        <f t="shared" si="169"/>
        <v>6.2076986108154902E-2</v>
      </c>
      <c r="AQ222" s="3">
        <f t="shared" si="170"/>
        <v>0.99396027206340842</v>
      </c>
      <c r="AR222" s="3"/>
      <c r="AS222" s="2"/>
      <c r="AT222" s="2"/>
    </row>
    <row r="223" spans="1:46">
      <c r="A223">
        <f t="shared" si="171"/>
        <v>220</v>
      </c>
      <c r="B223" s="1">
        <f t="shared" si="129"/>
        <v>27.13326</v>
      </c>
      <c r="C223" s="1">
        <f t="shared" si="130"/>
        <v>170.48330056788359</v>
      </c>
      <c r="D223" s="1">
        <f t="shared" si="131"/>
        <v>0.74283643335093541</v>
      </c>
      <c r="E223" s="1">
        <f t="shared" si="132"/>
        <v>0.66947295187069455</v>
      </c>
      <c r="F223" s="2">
        <f t="shared" si="133"/>
        <v>24340.521411610101</v>
      </c>
      <c r="G223" s="2">
        <f t="shared" si="134"/>
        <v>21936.620213947048</v>
      </c>
      <c r="H223" s="2">
        <f t="shared" si="135"/>
        <v>6085.3160620108629</v>
      </c>
      <c r="I223" s="3">
        <f t="shared" si="139"/>
        <v>0.99021991001966947</v>
      </c>
      <c r="J223" s="3">
        <f t="shared" si="140"/>
        <v>0.98053547019936227</v>
      </c>
      <c r="K223" s="3">
        <f t="shared" si="141"/>
        <v>0.12796667928005143</v>
      </c>
      <c r="L223" s="3">
        <f t="shared" si="142"/>
        <v>9.5058311624156455E-2</v>
      </c>
      <c r="M223" s="3">
        <f t="shared" si="143"/>
        <v>8.5670230518706481E-2</v>
      </c>
      <c r="N223" s="3">
        <f t="shared" si="144"/>
        <v>9.320804628474974E-2</v>
      </c>
      <c r="O223" s="3">
        <f t="shared" si="145"/>
        <v>8.4002699763747607E-2</v>
      </c>
      <c r="P223" s="3">
        <f t="shared" si="146"/>
        <v>-0.71261268055091886</v>
      </c>
      <c r="Q223" s="3">
        <f t="shared" si="147"/>
        <v>-0.52935466198109404</v>
      </c>
      <c r="R223" s="3">
        <f t="shared" si="148"/>
        <v>-0.47707491478891195</v>
      </c>
      <c r="S223" s="3">
        <f t="shared" si="149"/>
        <v>-0.5190510223878565</v>
      </c>
      <c r="T223" s="3">
        <f t="shared" si="150"/>
        <v>-0.46778887589286644</v>
      </c>
      <c r="U223" s="3">
        <f t="shared" si="151"/>
        <v>-0.98965667108163158</v>
      </c>
      <c r="V223" s="3">
        <f t="shared" si="152"/>
        <v>-0.73515303178823899</v>
      </c>
      <c r="W223" s="3">
        <f t="shared" si="153"/>
        <v>-0.66254837292754498</v>
      </c>
      <c r="X223" s="3">
        <f t="shared" si="154"/>
        <v>-0.72084362369296762</v>
      </c>
      <c r="Y223" s="3">
        <f t="shared" si="155"/>
        <v>-0.64965218037833261</v>
      </c>
      <c r="Z223" s="3">
        <f t="shared" si="156"/>
        <v>-0.48407841415627983</v>
      </c>
      <c r="AA223" s="3">
        <f t="shared" si="157"/>
        <v>-0.35959108263402789</v>
      </c>
      <c r="AB223" s="3">
        <f t="shared" si="158"/>
        <v>-0.3240774048620893</v>
      </c>
      <c r="AC223" s="3">
        <f t="shared" si="159"/>
        <v>-0.35259181129005424</v>
      </c>
      <c r="AD223" s="3">
        <f t="shared" si="160"/>
        <v>-0.3177693905574378</v>
      </c>
      <c r="AE223" s="3">
        <f t="shared" si="136"/>
        <v>0.40430990963589342</v>
      </c>
      <c r="AF223" s="3">
        <f t="shared" si="161"/>
        <v>0.30033613124236608</v>
      </c>
      <c r="AG223" s="3">
        <f t="shared" si="162"/>
        <v>0.27067454867451535</v>
      </c>
      <c r="AH223" s="3">
        <f t="shared" si="163"/>
        <v>0.2944902296655908</v>
      </c>
      <c r="AI223" s="3">
        <f t="shared" si="164"/>
        <v>0.26540599585556607</v>
      </c>
      <c r="AJ223" s="3">
        <f t="shared" si="137"/>
        <v>0.97296924114817607</v>
      </c>
      <c r="AK223" s="3">
        <f t="shared" si="165"/>
        <v>0.72275700085467731</v>
      </c>
      <c r="AL223" s="3">
        <f t="shared" si="166"/>
        <v>0.65137658995085912</v>
      </c>
      <c r="AM223" s="3">
        <f t="shared" si="167"/>
        <v>0.70868887567292194</v>
      </c>
      <c r="AN223" s="3">
        <f t="shared" si="168"/>
        <v>0.63869785090432285</v>
      </c>
      <c r="AO223" s="3">
        <f t="shared" si="138"/>
        <v>0.77220277433711493</v>
      </c>
      <c r="AP223" s="3">
        <f t="shared" si="169"/>
        <v>0.57362035471227968</v>
      </c>
      <c r="AQ223" s="3">
        <f t="shared" si="170"/>
        <v>0.51696887077820819</v>
      </c>
      <c r="AR223" s="3"/>
      <c r="AS223" s="2"/>
      <c r="AT223" s="2"/>
    </row>
    <row r="224" spans="1:46">
      <c r="A224">
        <f t="shared" si="171"/>
        <v>221</v>
      </c>
      <c r="B224" s="1">
        <f t="shared" si="129"/>
        <v>27.256592999999999</v>
      </c>
      <c r="C224" s="1">
        <f t="shared" si="130"/>
        <v>171.25822466137396</v>
      </c>
      <c r="D224" s="1">
        <f t="shared" si="131"/>
        <v>0.99914210569209316</v>
      </c>
      <c r="E224" s="1">
        <f t="shared" si="132"/>
        <v>-4.1413193950359237E-2</v>
      </c>
      <c r="F224" s="2">
        <f t="shared" si="133"/>
        <v>32738.889377212818</v>
      </c>
      <c r="G224" s="2">
        <f t="shared" si="134"/>
        <v>-1356.9861261714211</v>
      </c>
      <c r="H224" s="2">
        <f t="shared" si="135"/>
        <v>8184.9721298296272</v>
      </c>
      <c r="I224" s="3">
        <f t="shared" si="139"/>
        <v>0.98910508011823994</v>
      </c>
      <c r="J224" s="3">
        <f t="shared" si="140"/>
        <v>0.9783288595157098</v>
      </c>
      <c r="K224" s="3">
        <f t="shared" si="141"/>
        <v>-0.58563538523621084</v>
      </c>
      <c r="L224" s="3">
        <f t="shared" si="142"/>
        <v>-0.58513297197270786</v>
      </c>
      <c r="M224" s="3">
        <f t="shared" si="143"/>
        <v>2.4253031792980547E-2</v>
      </c>
      <c r="N224" s="3">
        <f t="shared" si="144"/>
        <v>-0.57245247313509706</v>
      </c>
      <c r="O224" s="3">
        <f t="shared" si="145"/>
        <v>2.3727440933824909E-2</v>
      </c>
      <c r="P224" s="3">
        <f t="shared" si="146"/>
        <v>-0.99981163214755009</v>
      </c>
      <c r="Q224" s="3">
        <f t="shared" si="147"/>
        <v>-0.99895389943935164</v>
      </c>
      <c r="R224" s="3">
        <f t="shared" si="148"/>
        <v>4.1405393035951712E-2</v>
      </c>
      <c r="S224" s="3">
        <f t="shared" si="149"/>
        <v>-0.97730542914727203</v>
      </c>
      <c r="T224" s="3">
        <f t="shared" si="150"/>
        <v>4.0508090946662356E-2</v>
      </c>
      <c r="U224" s="3">
        <f t="shared" si="151"/>
        <v>-0.61665274720555752</v>
      </c>
      <c r="V224" s="3">
        <f t="shared" si="152"/>
        <v>-0.61612372432377471</v>
      </c>
      <c r="W224" s="3">
        <f t="shared" si="153"/>
        <v>2.5537559820045599E-2</v>
      </c>
      <c r="X224" s="3">
        <f t="shared" si="154"/>
        <v>-0.60277162053825017</v>
      </c>
      <c r="Y224" s="3">
        <f t="shared" si="155"/>
        <v>2.4984131773559428E-2</v>
      </c>
      <c r="Z224" s="3">
        <f t="shared" si="156"/>
        <v>0.25827767118494921</v>
      </c>
      <c r="AA224" s="3">
        <f t="shared" si="157"/>
        <v>0.25805609624098019</v>
      </c>
      <c r="AB224" s="3">
        <f t="shared" si="158"/>
        <v>-1.0696103289829411E-2</v>
      </c>
      <c r="AC224" s="3">
        <f t="shared" si="159"/>
        <v>0.25246372632651443</v>
      </c>
      <c r="AD224" s="3">
        <f t="shared" si="160"/>
        <v>-1.0464306532801039E-2</v>
      </c>
      <c r="AE224" s="3">
        <f t="shared" si="136"/>
        <v>0.92723542993887387</v>
      </c>
      <c r="AF224" s="3">
        <f t="shared" si="161"/>
        <v>0.92643995994143979</v>
      </c>
      <c r="AG224" s="3">
        <f t="shared" si="162"/>
        <v>-3.839978069770332E-2</v>
      </c>
      <c r="AH224" s="3">
        <f t="shared" si="163"/>
        <v>0.90636294941928863</v>
      </c>
      <c r="AI224" s="3">
        <f t="shared" si="164"/>
        <v>-3.7567613655637454E-2</v>
      </c>
      <c r="AJ224" s="3">
        <f t="shared" si="137"/>
        <v>0.85673651503779491</v>
      </c>
      <c r="AK224" s="3">
        <f t="shared" si="165"/>
        <v>0.85600152565816801</v>
      </c>
      <c r="AL224" s="3">
        <f t="shared" si="166"/>
        <v>-3.5480195461615065E-2</v>
      </c>
      <c r="AM224" s="3">
        <f t="shared" si="167"/>
        <v>0.83745099634086306</v>
      </c>
      <c r="AN224" s="3">
        <f t="shared" si="168"/>
        <v>-3.4711299161356325E-2</v>
      </c>
      <c r="AO224" s="3">
        <f t="shared" si="138"/>
        <v>0.10300277847940656</v>
      </c>
      <c r="AP224" s="3">
        <f t="shared" si="169"/>
        <v>0.10291441298205049</v>
      </c>
      <c r="AQ224" s="3">
        <f t="shared" si="170"/>
        <v>-4.2656740425935525E-3</v>
      </c>
      <c r="AR224" s="3"/>
      <c r="AS224" s="2"/>
      <c r="AT224" s="2"/>
    </row>
    <row r="225" spans="1:46">
      <c r="A225">
        <f t="shared" si="171"/>
        <v>222</v>
      </c>
      <c r="B225" s="1">
        <f t="shared" si="129"/>
        <v>27.379926000000001</v>
      </c>
      <c r="C225" s="1">
        <f t="shared" si="130"/>
        <v>172.03314875486436</v>
      </c>
      <c r="D225" s="1">
        <f t="shared" si="131"/>
        <v>0.68488597005018959</v>
      </c>
      <c r="E225" s="1">
        <f t="shared" si="132"/>
        <v>-0.72865026454974324</v>
      </c>
      <c r="F225" s="2">
        <f t="shared" si="133"/>
        <v>22441.658580634561</v>
      </c>
      <c r="G225" s="2">
        <f t="shared" si="134"/>
        <v>-23875.683218501435</v>
      </c>
      <c r="H225" s="2">
        <f t="shared" si="135"/>
        <v>5610.5858666511531</v>
      </c>
      <c r="I225" s="3">
        <f t="shared" si="139"/>
        <v>0.98793043974075667</v>
      </c>
      <c r="J225" s="3">
        <f t="shared" si="140"/>
        <v>0.9760065537663648</v>
      </c>
      <c r="K225" s="3">
        <f t="shared" si="141"/>
        <v>-0.98178632517013853</v>
      </c>
      <c r="L225" s="3">
        <f t="shared" si="142"/>
        <v>-0.67241167969616122</v>
      </c>
      <c r="M225" s="3">
        <f t="shared" si="143"/>
        <v>0.71537886556654173</v>
      </c>
      <c r="N225" s="3">
        <f t="shared" si="144"/>
        <v>-0.65627820621250299</v>
      </c>
      <c r="O225" s="3">
        <f t="shared" si="145"/>
        <v>0.69821446121889197</v>
      </c>
      <c r="P225" s="3">
        <f t="shared" si="146"/>
        <v>-0.73930340635779024</v>
      </c>
      <c r="Q225" s="3">
        <f t="shared" si="147"/>
        <v>-0.50633853062476464</v>
      </c>
      <c r="R225" s="3">
        <f t="shared" si="148"/>
        <v>0.53869362262513021</v>
      </c>
      <c r="S225" s="3">
        <f t="shared" si="149"/>
        <v>-0.49418972431420155</v>
      </c>
      <c r="T225" s="3">
        <f t="shared" si="150"/>
        <v>0.52576850615427195</v>
      </c>
      <c r="U225" s="3">
        <f t="shared" si="151"/>
        <v>9.7719943864684772E-2</v>
      </c>
      <c r="V225" s="3">
        <f t="shared" si="152"/>
        <v>6.6927018547014702E-2</v>
      </c>
      <c r="W225" s="3">
        <f t="shared" si="153"/>
        <v>-7.1203662948788618E-2</v>
      </c>
      <c r="X225" s="3">
        <f t="shared" si="154"/>
        <v>6.5321208725929406E-2</v>
      </c>
      <c r="Y225" s="3">
        <f t="shared" si="155"/>
        <v>-6.9495241690188975E-2</v>
      </c>
      <c r="Z225" s="3">
        <f t="shared" si="156"/>
        <v>0.85615788911939938</v>
      </c>
      <c r="AA225" s="3">
        <f t="shared" si="157"/>
        <v>0.58637052640566245</v>
      </c>
      <c r="AB225" s="3">
        <f t="shared" si="158"/>
        <v>-0.62383967240320015</v>
      </c>
      <c r="AC225" s="3">
        <f t="shared" si="159"/>
        <v>0.57230147670735987</v>
      </c>
      <c r="AD225" s="3">
        <f t="shared" si="160"/>
        <v>-0.60887160876498536</v>
      </c>
      <c r="AE225" s="3">
        <f t="shared" si="136"/>
        <v>0.92608219251229906</v>
      </c>
      <c r="AF225" s="3">
        <f t="shared" si="161"/>
        <v>0.63426070076499241</v>
      </c>
      <c r="AG225" s="3">
        <f t="shared" si="162"/>
        <v>-0.67479003456889297</v>
      </c>
      <c r="AH225" s="3">
        <f t="shared" si="163"/>
        <v>0.61904260074307971</v>
      </c>
      <c r="AI225" s="3">
        <f t="shared" si="164"/>
        <v>-0.65859949615547142</v>
      </c>
      <c r="AJ225" s="3">
        <f t="shared" si="137"/>
        <v>0.25126042612846794</v>
      </c>
      <c r="AK225" s="3">
        <f t="shared" si="165"/>
        <v>0.17208474068421978</v>
      </c>
      <c r="AL225" s="3">
        <f t="shared" si="166"/>
        <v>-0.18308097596938938</v>
      </c>
      <c r="AM225" s="3">
        <f t="shared" si="167"/>
        <v>0.16795583471098388</v>
      </c>
      <c r="AN225" s="3">
        <f t="shared" si="168"/>
        <v>-0.17868823241606638</v>
      </c>
      <c r="AO225" s="3">
        <f t="shared" si="138"/>
        <v>-0.62562247085754896</v>
      </c>
      <c r="AP225" s="3">
        <f t="shared" si="169"/>
        <v>-0.42848005283846891</v>
      </c>
      <c r="AQ225" s="3">
        <f t="shared" si="170"/>
        <v>0.45585997889861707</v>
      </c>
      <c r="AR225" s="3"/>
      <c r="AS225" s="2"/>
      <c r="AT225" s="2"/>
    </row>
    <row r="226" spans="1:46">
      <c r="A226">
        <f t="shared" si="171"/>
        <v>223</v>
      </c>
      <c r="B226" s="1">
        <f t="shared" si="129"/>
        <v>27.503259</v>
      </c>
      <c r="C226" s="1">
        <f t="shared" si="130"/>
        <v>172.80807284835473</v>
      </c>
      <c r="D226" s="1">
        <f t="shared" si="131"/>
        <v>-2.0475469940160342E-2</v>
      </c>
      <c r="E226" s="1">
        <f t="shared" si="132"/>
        <v>-0.99979035558997542</v>
      </c>
      <c r="F226" s="2">
        <f t="shared" si="133"/>
        <v>-670.91972352923392</v>
      </c>
      <c r="G226" s="2">
        <f t="shared" si="134"/>
        <v>-32760.130581616726</v>
      </c>
      <c r="H226" s="2">
        <f t="shared" si="135"/>
        <v>-167.73504974979352</v>
      </c>
      <c r="I226" s="3">
        <f t="shared" si="139"/>
        <v>0.98669605991688247</v>
      </c>
      <c r="J226" s="3">
        <f t="shared" si="140"/>
        <v>0.97356911465550011</v>
      </c>
      <c r="K226" s="3">
        <f t="shared" si="141"/>
        <v>-0.84574747452457377</v>
      </c>
      <c r="L226" s="3">
        <f t="shared" si="142"/>
        <v>1.7317076991594436E-2</v>
      </c>
      <c r="M226" s="3">
        <f t="shared" si="143"/>
        <v>0.84557016829424725</v>
      </c>
      <c r="N226" s="3">
        <f t="shared" si="144"/>
        <v>1.6859371315127724E-2</v>
      </c>
      <c r="O226" s="3">
        <f t="shared" si="145"/>
        <v>0.8232210001253325</v>
      </c>
      <c r="P226" s="3">
        <f t="shared" si="146"/>
        <v>-7.37971100228942E-2</v>
      </c>
      <c r="Q226" s="3">
        <f t="shared" si="147"/>
        <v>1.5110305079444756E-3</v>
      </c>
      <c r="R226" s="3">
        <f t="shared" si="148"/>
        <v>7.378163887130193E-2</v>
      </c>
      <c r="S226" s="3">
        <f t="shared" si="149"/>
        <v>1.4710926338369539E-3</v>
      </c>
      <c r="T226" s="3">
        <f t="shared" si="150"/>
        <v>7.1831524833765259E-2</v>
      </c>
      <c r="U226" s="3">
        <f t="shared" si="151"/>
        <v>0.75799648938374076</v>
      </c>
      <c r="V226" s="3">
        <f t="shared" si="152"/>
        <v>-1.5520334333123852E-2</v>
      </c>
      <c r="W226" s="3">
        <f t="shared" si="153"/>
        <v>-0.75783757965692322</v>
      </c>
      <c r="X226" s="3">
        <f t="shared" si="154"/>
        <v>-1.511011815585675E-2</v>
      </c>
      <c r="Y226" s="3">
        <f t="shared" si="155"/>
        <v>-0.73780726147925779</v>
      </c>
      <c r="Z226" s="3">
        <f t="shared" si="156"/>
        <v>0.97511883733840432</v>
      </c>
      <c r="AA226" s="3">
        <f t="shared" si="157"/>
        <v>-1.9966016442006598E-2</v>
      </c>
      <c r="AB226" s="3">
        <f t="shared" si="158"/>
        <v>-0.97491440912504668</v>
      </c>
      <c r="AC226" s="3">
        <f t="shared" si="159"/>
        <v>-1.9438296950641525E-2</v>
      </c>
      <c r="AD226" s="3">
        <f t="shared" si="160"/>
        <v>-0.94914655815676163</v>
      </c>
      <c r="AE226" s="3">
        <f t="shared" si="136"/>
        <v>0.40150201373240718</v>
      </c>
      <c r="AF226" s="3">
        <f t="shared" si="161"/>
        <v>-8.2209424130917485E-3</v>
      </c>
      <c r="AG226" s="3">
        <f t="shared" si="162"/>
        <v>-0.40141784107961459</v>
      </c>
      <c r="AH226" s="3">
        <f t="shared" si="163"/>
        <v>-8.0036556267475845E-3</v>
      </c>
      <c r="AI226" s="3">
        <f t="shared" si="164"/>
        <v>-0.39080801214680261</v>
      </c>
      <c r="AJ226" s="3">
        <f t="shared" si="137"/>
        <v>-0.4976990951544224</v>
      </c>
      <c r="AK226" s="3">
        <f t="shared" si="165"/>
        <v>1.0190622862079377E-2</v>
      </c>
      <c r="AL226" s="3">
        <f t="shared" si="166"/>
        <v>0.49759475532124897</v>
      </c>
      <c r="AM226" s="3">
        <f t="shared" si="167"/>
        <v>9.9212756776227186E-3</v>
      </c>
      <c r="AN226" s="3">
        <f t="shared" si="168"/>
        <v>0.48444288539532859</v>
      </c>
      <c r="AO226" s="3">
        <f t="shared" si="138"/>
        <v>-0.99330819543735993</v>
      </c>
      <c r="AP226" s="3">
        <f t="shared" si="169"/>
        <v>2.0338452096992577E-2</v>
      </c>
      <c r="AQ226" s="3">
        <f t="shared" si="170"/>
        <v>0.99309995392675487</v>
      </c>
      <c r="AR226" s="3"/>
      <c r="AS226" s="2"/>
      <c r="AT226" s="2"/>
    </row>
    <row r="227" spans="1:46">
      <c r="A227">
        <f t="shared" si="171"/>
        <v>224</v>
      </c>
      <c r="B227" s="1">
        <f t="shared" si="129"/>
        <v>27.626591999999999</v>
      </c>
      <c r="C227" s="1">
        <f t="shared" si="130"/>
        <v>173.5829969418451</v>
      </c>
      <c r="D227" s="1">
        <f t="shared" si="131"/>
        <v>-0.71414435780823937</v>
      </c>
      <c r="E227" s="1">
        <f t="shared" si="132"/>
        <v>-0.69999845443447761</v>
      </c>
      <c r="F227" s="2">
        <f t="shared" si="133"/>
        <v>-23400.36817230258</v>
      </c>
      <c r="G227" s="2">
        <f t="shared" si="134"/>
        <v>-22936.849356454528</v>
      </c>
      <c r="H227" s="2">
        <f t="shared" si="135"/>
        <v>-5850.2705791650969</v>
      </c>
      <c r="I227" s="3">
        <f t="shared" si="139"/>
        <v>0.98540201528868132</v>
      </c>
      <c r="J227" s="3">
        <f t="shared" si="140"/>
        <v>0.97101713173499449</v>
      </c>
      <c r="K227" s="3">
        <f t="shared" si="141"/>
        <v>-0.25126042612848504</v>
      </c>
      <c r="L227" s="3">
        <f t="shared" si="142"/>
        <v>0.17943621566015153</v>
      </c>
      <c r="M227" s="3">
        <f t="shared" si="143"/>
        <v>0.17588190995048777</v>
      </c>
      <c r="N227" s="3">
        <f t="shared" si="144"/>
        <v>0.17423563945970222</v>
      </c>
      <c r="O227" s="3">
        <f t="shared" si="145"/>
        <v>0.17078434772419521</v>
      </c>
      <c r="P227" s="3">
        <f t="shared" si="146"/>
        <v>0.63213600825558613</v>
      </c>
      <c r="Q227" s="3">
        <f t="shared" si="147"/>
        <v>-0.45143636366314949</v>
      </c>
      <c r="R227" s="3">
        <f t="shared" si="148"/>
        <v>-0.44249422877129047</v>
      </c>
      <c r="S227" s="3">
        <f t="shared" si="149"/>
        <v>-0.43835244300506726</v>
      </c>
      <c r="T227" s="3">
        <f t="shared" si="150"/>
        <v>-0.42966947683078693</v>
      </c>
      <c r="U227" s="3">
        <f t="shared" si="151"/>
        <v>0.99865870853998717</v>
      </c>
      <c r="V227" s="3">
        <f t="shared" si="152"/>
        <v>-0.71318648207989488</v>
      </c>
      <c r="W227" s="3">
        <f t="shared" si="153"/>
        <v>-0.69905955248552243</v>
      </c>
      <c r="X227" s="3">
        <f t="shared" si="154"/>
        <v>-0.69251629222139055</v>
      </c>
      <c r="Y227" s="3">
        <f t="shared" si="155"/>
        <v>-0.6787988015664409</v>
      </c>
      <c r="Z227" s="3">
        <f t="shared" si="156"/>
        <v>0.54861590862670429</v>
      </c>
      <c r="AA227" s="3">
        <f t="shared" si="157"/>
        <v>-0.39179095574960149</v>
      </c>
      <c r="AB227" s="3">
        <f t="shared" si="158"/>
        <v>-0.38403028811685957</v>
      </c>
      <c r="AC227" s="3">
        <f t="shared" si="159"/>
        <v>-0.38043573009169013</v>
      </c>
      <c r="AD227" s="3">
        <f t="shared" si="160"/>
        <v>-0.37289998886659653</v>
      </c>
      <c r="AE227" s="3">
        <f t="shared" si="136"/>
        <v>-0.35000939501210832</v>
      </c>
      <c r="AF227" s="3">
        <f t="shared" si="161"/>
        <v>0.24995723462777247</v>
      </c>
      <c r="AG227" s="3">
        <f t="shared" si="162"/>
        <v>0.24500603554602238</v>
      </c>
      <c r="AH227" s="3">
        <f t="shared" si="163"/>
        <v>0.24271275702467068</v>
      </c>
      <c r="AI227" s="3">
        <f t="shared" si="164"/>
        <v>0.23790505789366076</v>
      </c>
      <c r="AJ227" s="3">
        <f t="shared" si="137"/>
        <v>-0.96244523846007035</v>
      </c>
      <c r="AK227" s="3">
        <f t="shared" si="165"/>
        <v>0.68732483674566469</v>
      </c>
      <c r="AL227" s="3">
        <f t="shared" si="166"/>
        <v>0.67371017939987154</v>
      </c>
      <c r="AM227" s="3">
        <f t="shared" si="167"/>
        <v>0.6674041915469987</v>
      </c>
      <c r="AN227" s="3">
        <f t="shared" si="168"/>
        <v>0.65418412602153175</v>
      </c>
      <c r="AO227" s="3">
        <f t="shared" si="138"/>
        <v>-0.78792596817854721</v>
      </c>
      <c r="AP227" s="3">
        <f t="shared" si="169"/>
        <v>0.56269288454530386</v>
      </c>
      <c r="AQ227" s="3">
        <f t="shared" si="170"/>
        <v>0.55154695993377245</v>
      </c>
      <c r="AR227" s="3"/>
      <c r="AS227" s="2"/>
      <c r="AT227" s="2"/>
    </row>
    <row r="228" spans="1:46">
      <c r="A228">
        <f t="shared" si="171"/>
        <v>225</v>
      </c>
      <c r="B228" s="1">
        <f t="shared" si="129"/>
        <v>27.749925000000001</v>
      </c>
      <c r="C228" s="1">
        <f t="shared" si="130"/>
        <v>174.35792103533549</v>
      </c>
      <c r="D228" s="1">
        <f t="shared" si="131"/>
        <v>-0.99999988896695258</v>
      </c>
      <c r="E228" s="1">
        <f t="shared" si="132"/>
        <v>-4.7123888058990911E-4</v>
      </c>
      <c r="F228" s="2">
        <f t="shared" si="133"/>
        <v>-32766.996361780137</v>
      </c>
      <c r="G228" s="2">
        <f t="shared" si="134"/>
        <v>-15.441084400289553</v>
      </c>
      <c r="H228" s="2">
        <f t="shared" si="135"/>
        <v>-8191.9990904172755</v>
      </c>
      <c r="I228" s="3">
        <f t="shared" si="139"/>
        <v>0.98404838410610562</v>
      </c>
      <c r="J228" s="3">
        <f t="shared" si="140"/>
        <v>0.96835122226183756</v>
      </c>
      <c r="K228" s="3">
        <f t="shared" si="141"/>
        <v>0.47942553860419096</v>
      </c>
      <c r="L228" s="3">
        <f t="shared" si="142"/>
        <v>-0.47942548537211238</v>
      </c>
      <c r="M228" s="3">
        <f t="shared" si="143"/>
        <v>-2.2592395413805321E-4</v>
      </c>
      <c r="N228" s="3">
        <f t="shared" si="144"/>
        <v>-0.46425225474355974</v>
      </c>
      <c r="O228" s="3">
        <f t="shared" si="145"/>
        <v>-2.1877373712781114E-4</v>
      </c>
      <c r="P228" s="3">
        <f t="shared" si="146"/>
        <v>0.99177846770033895</v>
      </c>
      <c r="Q228" s="3">
        <f t="shared" si="147"/>
        <v>-0.99177835758015331</v>
      </c>
      <c r="R228" s="3">
        <f t="shared" si="148"/>
        <v>-4.6736457491228304E-4</v>
      </c>
      <c r="S228" s="3">
        <f t="shared" si="149"/>
        <v>-0.96038978477557924</v>
      </c>
      <c r="T228" s="3">
        <f t="shared" si="150"/>
        <v>-4.5257305735819345E-4</v>
      </c>
      <c r="U228" s="3">
        <f t="shared" si="151"/>
        <v>0.68647997510677505</v>
      </c>
      <c r="V228" s="3">
        <f t="shared" si="152"/>
        <v>-0.68647989888481142</v>
      </c>
      <c r="W228" s="3">
        <f t="shared" si="153"/>
        <v>-3.2349605501670532E-4</v>
      </c>
      <c r="X228" s="3">
        <f t="shared" si="154"/>
        <v>-0.66475364914328983</v>
      </c>
      <c r="Y228" s="3">
        <f t="shared" si="155"/>
        <v>-3.132578002723093E-4</v>
      </c>
      <c r="Z228" s="3">
        <f t="shared" si="156"/>
        <v>-0.18477285697659987</v>
      </c>
      <c r="AA228" s="3">
        <f t="shared" si="157"/>
        <v>0.18477283646070647</v>
      </c>
      <c r="AB228" s="3">
        <f t="shared" si="158"/>
        <v>8.70721542850523E-5</v>
      </c>
      <c r="AC228" s="3">
        <f t="shared" si="159"/>
        <v>0.17892500202751174</v>
      </c>
      <c r="AD228" s="3">
        <f t="shared" si="160"/>
        <v>8.4316427026901684E-5</v>
      </c>
      <c r="AE228" s="3">
        <f t="shared" si="136"/>
        <v>-0.90369349581637348</v>
      </c>
      <c r="AF228" s="3">
        <f t="shared" si="161"/>
        <v>0.90369339547653071</v>
      </c>
      <c r="AG228" s="3">
        <f t="shared" si="162"/>
        <v>4.2585551136488955E-4</v>
      </c>
      <c r="AH228" s="3">
        <f t="shared" si="163"/>
        <v>0.87509260405964873</v>
      </c>
      <c r="AI228" s="3">
        <f t="shared" si="164"/>
        <v>4.1237770493713065E-4</v>
      </c>
      <c r="AJ228" s="3">
        <f t="shared" si="137"/>
        <v>-0.87758256189037342</v>
      </c>
      <c r="AK228" s="3">
        <f t="shared" si="165"/>
        <v>0.87758246444970722</v>
      </c>
      <c r="AL228" s="3">
        <f t="shared" si="166"/>
        <v>4.1355102409044422E-4</v>
      </c>
      <c r="AM228" s="3">
        <f t="shared" si="167"/>
        <v>0.84980805208542953</v>
      </c>
      <c r="AN228" s="3">
        <f t="shared" si="168"/>
        <v>4.0046263964561629E-4</v>
      </c>
      <c r="AO228" s="3">
        <f t="shared" si="138"/>
        <v>-0.12796667928005531</v>
      </c>
      <c r="AP228" s="3">
        <f t="shared" si="169"/>
        <v>0.12796666507152493</v>
      </c>
      <c r="AQ228" s="3">
        <f t="shared" si="170"/>
        <v>6.0302874696741185E-5</v>
      </c>
      <c r="AR228" s="3"/>
      <c r="AS228" s="2"/>
      <c r="AT228" s="2"/>
    </row>
    <row r="229" spans="1:46">
      <c r="A229">
        <f t="shared" si="171"/>
        <v>226</v>
      </c>
      <c r="B229" s="1">
        <f t="shared" si="129"/>
        <v>27.873258</v>
      </c>
      <c r="C229" s="1">
        <f t="shared" si="130"/>
        <v>175.13284512882586</v>
      </c>
      <c r="D229" s="1">
        <f t="shared" si="131"/>
        <v>-0.714803773536692</v>
      </c>
      <c r="E229" s="1">
        <f t="shared" si="132"/>
        <v>0.69932507844185421</v>
      </c>
      <c r="F229" s="2">
        <f t="shared" si="133"/>
        <v>-23421.975247476788</v>
      </c>
      <c r="G229" s="2">
        <f t="shared" si="134"/>
        <v>22914.784845304235</v>
      </c>
      <c r="H229" s="2">
        <f t="shared" si="135"/>
        <v>-5855.6725128125809</v>
      </c>
      <c r="I229" s="3">
        <f t="shared" si="139"/>
        <v>0.98263524822226378</v>
      </c>
      <c r="J229" s="3">
        <f t="shared" si="140"/>
        <v>0.96557203104882994</v>
      </c>
      <c r="K229" s="3">
        <f t="shared" si="141"/>
        <v>0.95023277978261456</v>
      </c>
      <c r="L229" s="3">
        <f t="shared" si="142"/>
        <v>-0.67922997672687335</v>
      </c>
      <c r="M229" s="3">
        <f t="shared" si="143"/>
        <v>0.6645216132594981</v>
      </c>
      <c r="N229" s="3">
        <f t="shared" si="144"/>
        <v>-0.65584546817741651</v>
      </c>
      <c r="O229" s="3">
        <f t="shared" si="145"/>
        <v>0.6416434837908187</v>
      </c>
      <c r="P229" s="3">
        <f t="shared" si="146"/>
        <v>0.80811440052470274</v>
      </c>
      <c r="Q229" s="3">
        <f t="shared" si="147"/>
        <v>-0.57764322294439918</v>
      </c>
      <c r="R229" s="3">
        <f t="shared" si="148"/>
        <v>0.56513466653692979</v>
      </c>
      <c r="S229" s="3">
        <f t="shared" si="149"/>
        <v>-0.55775614000001561</v>
      </c>
      <c r="T229" s="3">
        <f t="shared" si="150"/>
        <v>0.54567822778416653</v>
      </c>
      <c r="U229" s="3">
        <f t="shared" si="151"/>
        <v>-5.7227245986027466E-3</v>
      </c>
      <c r="V229" s="3">
        <f t="shared" si="152"/>
        <v>4.0906251379924947E-3</v>
      </c>
      <c r="W229" s="3">
        <f t="shared" si="153"/>
        <v>-4.0020448288189941E-3</v>
      </c>
      <c r="X229" s="3">
        <f t="shared" si="154"/>
        <v>3.9497932227508135E-3</v>
      </c>
      <c r="Y229" s="3">
        <f t="shared" si="155"/>
        <v>-3.8642625537112238E-3</v>
      </c>
      <c r="Z229" s="3">
        <f t="shared" si="156"/>
        <v>-0.81480302149584216</v>
      </c>
      <c r="AA229" s="3">
        <f t="shared" si="157"/>
        <v>0.58242427445432632</v>
      </c>
      <c r="AB229" s="3">
        <f t="shared" si="158"/>
        <v>-0.56981218692223967</v>
      </c>
      <c r="AC229" s="3">
        <f t="shared" si="159"/>
        <v>0.56237258961700509</v>
      </c>
      <c r="AD229" s="3">
        <f t="shared" si="160"/>
        <v>-0.5501947106428825</v>
      </c>
      <c r="AE229" s="3">
        <f t="shared" si="136"/>
        <v>-0.94660487443619767</v>
      </c>
      <c r="AF229" s="3">
        <f t="shared" si="161"/>
        <v>0.67663673629522059</v>
      </c>
      <c r="AG229" s="3">
        <f t="shared" si="162"/>
        <v>-0.66198452806853547</v>
      </c>
      <c r="AH229" s="3">
        <f t="shared" si="163"/>
        <v>0.65334150774682764</v>
      </c>
      <c r="AI229" s="3">
        <f t="shared" si="164"/>
        <v>-0.63919374529003703</v>
      </c>
      <c r="AJ229" s="3">
        <f t="shared" si="137"/>
        <v>-0.29157229072559898</v>
      </c>
      <c r="AK229" s="3">
        <f t="shared" si="165"/>
        <v>0.20841697366939557</v>
      </c>
      <c r="AL229" s="3">
        <f t="shared" si="166"/>
        <v>-0.20390381508315064</v>
      </c>
      <c r="AM229" s="3">
        <f t="shared" si="167"/>
        <v>0.20124160057100882</v>
      </c>
      <c r="AN229" s="3">
        <f t="shared" si="168"/>
        <v>-0.1968838208684428</v>
      </c>
      <c r="AO229" s="3">
        <f t="shared" si="138"/>
        <v>0.60582025257505356</v>
      </c>
      <c r="AP229" s="3">
        <f t="shared" si="169"/>
        <v>-0.43304260262560013</v>
      </c>
      <c r="AQ229" s="3">
        <f t="shared" si="170"/>
        <v>0.42366529565371325</v>
      </c>
      <c r="AR229" s="3"/>
      <c r="AS229" s="2"/>
      <c r="AT229" s="2"/>
    </row>
    <row r="230" spans="1:46">
      <c r="A230">
        <f t="shared" si="171"/>
        <v>227</v>
      </c>
      <c r="B230" s="1">
        <f t="shared" si="129"/>
        <v>27.996590999999999</v>
      </c>
      <c r="C230" s="1">
        <f t="shared" si="130"/>
        <v>175.90776922231623</v>
      </c>
      <c r="D230" s="1">
        <f t="shared" si="131"/>
        <v>-2.1417740917735333E-2</v>
      </c>
      <c r="E230" s="1">
        <f t="shared" si="132"/>
        <v>0.99977061387799393</v>
      </c>
      <c r="F230" s="2">
        <f t="shared" si="133"/>
        <v>-701.79511665143366</v>
      </c>
      <c r="G230" s="2">
        <f t="shared" si="134"/>
        <v>32759.483704940227</v>
      </c>
      <c r="H230" s="2">
        <f t="shared" si="135"/>
        <v>-175.45413359808785</v>
      </c>
      <c r="I230" s="3">
        <f t="shared" si="139"/>
        <v>0.98116269308847082</v>
      </c>
      <c r="J230" s="3">
        <f t="shared" si="140"/>
        <v>0.96268023030862082</v>
      </c>
      <c r="K230" s="3">
        <f t="shared" si="141"/>
        <v>0.90595423181373802</v>
      </c>
      <c r="L230" s="3">
        <f t="shared" si="142"/>
        <v>-1.9403493020312579E-2</v>
      </c>
      <c r="M230" s="3">
        <f t="shared" si="143"/>
        <v>0.9057464184857873</v>
      </c>
      <c r="N230" s="3">
        <f t="shared" si="144"/>
        <v>-1.867935912958623E-2</v>
      </c>
      <c r="O230" s="3">
        <f t="shared" si="145"/>
        <v>0.87194417074910613</v>
      </c>
      <c r="P230" s="3">
        <f t="shared" si="146"/>
        <v>0.1817568868185937</v>
      </c>
      <c r="Q230" s="3">
        <f t="shared" si="147"/>
        <v>-3.8928219118947839E-3</v>
      </c>
      <c r="R230" s="3">
        <f t="shared" si="148"/>
        <v>0.1817151943111785</v>
      </c>
      <c r="S230" s="3">
        <f t="shared" si="149"/>
        <v>-3.7475426946933163E-3</v>
      </c>
      <c r="T230" s="3">
        <f t="shared" si="150"/>
        <v>0.17493362511006108</v>
      </c>
      <c r="U230" s="3">
        <f t="shared" si="151"/>
        <v>-0.69475741856644091</v>
      </c>
      <c r="V230" s="3">
        <f t="shared" si="152"/>
        <v>1.4880134391530636E-2</v>
      </c>
      <c r="W230" s="3">
        <f t="shared" si="153"/>
        <v>-0.69459805085646098</v>
      </c>
      <c r="X230" s="3">
        <f t="shared" si="154"/>
        <v>1.432481120306194E-2</v>
      </c>
      <c r="Y230" s="3">
        <f t="shared" si="155"/>
        <v>-0.668675811570417</v>
      </c>
      <c r="Z230" s="3">
        <f t="shared" si="156"/>
        <v>-0.98904708280219022</v>
      </c>
      <c r="AA230" s="3">
        <f t="shared" si="157"/>
        <v>2.1183154174899237E-2</v>
      </c>
      <c r="AB230" s="3">
        <f t="shared" si="158"/>
        <v>-0.98882020912738477</v>
      </c>
      <c r="AC230" s="3">
        <f t="shared" si="159"/>
        <v>2.039260373975502E-2</v>
      </c>
      <c r="AD230" s="3">
        <f t="shared" si="160"/>
        <v>-0.95191766665656941</v>
      </c>
      <c r="AE230" s="3">
        <f t="shared" si="136"/>
        <v>-0.45448977473434943</v>
      </c>
      <c r="AF230" s="3">
        <f t="shared" si="161"/>
        <v>9.73414424502019E-3</v>
      </c>
      <c r="AG230" s="3">
        <f t="shared" si="162"/>
        <v>-0.45438552108743169</v>
      </c>
      <c r="AH230" s="3">
        <f t="shared" si="163"/>
        <v>9.3708682236533728E-3</v>
      </c>
      <c r="AI230" s="3">
        <f t="shared" si="164"/>
        <v>-0.43742795808935142</v>
      </c>
      <c r="AJ230" s="3">
        <f t="shared" si="137"/>
        <v>0.46094169016758707</v>
      </c>
      <c r="AK230" s="3">
        <f t="shared" si="165"/>
        <v>-9.8723296981924127E-3</v>
      </c>
      <c r="AL230" s="3">
        <f t="shared" si="166"/>
        <v>0.46083595654080861</v>
      </c>
      <c r="AM230" s="3">
        <f t="shared" si="167"/>
        <v>-9.5038966275385085E-3</v>
      </c>
      <c r="AN230" s="3">
        <f t="shared" si="168"/>
        <v>0.44363766477719924</v>
      </c>
      <c r="AO230" s="3">
        <f t="shared" si="138"/>
        <v>0.99009212664621027</v>
      </c>
      <c r="AP230" s="3">
        <f t="shared" si="169"/>
        <v>-2.1205536653198132E-2</v>
      </c>
      <c r="AQ230" s="3">
        <f t="shared" si="170"/>
        <v>0.98986501325285015</v>
      </c>
      <c r="AR230" s="3"/>
      <c r="AS230" s="2"/>
      <c r="AT230" s="2"/>
    </row>
    <row r="231" spans="1:46">
      <c r="A231">
        <f t="shared" si="171"/>
        <v>228</v>
      </c>
      <c r="B231" s="1">
        <f t="shared" si="129"/>
        <v>28.119924000000001</v>
      </c>
      <c r="C231" s="1">
        <f t="shared" si="130"/>
        <v>176.68269331580663</v>
      </c>
      <c r="D231" s="1">
        <f t="shared" si="131"/>
        <v>0.68419892927653536</v>
      </c>
      <c r="E231" s="1">
        <f t="shared" si="132"/>
        <v>0.72929543065676927</v>
      </c>
      <c r="F231" s="2">
        <f t="shared" si="133"/>
        <v>22419.146315604234</v>
      </c>
      <c r="G231" s="2">
        <f t="shared" si="134"/>
        <v>23896.823376330358</v>
      </c>
      <c r="H231" s="2">
        <f t="shared" si="135"/>
        <v>5604.9576286333777</v>
      </c>
      <c r="I231" s="3">
        <f t="shared" si="139"/>
        <v>0.97963080774908173</v>
      </c>
      <c r="J231" s="3">
        <f t="shared" si="140"/>
        <v>0.95967651949111832</v>
      </c>
      <c r="K231" s="3">
        <f t="shared" si="141"/>
        <v>0.3705916459611418</v>
      </c>
      <c r="L231" s="3">
        <f t="shared" si="142"/>
        <v>0.25355840736544211</v>
      </c>
      <c r="M231" s="3">
        <f t="shared" si="143"/>
        <v>0.27027079403903187</v>
      </c>
      <c r="N231" s="3">
        <f t="shared" si="144"/>
        <v>0.24333404986817861</v>
      </c>
      <c r="O231" s="3">
        <f t="shared" si="145"/>
        <v>0.25937253494347901</v>
      </c>
      <c r="P231" s="3">
        <f t="shared" si="146"/>
        <v>-0.54416893380562814</v>
      </c>
      <c r="Q231" s="3">
        <f t="shared" si="147"/>
        <v>-0.37231980185536462</v>
      </c>
      <c r="R231" s="3">
        <f t="shared" si="148"/>
        <v>-0.39685991692981054</v>
      </c>
      <c r="S231" s="3">
        <f t="shared" si="149"/>
        <v>-0.35730657158217916</v>
      </c>
      <c r="T231" s="3">
        <f t="shared" si="150"/>
        <v>-0.38085714380473495</v>
      </c>
      <c r="U231" s="3">
        <f t="shared" si="151"/>
        <v>-0.99918589039420447</v>
      </c>
      <c r="V231" s="3">
        <f t="shared" si="152"/>
        <v>-0.6836419163559363</v>
      </c>
      <c r="W231" s="3">
        <f t="shared" si="153"/>
        <v>-0.72870170424120884</v>
      </c>
      <c r="X231" s="3">
        <f t="shared" si="154"/>
        <v>-0.65607509486670323</v>
      </c>
      <c r="Y231" s="3">
        <f t="shared" si="155"/>
        <v>-0.69931791527344955</v>
      </c>
      <c r="Z231" s="3">
        <f t="shared" si="156"/>
        <v>-0.61003605806710726</v>
      </c>
      <c r="AA231" s="3">
        <f t="shared" si="157"/>
        <v>-0.41738601774959316</v>
      </c>
      <c r="AB231" s="3">
        <f t="shared" si="158"/>
        <v>-0.44489650968420891</v>
      </c>
      <c r="AC231" s="3">
        <f t="shared" si="159"/>
        <v>-0.40055556079818766</v>
      </c>
      <c r="AD231" s="3">
        <f t="shared" si="160"/>
        <v>-0.42695673394748818</v>
      </c>
      <c r="AE231" s="3">
        <f t="shared" si="136"/>
        <v>0.29450553990846279</v>
      </c>
      <c r="AF231" s="3">
        <f t="shared" si="161"/>
        <v>0.20150037507137819</v>
      </c>
      <c r="AG231" s="3">
        <f t="shared" si="162"/>
        <v>0.21478154455834672</v>
      </c>
      <c r="AH231" s="3">
        <f t="shared" si="163"/>
        <v>0.19337517862465511</v>
      </c>
      <c r="AI231" s="3">
        <f t="shared" si="164"/>
        <v>0.20612080513268072</v>
      </c>
      <c r="AJ231" s="3">
        <f t="shared" si="137"/>
        <v>0.95023277978261667</v>
      </c>
      <c r="AK231" s="3">
        <f t="shared" si="165"/>
        <v>0.6501482504907321</v>
      </c>
      <c r="AL231" s="3">
        <f t="shared" si="166"/>
        <v>0.69300042435574238</v>
      </c>
      <c r="AM231" s="3">
        <f t="shared" si="167"/>
        <v>0.62393201018418554</v>
      </c>
      <c r="AN231" s="3">
        <f t="shared" si="168"/>
        <v>0.66505623525158686</v>
      </c>
      <c r="AO231" s="3">
        <f t="shared" si="138"/>
        <v>0.80315149109056261</v>
      </c>
      <c r="AP231" s="3">
        <f t="shared" si="169"/>
        <v>0.54951539025101581</v>
      </c>
      <c r="AQ231" s="3">
        <f t="shared" si="170"/>
        <v>0.5857347125775183</v>
      </c>
      <c r="AR231" s="3"/>
      <c r="AS231" s="2"/>
      <c r="AT231" s="2"/>
    </row>
    <row r="232" spans="1:46">
      <c r="A232">
        <f t="shared" si="171"/>
        <v>229</v>
      </c>
      <c r="B232" s="1">
        <f t="shared" si="129"/>
        <v>28.243257</v>
      </c>
      <c r="C232" s="1">
        <f t="shared" si="130"/>
        <v>177.457617409297</v>
      </c>
      <c r="D232" s="1">
        <f t="shared" si="131"/>
        <v>0.99910263093096141</v>
      </c>
      <c r="E232" s="1">
        <f t="shared" si="132"/>
        <v>4.2354844667772909E-2</v>
      </c>
      <c r="F232" s="2">
        <f t="shared" si="133"/>
        <v>32737.595907714811</v>
      </c>
      <c r="G232" s="2">
        <f t="shared" si="134"/>
        <v>1387.841195228915</v>
      </c>
      <c r="H232" s="2">
        <f t="shared" si="135"/>
        <v>8184.6487525864359</v>
      </c>
      <c r="I232" s="3">
        <f t="shared" si="139"/>
        <v>0.97803968483610593</v>
      </c>
      <c r="J232" s="3">
        <f t="shared" si="140"/>
        <v>0.95656162511430942</v>
      </c>
      <c r="K232" s="3">
        <f t="shared" si="141"/>
        <v>-0.36565486483347265</v>
      </c>
      <c r="L232" s="3">
        <f t="shared" si="142"/>
        <v>-0.36532673746782762</v>
      </c>
      <c r="M232" s="3">
        <f t="shared" si="143"/>
        <v>-1.5487255002037233E-2</v>
      </c>
      <c r="N232" s="3">
        <f t="shared" si="144"/>
        <v>-0.34945753768993382</v>
      </c>
      <c r="O232" s="3">
        <f t="shared" si="145"/>
        <v>-1.4814513813308453E-2</v>
      </c>
      <c r="P232" s="3">
        <f t="shared" si="146"/>
        <v>-0.97199337095639016</v>
      </c>
      <c r="Q232" s="3">
        <f t="shared" si="147"/>
        <v>-0.97112113416998336</v>
      </c>
      <c r="R232" s="3">
        <f t="shared" si="148"/>
        <v>-4.1168628244962875E-2</v>
      </c>
      <c r="S232" s="3">
        <f t="shared" si="149"/>
        <v>-0.92893721028449061</v>
      </c>
      <c r="T232" s="3">
        <f t="shared" si="150"/>
        <v>-3.9380329937728546E-2</v>
      </c>
      <c r="U232" s="3">
        <f t="shared" si="151"/>
        <v>-0.7504815704726614</v>
      </c>
      <c r="V232" s="3">
        <f t="shared" si="152"/>
        <v>-0.74980811152443572</v>
      </c>
      <c r="W232" s="3">
        <f t="shared" si="153"/>
        <v>-3.178653034339584E-2</v>
      </c>
      <c r="X232" s="3">
        <f t="shared" si="154"/>
        <v>-0.71723766568370562</v>
      </c>
      <c r="Y232" s="3">
        <f t="shared" si="155"/>
        <v>-3.0405775122024033E-2</v>
      </c>
      <c r="Z232" s="3">
        <f t="shared" si="156"/>
        <v>0.11021812653664705</v>
      </c>
      <c r="AA232" s="3">
        <f t="shared" si="157"/>
        <v>0.11011922019904567</v>
      </c>
      <c r="AB232" s="3">
        <f t="shared" si="158"/>
        <v>4.6682716290326245E-3</v>
      </c>
      <c r="AC232" s="3">
        <f t="shared" si="159"/>
        <v>0.10533582022991962</v>
      </c>
      <c r="AD232" s="3">
        <f t="shared" si="160"/>
        <v>4.4654894959424724E-3</v>
      </c>
      <c r="AE232" s="3">
        <f t="shared" si="136"/>
        <v>0.87704464233568458</v>
      </c>
      <c r="AF232" s="3">
        <f t="shared" si="161"/>
        <v>0.87625760960148658</v>
      </c>
      <c r="AG232" s="3">
        <f t="shared" si="162"/>
        <v>3.7147089592830369E-2</v>
      </c>
      <c r="AH232" s="3">
        <f t="shared" si="163"/>
        <v>0.83819440305917803</v>
      </c>
      <c r="AI232" s="3">
        <f t="shared" si="164"/>
        <v>3.553348038918467E-2</v>
      </c>
      <c r="AJ232" s="3">
        <f t="shared" si="137"/>
        <v>0.89688903072485093</v>
      </c>
      <c r="AK232" s="3">
        <f t="shared" si="165"/>
        <v>0.89608419025031849</v>
      </c>
      <c r="AL232" s="3">
        <f t="shared" si="166"/>
        <v>3.7987595580580465E-2</v>
      </c>
      <c r="AM232" s="3">
        <f t="shared" si="167"/>
        <v>0.85715974926508465</v>
      </c>
      <c r="AN232" s="3">
        <f t="shared" si="168"/>
        <v>3.6337476162745207E-2</v>
      </c>
      <c r="AO232" s="3">
        <f t="shared" si="138"/>
        <v>0.15284975358330977</v>
      </c>
      <c r="AP232" s="3">
        <f t="shared" si="169"/>
        <v>0.15271259094223394</v>
      </c>
      <c r="AQ232" s="3">
        <f t="shared" si="170"/>
        <v>6.4739275705284509E-3</v>
      </c>
      <c r="AR232" s="3"/>
      <c r="AS232" s="2"/>
      <c r="AT232" s="2"/>
    </row>
    <row r="233" spans="1:46">
      <c r="A233">
        <f t="shared" si="171"/>
        <v>230</v>
      </c>
      <c r="B233" s="1">
        <f t="shared" si="129"/>
        <v>28.366589999999999</v>
      </c>
      <c r="C233" s="1">
        <f t="shared" si="130"/>
        <v>178.23254150278737</v>
      </c>
      <c r="D233" s="1">
        <f t="shared" si="131"/>
        <v>0.74346706673219265</v>
      </c>
      <c r="E233" s="1">
        <f t="shared" si="132"/>
        <v>-0.66877254779530937</v>
      </c>
      <c r="F233" s="2">
        <f t="shared" si="133"/>
        <v>24361.185375613757</v>
      </c>
      <c r="G233" s="2">
        <f t="shared" si="134"/>
        <v>-21913.670073608901</v>
      </c>
      <c r="H233" s="2">
        <f t="shared" si="135"/>
        <v>6090.4822106701222</v>
      </c>
      <c r="I233" s="3">
        <f t="shared" si="139"/>
        <v>0.976389420563607</v>
      </c>
      <c r="J233" s="3">
        <f t="shared" si="140"/>
        <v>0.95333630058853625</v>
      </c>
      <c r="K233" s="3">
        <f t="shared" si="141"/>
        <v>-0.90369349581637348</v>
      </c>
      <c r="L233" s="3">
        <f t="shared" si="142"/>
        <v>-0.67186635255956018</v>
      </c>
      <c r="M233" s="3">
        <f t="shared" si="143"/>
        <v>0.60436540162316588</v>
      </c>
      <c r="N233" s="3">
        <f t="shared" si="144"/>
        <v>-0.64051458303904429</v>
      </c>
      <c r="O233" s="3">
        <f t="shared" si="145"/>
        <v>0.57616347618713382</v>
      </c>
      <c r="P233" s="3">
        <f t="shared" si="146"/>
        <v>-0.86734976260011387</v>
      </c>
      <c r="Q233" s="3">
        <f t="shared" si="147"/>
        <v>-0.64484598383117031</v>
      </c>
      <c r="R233" s="3">
        <f t="shared" si="148"/>
        <v>0.58005971056373484</v>
      </c>
      <c r="S233" s="3">
        <f t="shared" si="149"/>
        <v>-0.61475508467498297</v>
      </c>
      <c r="T233" s="3">
        <f t="shared" si="150"/>
        <v>0.55299197858928806</v>
      </c>
      <c r="U233" s="3">
        <f t="shared" si="151"/>
        <v>-8.6323059071134578E-2</v>
      </c>
      <c r="V233" s="3">
        <f t="shared" si="152"/>
        <v>-6.4178351518966226E-2</v>
      </c>
      <c r="W233" s="3">
        <f t="shared" si="153"/>
        <v>5.7730492148487661E-2</v>
      </c>
      <c r="X233" s="3">
        <f t="shared" si="154"/>
        <v>-6.1183552214961925E-2</v>
      </c>
      <c r="Y233" s="3">
        <f t="shared" si="155"/>
        <v>5.503657381599477E-2</v>
      </c>
      <c r="Z233" s="3">
        <f t="shared" si="156"/>
        <v>0.76881828056825496</v>
      </c>
      <c r="AA233" s="3">
        <f t="shared" si="157"/>
        <v>0.57159107190416847</v>
      </c>
      <c r="AB233" s="3">
        <f t="shared" si="158"/>
        <v>-0.51416456028724089</v>
      </c>
      <c r="AC233" s="3">
        <f t="shared" si="159"/>
        <v>0.54491851793855595</v>
      </c>
      <c r="AD233" s="3">
        <f t="shared" si="160"/>
        <v>-0.49017173979796963</v>
      </c>
      <c r="AE233" s="3">
        <f t="shared" si="136"/>
        <v>0.96387310667938719</v>
      </c>
      <c r="AF233" s="3">
        <f t="shared" si="161"/>
        <v>0.71660791132496982</v>
      </c>
      <c r="AG233" s="3">
        <f t="shared" si="162"/>
        <v>-0.64461187330535374</v>
      </c>
      <c r="AH233" s="3">
        <f t="shared" si="163"/>
        <v>0.68316833515502462</v>
      </c>
      <c r="AI233" s="3">
        <f t="shared" si="164"/>
        <v>-0.61453189861237223</v>
      </c>
      <c r="AJ233" s="3">
        <f t="shared" si="137"/>
        <v>0.3313726384478673</v>
      </c>
      <c r="AK233" s="3">
        <f t="shared" si="165"/>
        <v>0.24636464350214329</v>
      </c>
      <c r="AL233" s="3">
        <f t="shared" si="166"/>
        <v>-0.22161292368443411</v>
      </c>
      <c r="AM233" s="3">
        <f t="shared" si="167"/>
        <v>0.23486835783214688</v>
      </c>
      <c r="AN233" s="3">
        <f t="shared" si="168"/>
        <v>-0.21127164482792801</v>
      </c>
      <c r="AO233" s="3">
        <f t="shared" si="138"/>
        <v>-0.58563538523619896</v>
      </c>
      <c r="AP233" s="3">
        <f t="shared" si="169"/>
        <v>-0.4354006220361345</v>
      </c>
      <c r="AQ233" s="3">
        <f t="shared" si="170"/>
        <v>0.3916568686635003</v>
      </c>
      <c r="AR233" s="3"/>
      <c r="AS233" s="2"/>
      <c r="AT233" s="2"/>
    </row>
    <row r="234" spans="1:46">
      <c r="A234">
        <f t="shared" si="171"/>
        <v>231</v>
      </c>
      <c r="B234" s="1">
        <f t="shared" si="129"/>
        <v>28.489923000000001</v>
      </c>
      <c r="C234" s="1">
        <f t="shared" si="130"/>
        <v>179.00746559627777</v>
      </c>
      <c r="D234" s="1">
        <f t="shared" si="131"/>
        <v>6.3273362751333273E-2</v>
      </c>
      <c r="E234" s="1">
        <f t="shared" si="132"/>
        <v>-0.99799623324245978</v>
      </c>
      <c r="F234" s="2">
        <f t="shared" si="133"/>
        <v>2073.2782772729374</v>
      </c>
      <c r="G234" s="2">
        <f t="shared" si="134"/>
        <v>-32701.342574655679</v>
      </c>
      <c r="H234" s="2">
        <f t="shared" si="135"/>
        <v>518.33538765892217</v>
      </c>
      <c r="I234" s="3">
        <f t="shared" si="139"/>
        <v>0.97468011472188409</v>
      </c>
      <c r="J234" s="3">
        <f t="shared" si="140"/>
        <v>0.95000132603426513</v>
      </c>
      <c r="K234" s="3">
        <f t="shared" si="141"/>
        <v>-0.95187354967636151</v>
      </c>
      <c r="L234" s="3">
        <f t="shared" si="142"/>
        <v>-6.0228240402071677E-2</v>
      </c>
      <c r="M234" s="3">
        <f t="shared" si="143"/>
        <v>0.94996621710013818</v>
      </c>
      <c r="N234" s="3">
        <f t="shared" si="144"/>
        <v>-5.7216908246678591E-2</v>
      </c>
      <c r="O234" s="3">
        <f t="shared" si="145"/>
        <v>0.90246916593288584</v>
      </c>
      <c r="P234" s="3">
        <f t="shared" si="146"/>
        <v>-0.28756296226069267</v>
      </c>
      <c r="Q234" s="3">
        <f t="shared" si="147"/>
        <v>-1.8195075624968766E-2</v>
      </c>
      <c r="R234" s="3">
        <f t="shared" si="148"/>
        <v>0.28698675315621491</v>
      </c>
      <c r="S234" s="3">
        <f t="shared" si="149"/>
        <v>-1.7285345971014065E-2</v>
      </c>
      <c r="T234" s="3">
        <f t="shared" si="150"/>
        <v>0.27263779605267252</v>
      </c>
      <c r="U234" s="3">
        <f t="shared" si="151"/>
        <v>0.62562247085756273</v>
      </c>
      <c r="V234" s="3">
        <f t="shared" si="152"/>
        <v>3.9585237543955994E-2</v>
      </c>
      <c r="W234" s="3">
        <f t="shared" si="153"/>
        <v>-0.6243688693476882</v>
      </c>
      <c r="X234" s="3">
        <f t="shared" si="154"/>
        <v>3.7606028158139577E-2</v>
      </c>
      <c r="Y234" s="3">
        <f t="shared" si="155"/>
        <v>-0.59315125381481859</v>
      </c>
      <c r="Z234" s="3">
        <f t="shared" si="156"/>
        <v>0.99735536544759984</v>
      </c>
      <c r="AA234" s="3">
        <f t="shared" si="157"/>
        <v>6.3106027829954545E-2</v>
      </c>
      <c r="AB234" s="3">
        <f t="shared" si="158"/>
        <v>-0.99535689792086157</v>
      </c>
      <c r="AC234" s="3">
        <f t="shared" si="159"/>
        <v>5.9950810119212057E-2</v>
      </c>
      <c r="AD234" s="3">
        <f t="shared" si="160"/>
        <v>-0.94559037290217118</v>
      </c>
      <c r="AE234" s="3">
        <f t="shared" si="136"/>
        <v>0.50591498926923761</v>
      </c>
      <c r="AF234" s="3">
        <f t="shared" si="161"/>
        <v>3.2010942637369352E-2</v>
      </c>
      <c r="AG234" s="3">
        <f t="shared" si="162"/>
        <v>-0.50490125363159855</v>
      </c>
      <c r="AH234" s="3">
        <f t="shared" si="163"/>
        <v>3.0410437953107682E-2</v>
      </c>
      <c r="AI234" s="3">
        <f t="shared" si="164"/>
        <v>-0.47965686046638151</v>
      </c>
      <c r="AJ234" s="3">
        <f t="shared" si="137"/>
        <v>-0.42337563682713353</v>
      </c>
      <c r="AK234" s="3">
        <f t="shared" si="165"/>
        <v>-2.6788400249039956E-2</v>
      </c>
      <c r="AL234" s="3">
        <f t="shared" si="166"/>
        <v>0.42252729080010692</v>
      </c>
      <c r="AM234" s="3">
        <f t="shared" si="167"/>
        <v>-2.5449015758924595E-2</v>
      </c>
      <c r="AN234" s="3">
        <f t="shared" si="168"/>
        <v>0.40140148654576713</v>
      </c>
      <c r="AO234" s="3">
        <f t="shared" si="138"/>
        <v>-0.98625069444683366</v>
      </c>
      <c r="AP234" s="3">
        <f t="shared" si="169"/>
        <v>-6.2403397953488857E-2</v>
      </c>
      <c r="AQ234" s="3">
        <f t="shared" si="170"/>
        <v>0.98427447809070012</v>
      </c>
      <c r="AR234" s="3"/>
      <c r="AS234" s="2"/>
      <c r="AT234" s="2"/>
    </row>
    <row r="235" spans="1:46">
      <c r="A235">
        <f t="shared" si="171"/>
        <v>232</v>
      </c>
      <c r="B235" s="1">
        <f t="shared" si="129"/>
        <v>28.613256</v>
      </c>
      <c r="C235" s="1">
        <f t="shared" si="130"/>
        <v>179.78238968976814</v>
      </c>
      <c r="D235" s="1">
        <f t="shared" si="131"/>
        <v>-0.65305270322576248</v>
      </c>
      <c r="E235" s="1">
        <f t="shared" si="132"/>
        <v>-0.75731246312834721</v>
      </c>
      <c r="F235" s="2">
        <f t="shared" si="133"/>
        <v>-21398.577926598558</v>
      </c>
      <c r="G235" s="2">
        <f t="shared" si="134"/>
        <v>-24814.857479326554</v>
      </c>
      <c r="H235" s="2">
        <f t="shared" si="135"/>
        <v>-5349.8077448254462</v>
      </c>
      <c r="I235" s="3">
        <f t="shared" si="139"/>
        <v>0.97291187067143747</v>
      </c>
      <c r="J235" s="3">
        <f t="shared" si="140"/>
        <v>0.94655750809339589</v>
      </c>
      <c r="K235" s="3">
        <f t="shared" si="141"/>
        <v>-0.48407841415627384</v>
      </c>
      <c r="L235" s="3">
        <f t="shared" si="142"/>
        <v>0.31612871693799482</v>
      </c>
      <c r="M235" s="3">
        <f t="shared" si="143"/>
        <v>0.36659861617195194</v>
      </c>
      <c r="N235" s="3">
        <f t="shared" si="144"/>
        <v>0.29923401054159088</v>
      </c>
      <c r="O235" s="3">
        <f t="shared" si="145"/>
        <v>0.34700667259421009</v>
      </c>
      <c r="P235" s="3">
        <f t="shared" si="146"/>
        <v>0.449753810041917</v>
      </c>
      <c r="Q235" s="3">
        <f t="shared" si="147"/>
        <v>-0.29371294143395998</v>
      </c>
      <c r="R235" s="3">
        <f t="shared" si="148"/>
        <v>-0.34060416568420293</v>
      </c>
      <c r="S235" s="3">
        <f t="shared" si="149"/>
        <v>-0.27801618993851068</v>
      </c>
      <c r="T235" s="3">
        <f t="shared" si="150"/>
        <v>-0.32240143031626928</v>
      </c>
      <c r="U235" s="3">
        <f t="shared" si="151"/>
        <v>0.99123374285353083</v>
      </c>
      <c r="V235" s="3">
        <f t="shared" si="152"/>
        <v>-0.64732787529908864</v>
      </c>
      <c r="W235" s="3">
        <f t="shared" si="153"/>
        <v>-0.75067366733633822</v>
      </c>
      <c r="X235" s="3">
        <f t="shared" si="154"/>
        <v>-0.61273306056249788</v>
      </c>
      <c r="Y235" s="3">
        <f t="shared" si="155"/>
        <v>-0.71055579594521512</v>
      </c>
      <c r="Z235" s="3">
        <f t="shared" si="156"/>
        <v>0.66798986093630608</v>
      </c>
      <c r="AA235" s="3">
        <f t="shared" si="157"/>
        <v>-0.43623258441185586</v>
      </c>
      <c r="AB235" s="3">
        <f t="shared" si="158"/>
        <v>-0.50587704693043611</v>
      </c>
      <c r="AC235" s="3">
        <f t="shared" si="159"/>
        <v>-0.41291922805002823</v>
      </c>
      <c r="AD235" s="3">
        <f t="shared" si="160"/>
        <v>-0.47884171694411948</v>
      </c>
      <c r="AE235" s="3">
        <f t="shared" si="136"/>
        <v>-0.2379891678759147</v>
      </c>
      <c r="AF235" s="3">
        <f t="shared" si="161"/>
        <v>0.15541946941981588</v>
      </c>
      <c r="AG235" s="3">
        <f t="shared" si="162"/>
        <v>0.18023216292197469</v>
      </c>
      <c r="AH235" s="3">
        <f t="shared" si="163"/>
        <v>0.14711346568321867</v>
      </c>
      <c r="AI235" s="3">
        <f t="shared" si="164"/>
        <v>0.17060010701370731</v>
      </c>
      <c r="AJ235" s="3">
        <f t="shared" si="137"/>
        <v>-0.93635328991814659</v>
      </c>
      <c r="AK235" s="3">
        <f t="shared" si="165"/>
        <v>0.61148804715538174</v>
      </c>
      <c r="AL235" s="3">
        <f t="shared" si="166"/>
        <v>0.70911201634624299</v>
      </c>
      <c r="AM235" s="3">
        <f t="shared" si="167"/>
        <v>0.57880860214429508</v>
      </c>
      <c r="AN235" s="3">
        <f t="shared" si="168"/>
        <v>0.67121530315178324</v>
      </c>
      <c r="AO235" s="3">
        <f t="shared" si="138"/>
        <v>-0.81786972630650434</v>
      </c>
      <c r="AP235" s="3">
        <f t="shared" si="169"/>
        <v>0.5341120356509772</v>
      </c>
      <c r="AQ235" s="3">
        <f t="shared" si="170"/>
        <v>0.61938293694728597</v>
      </c>
      <c r="AR235" s="3"/>
      <c r="AS235" s="2"/>
      <c r="AT235" s="2"/>
    </row>
    <row r="236" spans="1:46">
      <c r="A236">
        <f t="shared" si="171"/>
        <v>233</v>
      </c>
      <c r="B236" s="1">
        <f t="shared" si="129"/>
        <v>28.736588999999999</v>
      </c>
      <c r="C236" s="1">
        <f t="shared" si="130"/>
        <v>180.55731378325851</v>
      </c>
      <c r="D236" s="1">
        <f t="shared" si="131"/>
        <v>-0.99645190630921299</v>
      </c>
      <c r="E236" s="1">
        <f t="shared" si="132"/>
        <v>-8.4164115944595677E-2</v>
      </c>
      <c r="F236" s="2">
        <f t="shared" si="133"/>
        <v>-32650.739614033981</v>
      </c>
      <c r="G236" s="2">
        <f t="shared" si="134"/>
        <v>-2757.8055871565666</v>
      </c>
      <c r="H236" s="2">
        <f t="shared" si="135"/>
        <v>-8162.9340164850728</v>
      </c>
      <c r="I236" s="3">
        <f t="shared" si="139"/>
        <v>0.97108479533671899</v>
      </c>
      <c r="J236" s="3">
        <f t="shared" si="140"/>
        <v>0.94300567973415739</v>
      </c>
      <c r="K236" s="3">
        <f t="shared" si="141"/>
        <v>0.24611759541270303</v>
      </c>
      <c r="L236" s="3">
        <f t="shared" si="142"/>
        <v>-0.24524434712522755</v>
      </c>
      <c r="M236" s="3">
        <f t="shared" si="143"/>
        <v>-2.0714269836319826E-2</v>
      </c>
      <c r="N236" s="3">
        <f t="shared" si="144"/>
        <v>-0.23126681226178483</v>
      </c>
      <c r="O236" s="3">
        <f t="shared" si="145"/>
        <v>-1.9533674107195531E-2</v>
      </c>
      <c r="P236" s="3">
        <f t="shared" si="146"/>
        <v>0.94069078249390825</v>
      </c>
      <c r="Q236" s="3">
        <f t="shared" si="147"/>
        <v>-0.93735312346356015</v>
      </c>
      <c r="R236" s="3">
        <f t="shared" si="148"/>
        <v>-7.9172408085829732E-2</v>
      </c>
      <c r="S236" s="3">
        <f t="shared" si="149"/>
        <v>-0.88392931934269003</v>
      </c>
      <c r="T236" s="3">
        <f t="shared" si="150"/>
        <v>-7.4660030503167954E-2</v>
      </c>
      <c r="U236" s="3">
        <f t="shared" si="151"/>
        <v>0.8081144005247155</v>
      </c>
      <c r="V236" s="3">
        <f t="shared" si="152"/>
        <v>-0.80524713491877964</v>
      </c>
      <c r="W236" s="3">
        <f t="shared" si="153"/>
        <v>-6.8014234102259583E-2</v>
      </c>
      <c r="X236" s="3">
        <f t="shared" si="154"/>
        <v>-0.75935262181806651</v>
      </c>
      <c r="Y236" s="3">
        <f t="shared" si="155"/>
        <v>-6.4137809061199411E-2</v>
      </c>
      <c r="Z236" s="3">
        <f t="shared" si="156"/>
        <v>-3.5037114715508189E-2</v>
      </c>
      <c r="AA236" s="3">
        <f t="shared" si="157"/>
        <v>3.491279974984271E-2</v>
      </c>
      <c r="AB236" s="3">
        <f t="shared" si="158"/>
        <v>2.9488677852801304E-3</v>
      </c>
      <c r="AC236" s="3">
        <f t="shared" si="159"/>
        <v>3.2922968459522944E-2</v>
      </c>
      <c r="AD236" s="3">
        <f t="shared" si="160"/>
        <v>2.7807990703042486E-3</v>
      </c>
      <c r="AE236" s="3">
        <f t="shared" si="136"/>
        <v>-0.84738048887790063</v>
      </c>
      <c r="AF236" s="3">
        <f t="shared" si="161"/>
        <v>0.8443739035116169</v>
      </c>
      <c r="AG236" s="3">
        <f t="shared" si="162"/>
        <v>7.1319029715107798E-2</v>
      </c>
      <c r="AH236" s="3">
        <f t="shared" si="163"/>
        <v>0.79624938683075619</v>
      </c>
      <c r="AI236" s="3">
        <f t="shared" si="164"/>
        <v>6.7254250094475804E-2</v>
      </c>
      <c r="AJ236" s="3">
        <f t="shared" si="137"/>
        <v>-0.91462205143447184</v>
      </c>
      <c r="AK236" s="3">
        <f t="shared" si="165"/>
        <v>0.91137688670432249</v>
      </c>
      <c r="AL236" s="3">
        <f t="shared" si="166"/>
        <v>7.6978356382414834E-2</v>
      </c>
      <c r="AM236" s="3">
        <f t="shared" si="167"/>
        <v>0.85943358054060981</v>
      </c>
      <c r="AN236" s="3">
        <f t="shared" si="168"/>
        <v>7.2591027285217324E-2</v>
      </c>
      <c r="AO236" s="3">
        <f t="shared" si="138"/>
        <v>-0.17763628470611115</v>
      </c>
      <c r="AP236" s="3">
        <f t="shared" si="169"/>
        <v>0.17700601452509054</v>
      </c>
      <c r="AQ236" s="3">
        <f t="shared" si="170"/>
        <v>1.4950600861972346E-2</v>
      </c>
      <c r="AR236" s="3"/>
      <c r="AS236" s="2"/>
      <c r="AT236" s="2"/>
    </row>
    <row r="237" spans="1:46">
      <c r="A237">
        <f t="shared" si="171"/>
        <v>234</v>
      </c>
      <c r="B237" s="1">
        <f t="shared" si="129"/>
        <v>28.859922000000001</v>
      </c>
      <c r="C237" s="1">
        <f t="shared" si="130"/>
        <v>181.33223787674891</v>
      </c>
      <c r="D237" s="1">
        <f t="shared" si="131"/>
        <v>-0.7708255443674249</v>
      </c>
      <c r="E237" s="1">
        <f t="shared" si="132"/>
        <v>0.63704629356952003</v>
      </c>
      <c r="F237" s="2">
        <f t="shared" si="133"/>
        <v>-25257.64061228741</v>
      </c>
      <c r="G237" s="2">
        <f t="shared" si="134"/>
        <v>20874.095901392462</v>
      </c>
      <c r="H237" s="2">
        <f t="shared" si="135"/>
        <v>-6314.6028594579448</v>
      </c>
      <c r="I237" s="3">
        <f t="shared" si="139"/>
        <v>0.96919899919966612</v>
      </c>
      <c r="J237" s="3">
        <f t="shared" si="140"/>
        <v>0.93934670004963439</v>
      </c>
      <c r="K237" s="3">
        <f t="shared" si="141"/>
        <v>0.842902425580768</v>
      </c>
      <c r="L237" s="3">
        <f t="shared" si="142"/>
        <v>-0.64973072104691831</v>
      </c>
      <c r="M237" s="3">
        <f t="shared" si="143"/>
        <v>0.53696786605698643</v>
      </c>
      <c r="N237" s="3">
        <f t="shared" si="144"/>
        <v>-0.61032240873629229</v>
      </c>
      <c r="O237" s="3">
        <f t="shared" si="145"/>
        <v>0.50439899301332425</v>
      </c>
      <c r="P237" s="3">
        <f t="shared" si="146"/>
        <v>0.91630759192033207</v>
      </c>
      <c r="Q237" s="3">
        <f t="shared" si="147"/>
        <v>-0.70631329834999423</v>
      </c>
      <c r="R237" s="3">
        <f t="shared" si="148"/>
        <v>0.58373035520245986</v>
      </c>
      <c r="S237" s="3">
        <f t="shared" si="149"/>
        <v>-0.6634730660062399</v>
      </c>
      <c r="T237" s="3">
        <f t="shared" si="150"/>
        <v>0.54832518287823151</v>
      </c>
      <c r="U237" s="3">
        <f t="shared" si="151"/>
        <v>0.17763628470612849</v>
      </c>
      <c r="V237" s="3">
        <f t="shared" si="152"/>
        <v>-0.13692658585800838</v>
      </c>
      <c r="W237" s="3">
        <f t="shared" si="153"/>
        <v>0.11316253677549917</v>
      </c>
      <c r="X237" s="3">
        <f t="shared" si="154"/>
        <v>-0.12862153657478309</v>
      </c>
      <c r="Y237" s="3">
        <f t="shared" si="155"/>
        <v>0.10629885548931053</v>
      </c>
      <c r="Z237" s="3">
        <f t="shared" si="156"/>
        <v>-0.71846496080755329</v>
      </c>
      <c r="AA237" s="3">
        <f t="shared" si="157"/>
        <v>0.55381114452340285</v>
      </c>
      <c r="AB237" s="3">
        <f t="shared" si="158"/>
        <v>-0.45769544034202231</v>
      </c>
      <c r="AC237" s="3">
        <f t="shared" si="159"/>
        <v>0.52022067105876968</v>
      </c>
      <c r="AD237" s="3">
        <f t="shared" si="160"/>
        <v>-0.42993470151304297</v>
      </c>
      <c r="AE237" s="3">
        <f t="shared" si="136"/>
        <v>-0.97782752065585266</v>
      </c>
      <c r="AF237" s="3">
        <f t="shared" si="161"/>
        <v>0.75373443090699699</v>
      </c>
      <c r="AG237" s="3">
        <f t="shared" si="162"/>
        <v>-0.62292139778408417</v>
      </c>
      <c r="AH237" s="3">
        <f t="shared" si="163"/>
        <v>0.7080179503862768</v>
      </c>
      <c r="AI237" s="3">
        <f t="shared" si="164"/>
        <v>-0.58513915939878514</v>
      </c>
      <c r="AJ237" s="3">
        <f t="shared" si="137"/>
        <v>-0.37059164596114547</v>
      </c>
      <c r="AK237" s="3">
        <f t="shared" si="165"/>
        <v>0.28566150723601996</v>
      </c>
      <c r="AL237" s="3">
        <f t="shared" si="166"/>
        <v>-0.2360840344873755</v>
      </c>
      <c r="AM237" s="3">
        <f t="shared" si="167"/>
        <v>0.2683351941533601</v>
      </c>
      <c r="AN237" s="3">
        <f t="shared" si="168"/>
        <v>-0.22176475873012025</v>
      </c>
      <c r="AO237" s="3">
        <f t="shared" si="138"/>
        <v>0.56508061803589438</v>
      </c>
      <c r="AP237" s="3">
        <f t="shared" si="169"/>
        <v>-0.43557857500899916</v>
      </c>
      <c r="AQ237" s="3">
        <f t="shared" si="170"/>
        <v>0.35998251328774017</v>
      </c>
      <c r="AR237" s="3"/>
      <c r="AS237" s="2"/>
      <c r="AT237" s="2"/>
    </row>
    <row r="238" spans="1:46">
      <c r="A238">
        <f t="shared" si="171"/>
        <v>235</v>
      </c>
      <c r="B238" s="1">
        <f t="shared" si="129"/>
        <v>28.983255</v>
      </c>
      <c r="C238" s="1">
        <f t="shared" si="130"/>
        <v>182.10716197023928</v>
      </c>
      <c r="D238" s="1">
        <f t="shared" si="131"/>
        <v>-0.10501793720712461</v>
      </c>
      <c r="E238" s="1">
        <f t="shared" si="132"/>
        <v>0.99447032779503297</v>
      </c>
      <c r="F238" s="2">
        <f t="shared" si="133"/>
        <v>-3441.1227484658521</v>
      </c>
      <c r="G238" s="2">
        <f t="shared" si="134"/>
        <v>32585.809230859846</v>
      </c>
      <c r="H238" s="2">
        <f t="shared" si="135"/>
        <v>-860.30694160076484</v>
      </c>
      <c r="I238" s="3">
        <f t="shared" si="139"/>
        <v>0.96725459629302113</v>
      </c>
      <c r="J238" s="3">
        <f t="shared" si="140"/>
        <v>0.93558145404997528</v>
      </c>
      <c r="K238" s="3">
        <f t="shared" si="141"/>
        <v>0.98278125303889496</v>
      </c>
      <c r="L238" s="3">
        <f t="shared" si="142"/>
        <v>-0.10320965991997792</v>
      </c>
      <c r="M238" s="3">
        <f t="shared" si="143"/>
        <v>0.9773467948604031</v>
      </c>
      <c r="N238" s="3">
        <f t="shared" si="144"/>
        <v>-9.65610436999364E-2</v>
      </c>
      <c r="O238" s="3">
        <f t="shared" si="145"/>
        <v>0.91438753544657891</v>
      </c>
      <c r="P238" s="3">
        <f t="shared" si="146"/>
        <v>0.38996160290402337</v>
      </c>
      <c r="Q238" s="3">
        <f t="shared" si="147"/>
        <v>-4.0952963126964392E-2</v>
      </c>
      <c r="R238" s="3">
        <f t="shared" si="148"/>
        <v>0.38780524306744063</v>
      </c>
      <c r="S238" s="3">
        <f t="shared" si="149"/>
        <v>-3.8314832789980366E-2</v>
      </c>
      <c r="T238" s="3">
        <f t="shared" si="150"/>
        <v>0.36282339319724016</v>
      </c>
      <c r="U238" s="3">
        <f t="shared" si="151"/>
        <v>-0.55117834188595149</v>
      </c>
      <c r="V238" s="3">
        <f t="shared" si="152"/>
        <v>5.7883612498105919E-2</v>
      </c>
      <c r="W238" s="3">
        <f t="shared" si="153"/>
        <v>-0.54813050632884497</v>
      </c>
      <c r="X238" s="3">
        <f t="shared" si="154"/>
        <v>5.4154834346643255E-2</v>
      </c>
      <c r="Y238" s="3">
        <f t="shared" si="155"/>
        <v>-0.51282073612028989</v>
      </c>
      <c r="Z238" s="3">
        <f t="shared" si="156"/>
        <v>-0.99999647595530949</v>
      </c>
      <c r="AA238" s="3">
        <f t="shared" si="157"/>
        <v>0.1050175671192206</v>
      </c>
      <c r="AB238" s="3">
        <f t="shared" si="158"/>
        <v>-0.99446682323715441</v>
      </c>
      <c r="AC238" s="3">
        <f t="shared" si="159"/>
        <v>9.825248814619128E-2</v>
      </c>
      <c r="AD238" s="3">
        <f t="shared" si="160"/>
        <v>-0.93040471648867673</v>
      </c>
      <c r="AE238" s="3">
        <f t="shared" si="136"/>
        <v>-0.5556008562476068</v>
      </c>
      <c r="AF238" s="3">
        <f t="shared" si="161"/>
        <v>5.8348055833635844E-2</v>
      </c>
      <c r="AG238" s="3">
        <f t="shared" si="162"/>
        <v>-0.55252856563575847</v>
      </c>
      <c r="AH238" s="3">
        <f t="shared" si="163"/>
        <v>5.4589358917822163E-2</v>
      </c>
      <c r="AI238" s="3">
        <f t="shared" si="164"/>
        <v>-0.51693547884165014</v>
      </c>
      <c r="AJ238" s="3">
        <f t="shared" si="137"/>
        <v>0.38506683875570258</v>
      </c>
      <c r="AK238" s="3">
        <f t="shared" si="165"/>
        <v>-4.043892509299235E-2</v>
      </c>
      <c r="AL238" s="3">
        <f t="shared" si="166"/>
        <v>0.38293754536038066</v>
      </c>
      <c r="AM238" s="3">
        <f t="shared" si="167"/>
        <v>-3.7833908338719816E-2</v>
      </c>
      <c r="AN238" s="3">
        <f t="shared" si="168"/>
        <v>0.35826926549859334</v>
      </c>
      <c r="AO238" s="3">
        <f t="shared" si="138"/>
        <v>0.98178632517013908</v>
      </c>
      <c r="AP238" s="3">
        <f t="shared" si="169"/>
        <v>-0.1031051746475313</v>
      </c>
      <c r="AQ238" s="3">
        <f t="shared" si="170"/>
        <v>0.97635736861662903</v>
      </c>
      <c r="AR238" s="3"/>
      <c r="AS238" s="2"/>
      <c r="AT238" s="2"/>
    </row>
    <row r="239" spans="1:46">
      <c r="A239">
        <f t="shared" si="171"/>
        <v>236</v>
      </c>
      <c r="B239" s="1">
        <f t="shared" si="129"/>
        <v>29.106587999999999</v>
      </c>
      <c r="C239" s="1">
        <f t="shared" si="130"/>
        <v>182.88208606372964</v>
      </c>
      <c r="D239" s="1">
        <f t="shared" si="131"/>
        <v>0.62076034257540613</v>
      </c>
      <c r="E239" s="1">
        <f t="shared" si="132"/>
        <v>0.78400038079433643</v>
      </c>
      <c r="F239" s="2">
        <f t="shared" si="133"/>
        <v>20340.454145168333</v>
      </c>
      <c r="G239" s="2">
        <f t="shared" si="134"/>
        <v>25689.340477488022</v>
      </c>
      <c r="H239" s="2">
        <f t="shared" si="135"/>
        <v>5085.268726377727</v>
      </c>
      <c r="I239" s="3">
        <f t="shared" si="139"/>
        <v>0.96525170419343564</v>
      </c>
      <c r="J239" s="3">
        <f t="shared" si="140"/>
        <v>0.93171085244833174</v>
      </c>
      <c r="K239" s="3">
        <f t="shared" si="141"/>
        <v>0.58993097658575799</v>
      </c>
      <c r="L239" s="3">
        <f t="shared" si="142"/>
        <v>0.366205755121219</v>
      </c>
      <c r="M239" s="3">
        <f t="shared" si="143"/>
        <v>0.46250611028560901</v>
      </c>
      <c r="N239" s="3">
        <f t="shared" si="144"/>
        <v>0.34119787627547604</v>
      </c>
      <c r="O239" s="3">
        <f t="shared" si="145"/>
        <v>0.43092196227676693</v>
      </c>
      <c r="P239" s="3">
        <f t="shared" si="146"/>
        <v>-0.35000939501211475</v>
      </c>
      <c r="Q239" s="3">
        <f t="shared" si="147"/>
        <v>-0.21727195195233101</v>
      </c>
      <c r="R239" s="3">
        <f t="shared" si="148"/>
        <v>-0.27440749897109329</v>
      </c>
      <c r="S239" s="3">
        <f t="shared" si="149"/>
        <v>-0.20243463556661928</v>
      </c>
      <c r="T239" s="3">
        <f t="shared" si="150"/>
        <v>-0.25566844478457201</v>
      </c>
      <c r="U239" s="3">
        <f t="shared" si="151"/>
        <v>-0.97486974973558949</v>
      </c>
      <c r="V239" s="3">
        <f t="shared" si="152"/>
        <v>-0.60516047981226495</v>
      </c>
      <c r="W239" s="3">
        <f t="shared" si="153"/>
        <v>-0.76429825501758164</v>
      </c>
      <c r="X239" s="3">
        <f t="shared" si="154"/>
        <v>-0.56383458651392693</v>
      </c>
      <c r="Y239" s="3">
        <f t="shared" si="155"/>
        <v>-0.71210497870720346</v>
      </c>
      <c r="Z239" s="3">
        <f t="shared" si="156"/>
        <v>-0.72214801216586832</v>
      </c>
      <c r="AA239" s="3">
        <f t="shared" si="157"/>
        <v>-0.44828084742223295</v>
      </c>
      <c r="AB239" s="3">
        <f t="shared" si="158"/>
        <v>-0.56616431652791388</v>
      </c>
      <c r="AC239" s="3">
        <f t="shared" si="159"/>
        <v>-0.41766813048802925</v>
      </c>
      <c r="AD239" s="3">
        <f t="shared" si="160"/>
        <v>-0.52750143797804983</v>
      </c>
      <c r="AE239" s="3">
        <f t="shared" si="136"/>
        <v>0.18065458352236885</v>
      </c>
      <c r="AF239" s="3">
        <f t="shared" si="161"/>
        <v>0.11214320115516301</v>
      </c>
      <c r="AG239" s="3">
        <f t="shared" si="162"/>
        <v>0.14163326227377943</v>
      </c>
      <c r="AH239" s="3">
        <f t="shared" si="163"/>
        <v>0.10448503754456168</v>
      </c>
      <c r="AI239" s="3">
        <f t="shared" si="164"/>
        <v>0.1319612475281412</v>
      </c>
      <c r="AJ239" s="3">
        <f t="shared" si="137"/>
        <v>0.92083111820818353</v>
      </c>
      <c r="AK239" s="3">
        <f t="shared" si="165"/>
        <v>0.57161544039300627</v>
      </c>
      <c r="AL239" s="3">
        <f t="shared" si="166"/>
        <v>0.72193194732249055</v>
      </c>
      <c r="AM239" s="3">
        <f t="shared" si="167"/>
        <v>0.53258030924119648</v>
      </c>
      <c r="AN239" s="3">
        <f t="shared" si="168"/>
        <v>0.67263183004952176</v>
      </c>
      <c r="AO239" s="3">
        <f t="shared" si="138"/>
        <v>0.8320713774736147</v>
      </c>
      <c r="AP239" s="3">
        <f t="shared" si="169"/>
        <v>0.5165169133277111</v>
      </c>
      <c r="AQ239" s="3">
        <f t="shared" si="170"/>
        <v>0.65234427678738194</v>
      </c>
      <c r="AR239" s="3"/>
      <c r="AS239" s="2"/>
      <c r="AT239" s="2"/>
    </row>
    <row r="240" spans="1:46">
      <c r="A240">
        <f t="shared" si="171"/>
        <v>237</v>
      </c>
      <c r="B240" s="1">
        <f t="shared" si="129"/>
        <v>29.229921000000001</v>
      </c>
      <c r="C240" s="1">
        <f t="shared" si="130"/>
        <v>183.65701015722004</v>
      </c>
      <c r="D240" s="1">
        <f t="shared" si="131"/>
        <v>0.99205236723344248</v>
      </c>
      <c r="E240" s="1">
        <f t="shared" si="132"/>
        <v>0.12582567570461531</v>
      </c>
      <c r="F240" s="2">
        <f t="shared" si="133"/>
        <v>32506.57991713821</v>
      </c>
      <c r="G240" s="2">
        <f t="shared" si="134"/>
        <v>4122.9299158131298</v>
      </c>
      <c r="H240" s="2">
        <f t="shared" si="135"/>
        <v>8126.8929923763608</v>
      </c>
      <c r="I240" s="3">
        <f t="shared" si="139"/>
        <v>0.96319044401436105</v>
      </c>
      <c r="J240" s="3">
        <f t="shared" si="140"/>
        <v>0.92773583144058203</v>
      </c>
      <c r="K240" s="3">
        <f t="shared" si="141"/>
        <v>-0.12269890448872259</v>
      </c>
      <c r="L240" s="3">
        <f t="shared" si="142"/>
        <v>-0.1217237386549873</v>
      </c>
      <c r="M240" s="3">
        <f t="shared" si="143"/>
        <v>-1.5438672565509575E-2</v>
      </c>
      <c r="N240" s="3">
        <f t="shared" si="144"/>
        <v>-0.11292747388714075</v>
      </c>
      <c r="O240" s="3">
        <f t="shared" si="145"/>
        <v>-1.432300972890193E-2</v>
      </c>
      <c r="P240" s="3">
        <f t="shared" si="146"/>
        <v>-0.89824161770609046</v>
      </c>
      <c r="Q240" s="3">
        <f t="shared" si="147"/>
        <v>-0.89110272319292394</v>
      </c>
      <c r="R240" s="3">
        <f t="shared" si="148"/>
        <v>-0.11302185849387558</v>
      </c>
      <c r="S240" s="3">
        <f t="shared" si="149"/>
        <v>-0.82670792580035402</v>
      </c>
      <c r="T240" s="3">
        <f t="shared" si="150"/>
        <v>-0.10485442786077546</v>
      </c>
      <c r="U240" s="3">
        <f t="shared" si="151"/>
        <v>-0.85888937934338572</v>
      </c>
      <c r="V240" s="3">
        <f t="shared" si="152"/>
        <v>-0.85206324196926797</v>
      </c>
      <c r="W240" s="3">
        <f t="shared" si="153"/>
        <v>-0.10807033651139918</v>
      </c>
      <c r="X240" s="3">
        <f t="shared" si="154"/>
        <v>-0.79048960022831671</v>
      </c>
      <c r="Y240" s="3">
        <f t="shared" si="155"/>
        <v>-0.1002607234974664</v>
      </c>
      <c r="Z240" s="3">
        <f t="shared" si="156"/>
        <v>-4.0342984980548127E-2</v>
      </c>
      <c r="AA240" s="3">
        <f t="shared" si="157"/>
        <v>-4.0022353751215982E-2</v>
      </c>
      <c r="AB240" s="3">
        <f t="shared" si="158"/>
        <v>-5.0761833451186148E-3</v>
      </c>
      <c r="AC240" s="3">
        <f t="shared" si="159"/>
        <v>-3.7130171633593459E-2</v>
      </c>
      <c r="AD240" s="3">
        <f t="shared" si="160"/>
        <v>-4.7093571762284528E-3</v>
      </c>
      <c r="AE240" s="3">
        <f t="shared" si="136"/>
        <v>0.81480302149585637</v>
      </c>
      <c r="AF240" s="3">
        <f t="shared" si="161"/>
        <v>0.80832726630392582</v>
      </c>
      <c r="AG240" s="3">
        <f t="shared" si="162"/>
        <v>0.10252314074587832</v>
      </c>
      <c r="AH240" s="3">
        <f t="shared" si="163"/>
        <v>0.74991416848056547</v>
      </c>
      <c r="AI240" s="3">
        <f t="shared" si="164"/>
        <v>9.5114391221777242E-2</v>
      </c>
      <c r="AJ240" s="3">
        <f t="shared" si="137"/>
        <v>0.93075051427523858</v>
      </c>
      <c r="AK240" s="3">
        <f t="shared" si="165"/>
        <v>0.92335325099049448</v>
      </c>
      <c r="AL240" s="3">
        <f t="shared" si="166"/>
        <v>0.11711231237110009</v>
      </c>
      <c r="AM240" s="3">
        <f t="shared" si="167"/>
        <v>0.85662789602103084</v>
      </c>
      <c r="AN240" s="3">
        <f t="shared" si="168"/>
        <v>0.1086492884895317</v>
      </c>
      <c r="AO240" s="3">
        <f t="shared" si="138"/>
        <v>0.20231061694414262</v>
      </c>
      <c r="AP240" s="3">
        <f t="shared" si="169"/>
        <v>0.20070272645589488</v>
      </c>
      <c r="AQ240" s="3">
        <f t="shared" si="170"/>
        <v>2.5455870079214342E-2</v>
      </c>
      <c r="AR240" s="3"/>
      <c r="AS240" s="2"/>
      <c r="AT240" s="2"/>
    </row>
    <row r="241" spans="1:46">
      <c r="A241">
        <f t="shared" si="171"/>
        <v>238</v>
      </c>
      <c r="B241" s="1">
        <f t="shared" si="129"/>
        <v>29.353254</v>
      </c>
      <c r="C241" s="1">
        <f t="shared" si="130"/>
        <v>184.43193425071041</v>
      </c>
      <c r="D241" s="1">
        <f t="shared" si="131"/>
        <v>0.79683119117864265</v>
      </c>
      <c r="E241" s="1">
        <f t="shared" si="132"/>
        <v>-0.60420199665743035</v>
      </c>
      <c r="F241" s="2">
        <f t="shared" si="133"/>
        <v>26109.767641350583</v>
      </c>
      <c r="G241" s="2">
        <f t="shared" si="134"/>
        <v>-19797.886824474019</v>
      </c>
      <c r="H241" s="2">
        <f t="shared" si="135"/>
        <v>6527.6411181354406</v>
      </c>
      <c r="I241" s="3">
        <f t="shared" si="139"/>
        <v>0.96107094039872465</v>
      </c>
      <c r="J241" s="3">
        <f t="shared" si="140"/>
        <v>0.92365735247888892</v>
      </c>
      <c r="K241" s="3">
        <f t="shared" si="141"/>
        <v>-0.76881828056824808</v>
      </c>
      <c r="L241" s="3">
        <f t="shared" si="142"/>
        <v>-0.61261838630511301</v>
      </c>
      <c r="M241" s="3">
        <f t="shared" si="143"/>
        <v>0.46452154018606795</v>
      </c>
      <c r="N241" s="3">
        <f t="shared" si="144"/>
        <v>-0.56584947677446984</v>
      </c>
      <c r="O241" s="3">
        <f t="shared" si="145"/>
        <v>0.4290587359776793</v>
      </c>
      <c r="P241" s="3">
        <f t="shared" si="146"/>
        <v>-0.95440776992633702</v>
      </c>
      <c r="Q241" s="3">
        <f t="shared" si="147"/>
        <v>-0.76050188018055509</v>
      </c>
      <c r="R241" s="3">
        <f t="shared" si="148"/>
        <v>0.57665508021485823</v>
      </c>
      <c r="S241" s="3">
        <f t="shared" si="149"/>
        <v>-0.70244315320278872</v>
      </c>
      <c r="T241" s="3">
        <f t="shared" si="150"/>
        <v>0.53263170468475729</v>
      </c>
      <c r="U241" s="3">
        <f t="shared" si="151"/>
        <v>-0.26744204652981773</v>
      </c>
      <c r="V241" s="3">
        <f t="shared" si="152"/>
        <v>-0.21310616450760864</v>
      </c>
      <c r="W241" s="3">
        <f t="shared" si="153"/>
        <v>0.16158901850346527</v>
      </c>
      <c r="X241" s="3">
        <f t="shared" si="154"/>
        <v>-0.19683707570602835</v>
      </c>
      <c r="Y241" s="3">
        <f t="shared" si="155"/>
        <v>0.14925288502057291</v>
      </c>
      <c r="Z241" s="3">
        <f t="shared" si="156"/>
        <v>0.66402917982103582</v>
      </c>
      <c r="AA241" s="3">
        <f t="shared" si="157"/>
        <v>0.52911916233417311</v>
      </c>
      <c r="AB241" s="3">
        <f t="shared" si="158"/>
        <v>-0.40120775628666572</v>
      </c>
      <c r="AC241" s="3">
        <f t="shared" si="159"/>
        <v>0.48872480462742979</v>
      </c>
      <c r="AD241" s="3">
        <f t="shared" si="160"/>
        <v>-0.37057849396573694</v>
      </c>
      <c r="AE241" s="3">
        <f t="shared" si="136"/>
        <v>0.98842014076422891</v>
      </c>
      <c r="AF241" s="3">
        <f t="shared" si="161"/>
        <v>0.78760399815012216</v>
      </c>
      <c r="AG241" s="3">
        <f t="shared" si="162"/>
        <v>-0.59720542258616549</v>
      </c>
      <c r="AH241" s="3">
        <f t="shared" si="163"/>
        <v>0.72747622373312959</v>
      </c>
      <c r="AI241" s="3">
        <f t="shared" si="164"/>
        <v>-0.55161317951197364</v>
      </c>
      <c r="AJ241" s="3">
        <f t="shared" si="137"/>
        <v>0.40916050979949364</v>
      </c>
      <c r="AK241" s="3">
        <f t="shared" si="165"/>
        <v>0.32603185640679122</v>
      </c>
      <c r="AL241" s="3">
        <f t="shared" si="166"/>
        <v>-0.24721559697422615</v>
      </c>
      <c r="AM241" s="3">
        <f t="shared" si="167"/>
        <v>0.30114172131247402</v>
      </c>
      <c r="AN241" s="3">
        <f t="shared" si="168"/>
        <v>-0.22834250379270174</v>
      </c>
      <c r="AO241" s="3">
        <f t="shared" si="138"/>
        <v>-0.54416893380563958</v>
      </c>
      <c r="AP241" s="3">
        <f t="shared" si="169"/>
        <v>-0.43361077972675971</v>
      </c>
      <c r="AQ241" s="3">
        <f t="shared" si="170"/>
        <v>0.32878795632431246</v>
      </c>
      <c r="AR241" s="3"/>
      <c r="AS241" s="2"/>
      <c r="AT241" s="2"/>
    </row>
    <row r="242" spans="1:46">
      <c r="A242">
        <f t="shared" si="171"/>
        <v>239</v>
      </c>
      <c r="B242" s="1">
        <f t="shared" si="129"/>
        <v>29.476586999999999</v>
      </c>
      <c r="C242" s="1">
        <f t="shared" si="130"/>
        <v>185.20685834420078</v>
      </c>
      <c r="D242" s="1">
        <f t="shared" si="131"/>
        <v>0.14657820082427242</v>
      </c>
      <c r="E242" s="1">
        <f t="shared" si="132"/>
        <v>-0.98919908564611969</v>
      </c>
      <c r="F242" s="2">
        <f t="shared" si="133"/>
        <v>4802.9279064089342</v>
      </c>
      <c r="G242" s="2">
        <f t="shared" si="134"/>
        <v>-32413.086439366405</v>
      </c>
      <c r="H242" s="2">
        <f t="shared" si="135"/>
        <v>1200.7686211524397</v>
      </c>
      <c r="I242" s="3">
        <f t="shared" si="139"/>
        <v>0.9588933215113925</v>
      </c>
      <c r="J242" s="3">
        <f t="shared" si="140"/>
        <v>0.91947640203915071</v>
      </c>
      <c r="K242" s="3">
        <f t="shared" si="141"/>
        <v>-0.99818990895594606</v>
      </c>
      <c r="L242" s="3">
        <f t="shared" si="142"/>
        <v>-0.14631288093570685</v>
      </c>
      <c r="M242" s="3">
        <f t="shared" si="143"/>
        <v>0.98740854524040533</v>
      </c>
      <c r="N242" s="3">
        <f t="shared" si="144"/>
        <v>-0.13453124133474639</v>
      </c>
      <c r="O242" s="3">
        <f t="shared" si="145"/>
        <v>0.90789885652035984</v>
      </c>
      <c r="P242" s="3">
        <f t="shared" si="146"/>
        <v>-0.48773945119812223</v>
      </c>
      <c r="Q242" s="3">
        <f t="shared" si="147"/>
        <v>-7.1491971227638784E-2</v>
      </c>
      <c r="R242" s="3">
        <f t="shared" si="148"/>
        <v>0.48247141915872271</v>
      </c>
      <c r="S242" s="3">
        <f t="shared" si="149"/>
        <v>-6.5735180479075783E-2</v>
      </c>
      <c r="T242" s="3">
        <f t="shared" si="150"/>
        <v>0.44362108457478533</v>
      </c>
      <c r="U242" s="3">
        <f t="shared" si="151"/>
        <v>0.47205678225695502</v>
      </c>
      <c r="V242" s="3">
        <f t="shared" si="152"/>
        <v>6.9193233830119785E-2</v>
      </c>
      <c r="W242" s="3">
        <f t="shared" si="153"/>
        <v>-0.46695813738162933</v>
      </c>
      <c r="X242" s="3">
        <f t="shared" si="154"/>
        <v>6.3621545687572195E-2</v>
      </c>
      <c r="Y242" s="3">
        <f t="shared" si="155"/>
        <v>-0.429356988062564</v>
      </c>
      <c r="Z242" s="3">
        <f t="shared" si="156"/>
        <v>0.9969554070085731</v>
      </c>
      <c r="AA242" s="3">
        <f t="shared" si="157"/>
        <v>0.14613192986134688</v>
      </c>
      <c r="AB242" s="3">
        <f t="shared" si="158"/>
        <v>-0.98618737704283566</v>
      </c>
      <c r="AC242" s="3">
        <f t="shared" si="159"/>
        <v>0.13436486109194876</v>
      </c>
      <c r="AD242" s="3">
        <f t="shared" si="160"/>
        <v>-0.90677602117977385</v>
      </c>
      <c r="AE242" s="3">
        <f t="shared" si="136"/>
        <v>0.6033765544977101</v>
      </c>
      <c r="AF242" s="3">
        <f t="shared" si="161"/>
        <v>8.8441849777822906E-2</v>
      </c>
      <c r="AG242" s="3">
        <f t="shared" si="162"/>
        <v>-0.59685953600944097</v>
      </c>
      <c r="AH242" s="3">
        <f t="shared" si="163"/>
        <v>8.1320193823399667E-2</v>
      </c>
      <c r="AI242" s="3">
        <f t="shared" si="164"/>
        <v>-0.5487982586927177</v>
      </c>
      <c r="AJ242" s="3">
        <f t="shared" si="137"/>
        <v>-0.34608250260250323</v>
      </c>
      <c r="AK242" s="3">
        <f t="shared" si="165"/>
        <v>-5.0728150568236499E-2</v>
      </c>
      <c r="AL242" s="3">
        <f t="shared" si="166"/>
        <v>0.34234449513251702</v>
      </c>
      <c r="AM242" s="3">
        <f t="shared" si="167"/>
        <v>-4.6643337366582396E-2</v>
      </c>
      <c r="AN242" s="3">
        <f t="shared" si="168"/>
        <v>0.31477768464235628</v>
      </c>
      <c r="AO242" s="3">
        <f t="shared" si="138"/>
        <v>-0.97670183860744819</v>
      </c>
      <c r="AP242" s="3">
        <f t="shared" si="169"/>
        <v>-0.14316319824483864</v>
      </c>
      <c r="AQ242" s="3">
        <f t="shared" si="170"/>
        <v>0.96615256569937169</v>
      </c>
      <c r="AR242" s="3"/>
      <c r="AS242" s="2"/>
      <c r="AT242" s="2"/>
    </row>
    <row r="243" spans="1:46">
      <c r="A243">
        <f t="shared" si="171"/>
        <v>240</v>
      </c>
      <c r="B243" s="1">
        <f t="shared" si="129"/>
        <v>29.599920000000001</v>
      </c>
      <c r="C243" s="1">
        <f t="shared" si="130"/>
        <v>185.98178243769118</v>
      </c>
      <c r="D243" s="1">
        <f t="shared" si="131"/>
        <v>-0.58737852175874838</v>
      </c>
      <c r="E243" s="1">
        <f t="shared" si="132"/>
        <v>-0.80931234525151508</v>
      </c>
      <c r="F243" s="2">
        <f t="shared" si="133"/>
        <v>-19246.632022468908</v>
      </c>
      <c r="G243" s="2">
        <f t="shared" si="134"/>
        <v>-26518.737616856393</v>
      </c>
      <c r="H243" s="2">
        <f t="shared" si="135"/>
        <v>-4811.8048502476668</v>
      </c>
      <c r="I243" s="3">
        <f t="shared" si="139"/>
        <v>0.95665771903141972</v>
      </c>
      <c r="J243" s="3">
        <f t="shared" si="140"/>
        <v>0.91519399138239876</v>
      </c>
      <c r="K243" s="3">
        <f t="shared" si="141"/>
        <v>-0.68647997510677783</v>
      </c>
      <c r="L243" s="3">
        <f t="shared" si="142"/>
        <v>0.40322359299520155</v>
      </c>
      <c r="M243" s="3">
        <f t="shared" si="143"/>
        <v>0.55557671862186808</v>
      </c>
      <c r="N243" s="3">
        <f t="shared" si="144"/>
        <v>0.36902780949283037</v>
      </c>
      <c r="O243" s="3">
        <f t="shared" si="145"/>
        <v>0.50846047463468325</v>
      </c>
      <c r="P243" s="3">
        <f t="shared" si="146"/>
        <v>0.24611759541268213</v>
      </c>
      <c r="Q243" s="3">
        <f t="shared" si="147"/>
        <v>-0.14456418937231894</v>
      </c>
      <c r="R243" s="3">
        <f t="shared" si="148"/>
        <v>-0.19918600835110131</v>
      </c>
      <c r="S243" s="3">
        <f t="shared" si="149"/>
        <v>-0.13230427748261353</v>
      </c>
      <c r="T243" s="3">
        <f t="shared" si="150"/>
        <v>-0.18229383801037222</v>
      </c>
      <c r="U243" s="3">
        <f t="shared" si="151"/>
        <v>0.95023277978261889</v>
      </c>
      <c r="V243" s="3">
        <f t="shared" si="152"/>
        <v>-0.55814632551542098</v>
      </c>
      <c r="W243" s="3">
        <f t="shared" si="153"/>
        <v>-0.76903511954073778</v>
      </c>
      <c r="X243" s="3">
        <f t="shared" si="154"/>
        <v>-0.5108121634238777</v>
      </c>
      <c r="Y243" s="3">
        <f t="shared" si="155"/>
        <v>-0.70381632056572796</v>
      </c>
      <c r="Z243" s="3">
        <f t="shared" si="156"/>
        <v>0.77220277433710616</v>
      </c>
      <c r="AA243" s="3">
        <f t="shared" si="157"/>
        <v>-0.45357532408813378</v>
      </c>
      <c r="AB243" s="3">
        <f t="shared" si="158"/>
        <v>-0.62495323830848981</v>
      </c>
      <c r="AC243" s="3">
        <f t="shared" si="159"/>
        <v>-0.41510941124478423</v>
      </c>
      <c r="AD243" s="3">
        <f t="shared" si="160"/>
        <v>-0.57195344859490227</v>
      </c>
      <c r="AE243" s="3">
        <f t="shared" si="136"/>
        <v>-0.1226989044887294</v>
      </c>
      <c r="AF243" s="3">
        <f t="shared" si="161"/>
        <v>7.2070701140007729E-2</v>
      </c>
      <c r="AG243" s="3">
        <f t="shared" si="162"/>
        <v>9.9301738151565247E-2</v>
      </c>
      <c r="AH243" s="3">
        <f t="shared" si="163"/>
        <v>6.5958672638051677E-2</v>
      </c>
      <c r="AI243" s="3">
        <f t="shared" si="164"/>
        <v>9.0880354090140822E-2</v>
      </c>
      <c r="AJ243" s="3">
        <f t="shared" si="137"/>
        <v>-0.90369349581636715</v>
      </c>
      <c r="AK243" s="3">
        <f t="shared" si="165"/>
        <v>0.53081014969561335</v>
      </c>
      <c r="AL243" s="3">
        <f t="shared" si="166"/>
        <v>0.73137030248768431</v>
      </c>
      <c r="AM243" s="3">
        <f t="shared" si="167"/>
        <v>0.48579425956621702</v>
      </c>
      <c r="AN243" s="3">
        <f t="shared" si="168"/>
        <v>0.66934570631225621</v>
      </c>
      <c r="AO243" s="3">
        <f t="shared" si="138"/>
        <v>-0.84574747452456278</v>
      </c>
      <c r="AP243" s="3">
        <f t="shared" si="169"/>
        <v>0.49677390136743238</v>
      </c>
      <c r="AQ243" s="3">
        <f t="shared" si="170"/>
        <v>0.68447387209801991</v>
      </c>
      <c r="AR243" s="3"/>
      <c r="AS243" s="2"/>
      <c r="AT243" s="2"/>
    </row>
    <row r="244" spans="1:46">
      <c r="A244">
        <f t="shared" si="171"/>
        <v>241</v>
      </c>
      <c r="B244" s="1">
        <f t="shared" si="129"/>
        <v>29.723253</v>
      </c>
      <c r="C244" s="1">
        <f t="shared" si="130"/>
        <v>186.75670653118155</v>
      </c>
      <c r="D244" s="1">
        <f t="shared" si="131"/>
        <v>-0.98591173507732777</v>
      </c>
      <c r="E244" s="1">
        <f t="shared" si="132"/>
        <v>-0.1672664061813165</v>
      </c>
      <c r="F244" s="2">
        <f t="shared" si="133"/>
        <v>-32305.369823278797</v>
      </c>
      <c r="G244" s="2">
        <f t="shared" si="134"/>
        <v>-5480.8183313431973</v>
      </c>
      <c r="H244" s="2">
        <f t="shared" si="135"/>
        <v>-8076.5889337534691</v>
      </c>
      <c r="I244" s="3">
        <f t="shared" si="139"/>
        <v>0.95436426814408781</v>
      </c>
      <c r="J244" s="3">
        <f t="shared" si="140"/>
        <v>0.91081115631020038</v>
      </c>
      <c r="K244" s="3">
        <f t="shared" si="141"/>
        <v>-2.6548214557898424E-3</v>
      </c>
      <c r="L244" s="3">
        <f t="shared" si="142"/>
        <v>2.6174196277982805E-3</v>
      </c>
      <c r="M244" s="3">
        <f t="shared" si="143"/>
        <v>4.4406244396301778E-4</v>
      </c>
      <c r="N244" s="3">
        <f t="shared" si="144"/>
        <v>2.3839749977439661E-3</v>
      </c>
      <c r="O244" s="3">
        <f t="shared" si="145"/>
        <v>4.0445702805988975E-4</v>
      </c>
      <c r="P244" s="3">
        <f t="shared" si="146"/>
        <v>0.84514887169406872</v>
      </c>
      <c r="Q244" s="3">
        <f t="shared" si="147"/>
        <v>-0.83324219049054515</v>
      </c>
      <c r="R244" s="3">
        <f t="shared" si="148"/>
        <v>-0.14136501445646144</v>
      </c>
      <c r="S244" s="3">
        <f t="shared" si="149"/>
        <v>-0.75892628300713771</v>
      </c>
      <c r="T244" s="3">
        <f t="shared" si="150"/>
        <v>-0.12875683227889784</v>
      </c>
      <c r="U244" s="3">
        <f t="shared" si="151"/>
        <v>0.9023756183677526</v>
      </c>
      <c r="V244" s="3">
        <f t="shared" si="152"/>
        <v>-0.88966271159642751</v>
      </c>
      <c r="W244" s="3">
        <f t="shared" si="153"/>
        <v>-0.15093712671001716</v>
      </c>
      <c r="X244" s="3">
        <f t="shared" si="154"/>
        <v>-0.81031472307521046</v>
      </c>
      <c r="Y244" s="3">
        <f t="shared" si="155"/>
        <v>-0.13747521890888995</v>
      </c>
      <c r="Z244" s="3">
        <f t="shared" si="156"/>
        <v>0.11549384778843254</v>
      </c>
      <c r="AA244" s="3">
        <f t="shared" si="157"/>
        <v>-0.11386673986385032</v>
      </c>
      <c r="AB244" s="3">
        <f t="shared" si="158"/>
        <v>-1.9318240855623097E-2</v>
      </c>
      <c r="AC244" s="3">
        <f t="shared" si="159"/>
        <v>-0.10371109700066629</v>
      </c>
      <c r="AD244" s="3">
        <f t="shared" si="160"/>
        <v>-1.7595269291589027E-2</v>
      </c>
      <c r="AE244" s="3">
        <f t="shared" si="136"/>
        <v>-0.77942424228373697</v>
      </c>
      <c r="AF244" s="3">
        <f t="shared" si="161"/>
        <v>0.76844350707129061</v>
      </c>
      <c r="AG244" s="3">
        <f t="shared" si="162"/>
        <v>0.13037149189739639</v>
      </c>
      <c r="AH244" s="3">
        <f t="shared" si="163"/>
        <v>0.69990691923466786</v>
      </c>
      <c r="AI244" s="3">
        <f t="shared" si="164"/>
        <v>0.11874380928495352</v>
      </c>
      <c r="AJ244" s="3">
        <f t="shared" si="137"/>
        <v>-0.94524612444280576</v>
      </c>
      <c r="AK244" s="3">
        <f t="shared" si="165"/>
        <v>0.93192924662452625</v>
      </c>
      <c r="AL244" s="3">
        <f t="shared" si="166"/>
        <v>0.15810792219236558</v>
      </c>
      <c r="AM244" s="3">
        <f t="shared" si="167"/>
        <v>0.84881155471737868</v>
      </c>
      <c r="AN244" s="3">
        <f t="shared" si="168"/>
        <v>0.1440064594338317</v>
      </c>
      <c r="AO244" s="3">
        <f t="shared" si="138"/>
        <v>-0.22685716546033555</v>
      </c>
      <c r="AP244" s="3">
        <f t="shared" si="169"/>
        <v>0.22366114161372386</v>
      </c>
      <c r="AQ244" s="3">
        <f t="shared" si="170"/>
        <v>3.7945582783030611E-2</v>
      </c>
      <c r="AR244" s="3"/>
      <c r="AS244" s="2"/>
      <c r="AT244" s="2"/>
    </row>
    <row r="245" spans="1:46">
      <c r="A245">
        <f t="shared" si="171"/>
        <v>242</v>
      </c>
      <c r="B245" s="1">
        <f t="shared" si="129"/>
        <v>29.846585999999999</v>
      </c>
      <c r="C245" s="1">
        <f t="shared" si="130"/>
        <v>187.53163062467192</v>
      </c>
      <c r="D245" s="1">
        <f t="shared" si="131"/>
        <v>-0.82143836617629007</v>
      </c>
      <c r="E245" s="1">
        <f t="shared" si="132"/>
        <v>0.57029730016336844</v>
      </c>
      <c r="F245" s="2">
        <f t="shared" si="133"/>
        <v>-26916.070944498497</v>
      </c>
      <c r="G245" s="2">
        <f t="shared" si="134"/>
        <v>18686.931634453093</v>
      </c>
      <c r="H245" s="2">
        <f t="shared" si="135"/>
        <v>-6729.2230957161682</v>
      </c>
      <c r="I245" s="3">
        <f t="shared" si="139"/>
        <v>0.95201310753272994</v>
      </c>
      <c r="J245" s="3">
        <f t="shared" si="140"/>
        <v>0.90632895691412518</v>
      </c>
      <c r="K245" s="3">
        <f t="shared" si="141"/>
        <v>0.68260941200140501</v>
      </c>
      <c r="L245" s="3">
        <f t="shared" si="142"/>
        <v>-0.56072156013099217</v>
      </c>
      <c r="M245" s="3">
        <f t="shared" si="143"/>
        <v>0.38929030473050569</v>
      </c>
      <c r="N245" s="3">
        <f t="shared" si="144"/>
        <v>-0.50819818671278305</v>
      </c>
      <c r="O245" s="3">
        <f t="shared" si="145"/>
        <v>0.35282507582318112</v>
      </c>
      <c r="P245" s="3">
        <f t="shared" si="146"/>
        <v>0.98119883419280196</v>
      </c>
      <c r="Q245" s="3">
        <f t="shared" si="147"/>
        <v>-0.80599436725341578</v>
      </c>
      <c r="R245" s="3">
        <f t="shared" si="148"/>
        <v>0.55957504606359953</v>
      </c>
      <c r="S245" s="3">
        <f t="shared" si="149"/>
        <v>-0.7304960341514487</v>
      </c>
      <c r="T245" s="3">
        <f t="shared" si="150"/>
        <v>0.50715906781399578</v>
      </c>
      <c r="U245" s="3">
        <f t="shared" si="151"/>
        <v>0.35497823146258994</v>
      </c>
      <c r="V245" s="3">
        <f t="shared" si="152"/>
        <v>-0.29159273848077882</v>
      </c>
      <c r="W245" s="3">
        <f t="shared" si="153"/>
        <v>0.20244312701988235</v>
      </c>
      <c r="X245" s="3">
        <f t="shared" si="154"/>
        <v>-0.26427894251101752</v>
      </c>
      <c r="Y245" s="3">
        <f t="shared" si="155"/>
        <v>0.1834800681463637</v>
      </c>
      <c r="Z245" s="3">
        <f t="shared" si="156"/>
        <v>-0.60582025257505046</v>
      </c>
      <c r="AA245" s="3">
        <f t="shared" si="157"/>
        <v>0.49764399847175683</v>
      </c>
      <c r="AB245" s="3">
        <f t="shared" si="158"/>
        <v>-0.34549765442784125</v>
      </c>
      <c r="AC245" s="3">
        <f t="shared" si="159"/>
        <v>0.45102916604948184</v>
      </c>
      <c r="AD245" s="3">
        <f t="shared" si="160"/>
        <v>-0.31313452875386222</v>
      </c>
      <c r="AE245" s="3">
        <f t="shared" si="136"/>
        <v>-0.99561454932902105</v>
      </c>
      <c r="AF245" s="3">
        <f t="shared" si="161"/>
        <v>0.81783598874217445</v>
      </c>
      <c r="AG245" s="3">
        <f t="shared" si="162"/>
        <v>-0.56779628948570948</v>
      </c>
      <c r="AH245" s="3">
        <f t="shared" si="163"/>
        <v>0.74122843860352716</v>
      </c>
      <c r="AI245" s="3">
        <f t="shared" si="164"/>
        <v>-0.51461021878929369</v>
      </c>
      <c r="AJ245" s="3">
        <f t="shared" si="137"/>
        <v>-0.4470115670699783</v>
      </c>
      <c r="AK245" s="3">
        <f t="shared" si="165"/>
        <v>0.36719245131586609</v>
      </c>
      <c r="AL245" s="3">
        <f t="shared" si="166"/>
        <v>-0.25492948984180513</v>
      </c>
      <c r="AM245" s="3">
        <f t="shared" si="167"/>
        <v>0.3327971513878496</v>
      </c>
      <c r="AN245" s="3">
        <f t="shared" si="168"/>
        <v>-0.23104997861497331</v>
      </c>
      <c r="AO245" s="3">
        <f t="shared" si="138"/>
        <v>0.5229135408133786</v>
      </c>
      <c r="AP245" s="3">
        <f t="shared" si="169"/>
        <v>-0.4295412446172005</v>
      </c>
      <c r="AQ245" s="3">
        <f t="shared" si="170"/>
        <v>0.2982161805447372</v>
      </c>
      <c r="AR245" s="3"/>
      <c r="AS245" s="2"/>
      <c r="AT245" s="2"/>
    </row>
    <row r="246" spans="1:46">
      <c r="A246">
        <f t="shared" si="171"/>
        <v>243</v>
      </c>
      <c r="B246" s="1">
        <f t="shared" si="129"/>
        <v>29.969919000000001</v>
      </c>
      <c r="C246" s="1">
        <f t="shared" si="130"/>
        <v>188.30655471816232</v>
      </c>
      <c r="D246" s="1">
        <f t="shared" si="131"/>
        <v>-0.18788121361511206</v>
      </c>
      <c r="E246" s="1">
        <f t="shared" si="132"/>
        <v>0.98219175804448322</v>
      </c>
      <c r="F246" s="2">
        <f t="shared" si="133"/>
        <v>-6156.3037265263774</v>
      </c>
      <c r="G246" s="2">
        <f t="shared" si="134"/>
        <v>32183.477335843581</v>
      </c>
      <c r="H246" s="2">
        <f t="shared" si="135"/>
        <v>-1539.122901934998</v>
      </c>
      <c r="I246" s="3">
        <f t="shared" si="139"/>
        <v>0.94960437937034481</v>
      </c>
      <c r="J246" s="3">
        <f t="shared" si="140"/>
        <v>0.90174847731933772</v>
      </c>
      <c r="K246" s="3">
        <f t="shared" si="141"/>
        <v>0.99785651371901107</v>
      </c>
      <c r="L246" s="3">
        <f t="shared" si="142"/>
        <v>-0.18747849281127252</v>
      </c>
      <c r="M246" s="3">
        <f t="shared" si="143"/>
        <v>0.98008644348581453</v>
      </c>
      <c r="N246" s="3">
        <f t="shared" si="144"/>
        <v>-0.16905844542268939</v>
      </c>
      <c r="O246" s="3">
        <f t="shared" si="145"/>
        <v>0.88379145805465831</v>
      </c>
      <c r="P246" s="3">
        <f t="shared" si="146"/>
        <v>0.57973790298826255</v>
      </c>
      <c r="Q246" s="3">
        <f t="shared" si="147"/>
        <v>-0.10892186079211487</v>
      </c>
      <c r="R246" s="3">
        <f t="shared" si="148"/>
        <v>0.56941379014106364</v>
      </c>
      <c r="S246" s="3">
        <f t="shared" si="149"/>
        <v>-9.8220122116078473E-2</v>
      </c>
      <c r="T246" s="3">
        <f t="shared" si="150"/>
        <v>0.51346801822433707</v>
      </c>
      <c r="U246" s="3">
        <f t="shared" si="151"/>
        <v>-0.38892923636621496</v>
      </c>
      <c r="V246" s="3">
        <f t="shared" si="152"/>
        <v>7.307249693888325E-2</v>
      </c>
      <c r="W246" s="3">
        <f t="shared" si="153"/>
        <v>-0.38200309042143105</v>
      </c>
      <c r="X246" s="3">
        <f t="shared" si="154"/>
        <v>6.5893012848559931E-2</v>
      </c>
      <c r="Y246" s="3">
        <f t="shared" si="155"/>
        <v>-0.34447070511880667</v>
      </c>
      <c r="Z246" s="3">
        <f t="shared" si="156"/>
        <v>-0.9882494385677747</v>
      </c>
      <c r="AA246" s="3">
        <f t="shared" si="157"/>
        <v>0.18567350387256665</v>
      </c>
      <c r="AB246" s="3">
        <f t="shared" si="158"/>
        <v>-0.9706504534533561</v>
      </c>
      <c r="AC246" s="3">
        <f t="shared" si="159"/>
        <v>0.16743079939563313</v>
      </c>
      <c r="AD246" s="3">
        <f t="shared" si="160"/>
        <v>-0.87528256841088858</v>
      </c>
      <c r="AE246" s="3">
        <f t="shared" si="136"/>
        <v>-0.64907783005236264</v>
      </c>
      <c r="AF246" s="3">
        <f t="shared" si="161"/>
        <v>0.12194953044090134</v>
      </c>
      <c r="AG246" s="3">
        <f t="shared" si="162"/>
        <v>-0.63751889500682835</v>
      </c>
      <c r="AH246" s="3">
        <f t="shared" si="163"/>
        <v>0.10996780338489102</v>
      </c>
      <c r="AI246" s="3">
        <f t="shared" si="164"/>
        <v>-0.57488169283471424</v>
      </c>
      <c r="AJ246" s="3">
        <f t="shared" si="137"/>
        <v>0.3064910201401147</v>
      </c>
      <c r="AK246" s="3">
        <f t="shared" si="165"/>
        <v>-5.7583904826058505E-2</v>
      </c>
      <c r="AL246" s="3">
        <f t="shared" si="166"/>
        <v>0.30103295389626639</v>
      </c>
      <c r="AM246" s="3">
        <f t="shared" si="167"/>
        <v>-5.1926198494999916E-2</v>
      </c>
      <c r="AN246" s="3">
        <f t="shared" si="168"/>
        <v>0.27145600779890061</v>
      </c>
      <c r="AO246" s="3">
        <f t="shared" si="138"/>
        <v>0.97100044622945192</v>
      </c>
      <c r="AP246" s="3">
        <f t="shared" si="169"/>
        <v>-0.18243274225840478</v>
      </c>
      <c r="AQ246" s="3">
        <f t="shared" si="170"/>
        <v>0.95370863534408312</v>
      </c>
      <c r="AR246" s="3"/>
      <c r="AS246" s="2"/>
      <c r="AT246" s="2"/>
    </row>
    <row r="247" spans="1:46">
      <c r="A247">
        <f t="shared" si="171"/>
        <v>244</v>
      </c>
      <c r="B247" s="1">
        <f t="shared" si="129"/>
        <v>30.093252</v>
      </c>
      <c r="C247" s="1">
        <f t="shared" si="130"/>
        <v>189.08147881165269</v>
      </c>
      <c r="D247" s="1">
        <f t="shared" si="131"/>
        <v>0.55296582725681376</v>
      </c>
      <c r="E247" s="1">
        <f t="shared" si="132"/>
        <v>0.83320393295170403</v>
      </c>
      <c r="F247" s="2">
        <f t="shared" si="133"/>
        <v>18119.031261724016</v>
      </c>
      <c r="G247" s="2">
        <f t="shared" si="134"/>
        <v>27301.593271028487</v>
      </c>
      <c r="H247" s="2">
        <f t="shared" si="135"/>
        <v>4529.8960568878183</v>
      </c>
      <c r="I247" s="3">
        <f t="shared" si="139"/>
        <v>0.94713822931100011</v>
      </c>
      <c r="J247" s="3">
        <f t="shared" si="140"/>
        <v>0.89707082542237659</v>
      </c>
      <c r="K247" s="3">
        <f t="shared" si="141"/>
        <v>0.77220277433710616</v>
      </c>
      <c r="L247" s="3">
        <f t="shared" si="142"/>
        <v>0.42700174592132456</v>
      </c>
      <c r="M247" s="3">
        <f t="shared" si="143"/>
        <v>0.64340238861389398</v>
      </c>
      <c r="N247" s="3">
        <f t="shared" si="144"/>
        <v>0.38305080867043861</v>
      </c>
      <c r="O247" s="3">
        <f t="shared" si="145"/>
        <v>0.57717751183259469</v>
      </c>
      <c r="P247" s="3">
        <f t="shared" si="146"/>
        <v>-0.13930946176033743</v>
      </c>
      <c r="Q247" s="3">
        <f t="shared" si="147"/>
        <v>-7.7033371767006448E-2</v>
      </c>
      <c r="R247" s="3">
        <f t="shared" si="148"/>
        <v>-0.11607319143609816</v>
      </c>
      <c r="S247" s="3">
        <f t="shared" si="149"/>
        <v>-6.9104390396097282E-2</v>
      </c>
      <c r="T247" s="3">
        <f t="shared" si="150"/>
        <v>-0.10412587365099012</v>
      </c>
      <c r="U247" s="3">
        <f t="shared" si="151"/>
        <v>-0.91753190818825436</v>
      </c>
      <c r="V247" s="3">
        <f t="shared" si="152"/>
        <v>-0.50736379064584092</v>
      </c>
      <c r="W247" s="3">
        <f t="shared" si="153"/>
        <v>-0.76449119451113534</v>
      </c>
      <c r="X247" s="3">
        <f t="shared" si="154"/>
        <v>-0.45514125446409043</v>
      </c>
      <c r="Y247" s="3">
        <f t="shared" si="155"/>
        <v>-0.68580274688824283</v>
      </c>
      <c r="Z247" s="3">
        <f t="shared" si="156"/>
        <v>-0.81786972630651666</v>
      </c>
      <c r="AA247" s="3">
        <f t="shared" si="157"/>
        <v>-0.45225400979538682</v>
      </c>
      <c r="AB247" s="3">
        <f t="shared" si="158"/>
        <v>-0.68145227260072339</v>
      </c>
      <c r="AC247" s="3">
        <f t="shared" si="159"/>
        <v>-0.40570387786772721</v>
      </c>
      <c r="AD247" s="3">
        <f t="shared" si="160"/>
        <v>-0.61131095266788538</v>
      </c>
      <c r="AE247" s="3">
        <f t="shared" si="136"/>
        <v>6.4321383753952979E-2</v>
      </c>
      <c r="AF247" s="3">
        <f t="shared" si="161"/>
        <v>3.556752717780759E-2</v>
      </c>
      <c r="AG247" s="3">
        <f t="shared" si="162"/>
        <v>5.3592829916689462E-2</v>
      </c>
      <c r="AH247" s="3">
        <f t="shared" si="163"/>
        <v>3.1906590963628668E-2</v>
      </c>
      <c r="AI247" s="3">
        <f t="shared" si="164"/>
        <v>4.8076564170085656E-2</v>
      </c>
      <c r="AJ247" s="3">
        <f t="shared" si="137"/>
        <v>0.88497048795577615</v>
      </c>
      <c r="AK247" s="3">
        <f t="shared" si="165"/>
        <v>0.48935843797033191</v>
      </c>
      <c r="AL247" s="3">
        <f t="shared" si="166"/>
        <v>0.73736089111094127</v>
      </c>
      <c r="AM247" s="3">
        <f t="shared" si="167"/>
        <v>0.43898917787745051</v>
      </c>
      <c r="AN247" s="3">
        <f t="shared" si="168"/>
        <v>0.66146494322307126</v>
      </c>
      <c r="AO247" s="3">
        <f t="shared" si="138"/>
        <v>0.85888937934338772</v>
      </c>
      <c r="AP247" s="3">
        <f t="shared" si="169"/>
        <v>0.47493647617070772</v>
      </c>
      <c r="AQ247" s="3">
        <f t="shared" si="170"/>
        <v>0.71563000883935868</v>
      </c>
      <c r="AR247" s="3"/>
      <c r="AS247" s="2"/>
      <c r="AT247" s="2"/>
    </row>
    <row r="248" spans="1:46">
      <c r="A248">
        <f t="shared" si="171"/>
        <v>245</v>
      </c>
      <c r="B248" s="1">
        <f t="shared" si="129"/>
        <v>30.216584999999998</v>
      </c>
      <c r="C248" s="1">
        <f t="shared" si="130"/>
        <v>189.85640290514306</v>
      </c>
      <c r="D248" s="1">
        <f t="shared" si="131"/>
        <v>0.9780407869051766</v>
      </c>
      <c r="E248" s="1">
        <f t="shared" si="132"/>
        <v>0.20841357717265696</v>
      </c>
      <c r="F248" s="2">
        <f t="shared" si="133"/>
        <v>32047.462464521923</v>
      </c>
      <c r="G248" s="2">
        <f t="shared" si="134"/>
        <v>6829.0876832164504</v>
      </c>
      <c r="H248" s="2">
        <f t="shared" si="135"/>
        <v>8012.1101263272067</v>
      </c>
      <c r="I248" s="3">
        <f t="shared" si="139"/>
        <v>0.94461480648102436</v>
      </c>
      <c r="J248" s="3">
        <f t="shared" si="140"/>
        <v>0.89229713262318311</v>
      </c>
      <c r="K248" s="3">
        <f t="shared" si="141"/>
        <v>0.1279666792800592</v>
      </c>
      <c r="L248" s="3">
        <f t="shared" si="142"/>
        <v>0.12515663170071145</v>
      </c>
      <c r="M248" s="3">
        <f t="shared" si="143"/>
        <v>2.6669993387663259E-2</v>
      </c>
      <c r="N248" s="3">
        <f t="shared" si="144"/>
        <v>0.11167690359532061</v>
      </c>
      <c r="O248" s="3">
        <f t="shared" si="145"/>
        <v>2.3797558626891178E-2</v>
      </c>
      <c r="P248" s="3">
        <f t="shared" si="146"/>
        <v>-0.78204165910077161</v>
      </c>
      <c r="Q248" s="3">
        <f t="shared" si="147"/>
        <v>-0.76486863965954854</v>
      </c>
      <c r="R248" s="3">
        <f t="shared" si="148"/>
        <v>-0.16298809967123135</v>
      </c>
      <c r="S248" s="3">
        <f t="shared" si="149"/>
        <v>-0.68249009400160987</v>
      </c>
      <c r="T248" s="3">
        <f t="shared" si="150"/>
        <v>-0.14543381398834129</v>
      </c>
      <c r="U248" s="3">
        <f t="shared" si="151"/>
        <v>-0.93820408301839742</v>
      </c>
      <c r="V248" s="3">
        <f t="shared" si="152"/>
        <v>-0.91760185963296304</v>
      </c>
      <c r="W248" s="3">
        <f t="shared" si="153"/>
        <v>-0.19553446905985664</v>
      </c>
      <c r="X248" s="3">
        <f t="shared" si="154"/>
        <v>-0.81877350824019346</v>
      </c>
      <c r="Y248" s="3">
        <f t="shared" si="155"/>
        <v>-0.17447484607110658</v>
      </c>
      <c r="Z248" s="3">
        <f t="shared" si="156"/>
        <v>-0.18998845151458388</v>
      </c>
      <c r="AA248" s="3">
        <f t="shared" si="157"/>
        <v>-0.1858164546222196</v>
      </c>
      <c r="AB248" s="3">
        <f t="shared" si="158"/>
        <v>-3.9596172801648323E-2</v>
      </c>
      <c r="AC248" s="3">
        <f t="shared" si="159"/>
        <v>-0.16580348965361236</v>
      </c>
      <c r="AD248" s="3">
        <f t="shared" si="160"/>
        <v>-3.533155145376287E-2</v>
      </c>
      <c r="AE248" s="3">
        <f t="shared" si="136"/>
        <v>0.74136578431133837</v>
      </c>
      <c r="AF248" s="3">
        <f t="shared" si="161"/>
        <v>0.72508597507243477</v>
      </c>
      <c r="AG248" s="3">
        <f t="shared" si="162"/>
        <v>0.15451069510173848</v>
      </c>
      <c r="AH248" s="3">
        <f t="shared" si="163"/>
        <v>0.64699213646241838</v>
      </c>
      <c r="AI248" s="3">
        <f t="shared" si="164"/>
        <v>0.13786945019889613</v>
      </c>
      <c r="AJ248" s="3">
        <f t="shared" si="137"/>
        <v>0.95808345171131737</v>
      </c>
      <c r="AK248" s="3">
        <f t="shared" si="165"/>
        <v>0.93704469303256455</v>
      </c>
      <c r="AL248" s="3">
        <f t="shared" si="166"/>
        <v>0.19967759940108221</v>
      </c>
      <c r="AM248" s="3">
        <f t="shared" si="167"/>
        <v>0.8361222927327282</v>
      </c>
      <c r="AN248" s="3">
        <f t="shared" si="168"/>
        <v>0.17817174939466626</v>
      </c>
      <c r="AO248" s="3">
        <f t="shared" si="138"/>
        <v>0.25126042612847554</v>
      </c>
      <c r="AP248" s="3">
        <f t="shared" si="169"/>
        <v>0.24574294488882423</v>
      </c>
      <c r="AQ248" s="3">
        <f t="shared" si="170"/>
        <v>5.2366084211361713E-2</v>
      </c>
      <c r="AR248" s="3"/>
      <c r="AS248" s="2"/>
      <c r="AT248" s="2"/>
    </row>
    <row r="249" spans="1:46">
      <c r="A249">
        <f t="shared" si="171"/>
        <v>246</v>
      </c>
      <c r="B249" s="1">
        <f t="shared" si="129"/>
        <v>30.339918000000001</v>
      </c>
      <c r="C249" s="1">
        <f t="shared" si="130"/>
        <v>190.63132699863345</v>
      </c>
      <c r="D249" s="1">
        <f t="shared" si="131"/>
        <v>0.84460388274689269</v>
      </c>
      <c r="E249" s="1">
        <f t="shared" si="132"/>
        <v>-0.53539170823694415</v>
      </c>
      <c r="F249" s="2">
        <f t="shared" si="133"/>
        <v>27675.135425967434</v>
      </c>
      <c r="G249" s="2">
        <f t="shared" si="134"/>
        <v>-17543.18010379995</v>
      </c>
      <c r="H249" s="2">
        <f t="shared" si="135"/>
        <v>6918.9950074625449</v>
      </c>
      <c r="I249" s="3">
        <f t="shared" si="139"/>
        <v>0.9420342634699892</v>
      </c>
      <c r="J249" s="3">
        <f t="shared" si="140"/>
        <v>0.88742855355144501</v>
      </c>
      <c r="K249" s="3">
        <f t="shared" si="141"/>
        <v>-0.58563538523620451</v>
      </c>
      <c r="L249" s="3">
        <f t="shared" si="142"/>
        <v>-0.49462992024447061</v>
      </c>
      <c r="M249" s="3">
        <f t="shared" si="143"/>
        <v>0.31354432930561238</v>
      </c>
      <c r="N249" s="3">
        <f t="shared" si="144"/>
        <v>-0.4389487146658172</v>
      </c>
      <c r="O249" s="3">
        <f t="shared" si="145"/>
        <v>0.27824819062993761</v>
      </c>
      <c r="P249" s="3">
        <f t="shared" si="146"/>
        <v>-0.99636332796533589</v>
      </c>
      <c r="Q249" s="3">
        <f t="shared" si="147"/>
        <v>-0.84153233542613837</v>
      </c>
      <c r="R249" s="3">
        <f t="shared" si="148"/>
        <v>0.53344466418400782</v>
      </c>
      <c r="S249" s="3">
        <f t="shared" si="149"/>
        <v>-0.74679982319398741</v>
      </c>
      <c r="T249" s="3">
        <f t="shared" si="150"/>
        <v>0.4733940267365504</v>
      </c>
      <c r="U249" s="3">
        <f t="shared" si="151"/>
        <v>-0.43950198659476436</v>
      </c>
      <c r="V249" s="3">
        <f t="shared" si="152"/>
        <v>-0.37120508435291077</v>
      </c>
      <c r="W249" s="3">
        <f t="shared" si="153"/>
        <v>0.23530571937650141</v>
      </c>
      <c r="X249" s="3">
        <f t="shared" si="154"/>
        <v>-0.32941799107824571</v>
      </c>
      <c r="Y249" s="3">
        <f t="shared" si="155"/>
        <v>0.20881701418867088</v>
      </c>
      <c r="Z249" s="3">
        <f t="shared" si="156"/>
        <v>0.54416893380563058</v>
      </c>
      <c r="AA249" s="3">
        <f t="shared" si="157"/>
        <v>0.45960719436247244</v>
      </c>
      <c r="AB249" s="3">
        <f t="shared" si="158"/>
        <v>-0.29134353503967314</v>
      </c>
      <c r="AC249" s="3">
        <f t="shared" si="159"/>
        <v>0.40786854769492675</v>
      </c>
      <c r="AD249" s="3">
        <f t="shared" si="160"/>
        <v>-0.2585465718868219</v>
      </c>
      <c r="AE249" s="3">
        <f t="shared" si="136"/>
        <v>0.99938601180545394</v>
      </c>
      <c r="AF249" s="3">
        <f t="shared" si="161"/>
        <v>0.84408530593381836</v>
      </c>
      <c r="AG249" s="3">
        <f t="shared" si="162"/>
        <v>-0.53506298404862884</v>
      </c>
      <c r="AH249" s="3">
        <f t="shared" si="163"/>
        <v>0.7490654021188774</v>
      </c>
      <c r="AI249" s="3">
        <f t="shared" si="164"/>
        <v>-0.47483016999319455</v>
      </c>
      <c r="AJ249" s="3">
        <f t="shared" si="137"/>
        <v>0.48407841415627129</v>
      </c>
      <c r="AK249" s="3">
        <f t="shared" si="165"/>
        <v>0.40885450815034513</v>
      </c>
      <c r="AL249" s="3">
        <f t="shared" si="166"/>
        <v>-0.259171569075757</v>
      </c>
      <c r="AM249" s="3">
        <f t="shared" si="167"/>
        <v>0.3628291647808482</v>
      </c>
      <c r="AN249" s="3">
        <f t="shared" si="168"/>
        <v>-0.22999625066655746</v>
      </c>
      <c r="AO249" s="3">
        <f t="shared" si="138"/>
        <v>-0.50132786442097332</v>
      </c>
      <c r="AP249" s="3">
        <f t="shared" si="169"/>
        <v>-0.42342346081916188</v>
      </c>
      <c r="AQ249" s="3">
        <f t="shared" si="170"/>
        <v>0.26840678171912402</v>
      </c>
      <c r="AR249" s="3"/>
      <c r="AS249" s="2"/>
      <c r="AT249" s="2"/>
    </row>
    <row r="250" spans="1:46">
      <c r="A250">
        <f t="shared" si="171"/>
        <v>247</v>
      </c>
      <c r="B250" s="1">
        <f t="shared" si="129"/>
        <v>30.463251</v>
      </c>
      <c r="C250" s="1">
        <f t="shared" si="130"/>
        <v>191.40625109212382</v>
      </c>
      <c r="D250" s="1">
        <f t="shared" si="131"/>
        <v>0.22885448707794037</v>
      </c>
      <c r="E250" s="1">
        <f t="shared" si="132"/>
        <v>-0.97346064314089908</v>
      </c>
      <c r="F250" s="2">
        <f t="shared" si="133"/>
        <v>7498.8749780828721</v>
      </c>
      <c r="G250" s="2">
        <f t="shared" si="134"/>
        <v>-31897.38489379784</v>
      </c>
      <c r="H250" s="2">
        <f t="shared" si="135"/>
        <v>1874.7759581424875</v>
      </c>
      <c r="I250" s="3">
        <f t="shared" si="139"/>
        <v>0.93939675632148312</v>
      </c>
      <c r="J250" s="3">
        <f t="shared" si="140"/>
        <v>0.8824662657873239</v>
      </c>
      <c r="K250" s="3">
        <f t="shared" si="141"/>
        <v>-0.98178632517014242</v>
      </c>
      <c r="L250" s="3">
        <f t="shared" si="142"/>
        <v>-0.22468620586694893</v>
      </c>
      <c r="M250" s="3">
        <f t="shared" si="143"/>
        <v>0.95573034752706676</v>
      </c>
      <c r="N250" s="3">
        <f t="shared" si="144"/>
        <v>-0.19827799706532831</v>
      </c>
      <c r="O250" s="3">
        <f t="shared" si="145"/>
        <v>0.84339979088183181</v>
      </c>
      <c r="P250" s="3">
        <f t="shared" si="146"/>
        <v>-0.66486683622397458</v>
      </c>
      <c r="Q250" s="3">
        <f t="shared" si="147"/>
        <v>-0.15215775877917068</v>
      </c>
      <c r="R250" s="3">
        <f t="shared" si="148"/>
        <v>0.64722169799364515</v>
      </c>
      <c r="S250" s="3">
        <f t="shared" si="149"/>
        <v>-0.13427408920042316</v>
      </c>
      <c r="T250" s="3">
        <f t="shared" si="150"/>
        <v>0.57115131496498317</v>
      </c>
      <c r="U250" s="3">
        <f t="shared" si="151"/>
        <v>0.30250114436272907</v>
      </c>
      <c r="V250" s="3">
        <f t="shared" si="152"/>
        <v>6.9228744233622352E-2</v>
      </c>
      <c r="W250" s="3">
        <f t="shared" si="153"/>
        <v>-0.29447295854220018</v>
      </c>
      <c r="X250" s="3">
        <f t="shared" si="154"/>
        <v>6.1092031408990458E-2</v>
      </c>
      <c r="Y250" s="3">
        <f t="shared" si="155"/>
        <v>-0.25986245210008085</v>
      </c>
      <c r="Z250" s="3">
        <f t="shared" si="156"/>
        <v>0.97392803968225095</v>
      </c>
      <c r="AA250" s="3">
        <f t="shared" si="157"/>
        <v>0.22288780197230551</v>
      </c>
      <c r="AB250" s="3">
        <f t="shared" si="158"/>
        <v>-0.94808061588203907</v>
      </c>
      <c r="AC250" s="3">
        <f t="shared" si="159"/>
        <v>0.19669096629604496</v>
      </c>
      <c r="AD250" s="3">
        <f t="shared" si="160"/>
        <v>-0.83664916076276918</v>
      </c>
      <c r="AE250" s="3">
        <f t="shared" si="136"/>
        <v>0.69254756085820124</v>
      </c>
      <c r="AF250" s="3">
        <f t="shared" si="161"/>
        <v>0.15849261681728233</v>
      </c>
      <c r="AG250" s="3">
        <f t="shared" si="162"/>
        <v>-0.67416779399868554</v>
      </c>
      <c r="AH250" s="3">
        <f t="shared" si="163"/>
        <v>0.13986438771760837</v>
      </c>
      <c r="AI250" s="3">
        <f t="shared" si="164"/>
        <v>-0.59493033568409781</v>
      </c>
      <c r="AJ250" s="3">
        <f t="shared" si="137"/>
        <v>-0.26636184828205212</v>
      </c>
      <c r="AK250" s="3">
        <f t="shared" si="165"/>
        <v>-6.0958104165721207E-2</v>
      </c>
      <c r="AL250" s="3">
        <f t="shared" si="166"/>
        <v>0.25929277613684504</v>
      </c>
      <c r="AM250" s="3">
        <f t="shared" si="167"/>
        <v>-5.3793470552598706E-2</v>
      </c>
      <c r="AN250" s="3">
        <f t="shared" si="168"/>
        <v>0.22881712790311015</v>
      </c>
      <c r="AO250" s="3">
        <f t="shared" si="138"/>
        <v>-0.96468574915777627</v>
      </c>
      <c r="AP250" s="3">
        <f t="shared" si="169"/>
        <v>-0.22077266231490153</v>
      </c>
      <c r="AQ250" s="3">
        <f t="shared" si="170"/>
        <v>0.93908360980398897</v>
      </c>
      <c r="AR250" s="3"/>
      <c r="AS250" s="2"/>
      <c r="AT250" s="2"/>
    </row>
    <row r="251" spans="1:46">
      <c r="A251">
        <f t="shared" si="171"/>
        <v>248</v>
      </c>
      <c r="B251" s="1">
        <f t="shared" si="129"/>
        <v>30.586583999999998</v>
      </c>
      <c r="C251" s="1">
        <f t="shared" si="130"/>
        <v>192.18117518561419</v>
      </c>
      <c r="D251" s="1">
        <f t="shared" si="131"/>
        <v>-0.51758265477679899</v>
      </c>
      <c r="E251" s="1">
        <f t="shared" si="132"/>
        <v>-0.85563321316683405</v>
      </c>
      <c r="F251" s="2">
        <f t="shared" si="133"/>
        <v>-16959.630849071371</v>
      </c>
      <c r="G251" s="2">
        <f t="shared" si="134"/>
        <v>-28036.533495837652</v>
      </c>
      <c r="H251" s="2">
        <f t="shared" si="135"/>
        <v>-4240.0371079315373</v>
      </c>
      <c r="I251" s="3">
        <f t="shared" si="139"/>
        <v>0.93670244452367513</v>
      </c>
      <c r="J251" s="3">
        <f t="shared" si="140"/>
        <v>0.87741146957662863</v>
      </c>
      <c r="K251" s="3">
        <f t="shared" si="141"/>
        <v>-0.84574747452456278</v>
      </c>
      <c r="L251" s="3">
        <f t="shared" si="142"/>
        <v>0.4377442231351964</v>
      </c>
      <c r="M251" s="3">
        <f t="shared" si="143"/>
        <v>0.72364962915518682</v>
      </c>
      <c r="N251" s="3">
        <f t="shared" si="144"/>
        <v>0.38408180211973225</v>
      </c>
      <c r="O251" s="3">
        <f t="shared" si="145"/>
        <v>0.63493848457563473</v>
      </c>
      <c r="P251" s="3">
        <f t="shared" si="146"/>
        <v>3.0850601240833924E-2</v>
      </c>
      <c r="Q251" s="3">
        <f t="shared" si="147"/>
        <v>-1.5967736091691231E-2</v>
      </c>
      <c r="R251" s="3">
        <f t="shared" si="148"/>
        <v>-2.6396799067823447E-2</v>
      </c>
      <c r="S251" s="3">
        <f t="shared" si="149"/>
        <v>-1.4010274790022577E-2</v>
      </c>
      <c r="T251" s="3">
        <f t="shared" si="150"/>
        <v>-2.3160854262217954E-2</v>
      </c>
      <c r="U251" s="3">
        <f t="shared" si="151"/>
        <v>0.87704464233569113</v>
      </c>
      <c r="V251" s="3">
        <f t="shared" si="152"/>
        <v>-0.45394309433787516</v>
      </c>
      <c r="W251" s="3">
        <f t="shared" si="153"/>
        <v>-0.75042852541244409</v>
      </c>
      <c r="X251" s="3">
        <f t="shared" si="154"/>
        <v>-0.39829487750715725</v>
      </c>
      <c r="Y251" s="3">
        <f t="shared" si="155"/>
        <v>-0.658434595294355</v>
      </c>
      <c r="Z251" s="3">
        <f t="shared" si="156"/>
        <v>0.85888937934338772</v>
      </c>
      <c r="AA251" s="3">
        <f t="shared" si="157"/>
        <v>-0.44454624512014779</v>
      </c>
      <c r="AB251" s="3">
        <f t="shared" si="158"/>
        <v>-0.73489427940245067</v>
      </c>
      <c r="AC251" s="3">
        <f t="shared" si="159"/>
        <v>-0.39004997422564108</v>
      </c>
      <c r="AD251" s="3">
        <f t="shared" si="160"/>
        <v>-0.64480466967396177</v>
      </c>
      <c r="AE251" s="3">
        <f t="shared" si="136"/>
        <v>-5.7227245985949056E-3</v>
      </c>
      <c r="AF251" s="3">
        <f t="shared" si="161"/>
        <v>2.9619829902972428E-3</v>
      </c>
      <c r="AG251" s="3">
        <f t="shared" si="162"/>
        <v>4.8965532363646393E-3</v>
      </c>
      <c r="AH251" s="3">
        <f t="shared" si="163"/>
        <v>2.5988778483776805E-3</v>
      </c>
      <c r="AI251" s="3">
        <f t="shared" si="164"/>
        <v>4.2962919709788952E-3</v>
      </c>
      <c r="AJ251" s="3">
        <f t="shared" si="137"/>
        <v>-0.86469494114430434</v>
      </c>
      <c r="AK251" s="3">
        <f t="shared" si="165"/>
        <v>0.447551103209537</v>
      </c>
      <c r="AL251" s="3">
        <f t="shared" si="166"/>
        <v>0.73986171090040753</v>
      </c>
      <c r="AM251" s="3">
        <f t="shared" si="167"/>
        <v>0.39268647117772126</v>
      </c>
      <c r="AN251" s="3">
        <f t="shared" si="168"/>
        <v>0.64916315104460542</v>
      </c>
      <c r="AO251" s="3">
        <f t="shared" si="138"/>
        <v>-0.87148879122128486</v>
      </c>
      <c r="AP251" s="3">
        <f t="shared" si="169"/>
        <v>0.45106748216853615</v>
      </c>
      <c r="AQ251" s="3">
        <f t="shared" si="170"/>
        <v>0.7456747546715482</v>
      </c>
      <c r="AR251" s="3"/>
      <c r="AS251" s="2"/>
      <c r="AT251" s="2"/>
    </row>
    <row r="252" spans="1:46">
      <c r="A252">
        <f t="shared" si="171"/>
        <v>249</v>
      </c>
      <c r="B252" s="1">
        <f t="shared" si="129"/>
        <v>30.709917000000001</v>
      </c>
      <c r="C252" s="1">
        <f t="shared" si="130"/>
        <v>192.95609927910459</v>
      </c>
      <c r="D252" s="1">
        <f t="shared" si="131"/>
        <v>-0.96845333655772747</v>
      </c>
      <c r="E252" s="1">
        <f t="shared" si="132"/>
        <v>-0.24919497368567645</v>
      </c>
      <c r="F252" s="2">
        <f t="shared" si="133"/>
        <v>-31733.310478987056</v>
      </c>
      <c r="G252" s="2">
        <f t="shared" si="134"/>
        <v>-8165.3717027585599</v>
      </c>
      <c r="H252" s="2">
        <f t="shared" si="135"/>
        <v>-7933.5697330809035</v>
      </c>
      <c r="I252" s="3">
        <f t="shared" si="139"/>
        <v>0.93395149099967056</v>
      </c>
      <c r="J252" s="3">
        <f t="shared" si="140"/>
        <v>0.87226538754050775</v>
      </c>
      <c r="K252" s="3">
        <f t="shared" si="141"/>
        <v>-0.25126042612846511</v>
      </c>
      <c r="L252" s="3">
        <f t="shared" si="142"/>
        <v>0.24333399802902844</v>
      </c>
      <c r="M252" s="3">
        <f t="shared" si="143"/>
        <v>6.2612835277334716E-2</v>
      </c>
      <c r="N252" s="3">
        <f t="shared" si="144"/>
        <v>0.21225182409257165</v>
      </c>
      <c r="O252" s="3">
        <f t="shared" si="145"/>
        <v>5.4615009028194342E-2</v>
      </c>
      <c r="P252" s="3">
        <f t="shared" si="146"/>
        <v>0.70966775951001304</v>
      </c>
      <c r="Q252" s="3">
        <f t="shared" si="147"/>
        <v>-0.68728010954491903</v>
      </c>
      <c r="R252" s="3">
        <f t="shared" si="148"/>
        <v>-0.17684563865667066</v>
      </c>
      <c r="S252" s="3">
        <f t="shared" si="149"/>
        <v>-0.59949065110108146</v>
      </c>
      <c r="T252" s="3">
        <f t="shared" si="150"/>
        <v>-0.15425632953770943</v>
      </c>
      <c r="U252" s="3">
        <f t="shared" si="151"/>
        <v>0.96607072441269626</v>
      </c>
      <c r="V252" s="3">
        <f t="shared" si="152"/>
        <v>-0.9355944164082165</v>
      </c>
      <c r="W252" s="3">
        <f t="shared" si="153"/>
        <v>-0.24073996874852421</v>
      </c>
      <c r="X252" s="3">
        <f t="shared" si="154"/>
        <v>-0.81608662620904815</v>
      </c>
      <c r="Y252" s="3">
        <f t="shared" si="155"/>
        <v>-0.20998914213692121</v>
      </c>
      <c r="Z252" s="3">
        <f t="shared" si="156"/>
        <v>0.26340350296059395</v>
      </c>
      <c r="AA252" s="3">
        <f t="shared" si="157"/>
        <v>-0.25509400130318044</v>
      </c>
      <c r="AB252" s="3">
        <f t="shared" si="158"/>
        <v>-6.5638828988980213E-2</v>
      </c>
      <c r="AC252" s="3">
        <f t="shared" si="159"/>
        <v>-0.22250966790597751</v>
      </c>
      <c r="AD252" s="3">
        <f t="shared" si="160"/>
        <v>-5.7254478605777939E-2</v>
      </c>
      <c r="AE252" s="3">
        <f t="shared" si="136"/>
        <v>-0.70075849344653174</v>
      </c>
      <c r="AF252" s="3">
        <f t="shared" si="161"/>
        <v>0.67865190109946005</v>
      </c>
      <c r="AG252" s="3">
        <f t="shared" si="162"/>
        <v>0.17462549433442276</v>
      </c>
      <c r="AH252" s="3">
        <f t="shared" si="163"/>
        <v>0.59196456351762283</v>
      </c>
      <c r="AI252" s="3">
        <f t="shared" si="164"/>
        <v>0.15231977449006801</v>
      </c>
      <c r="AJ252" s="3">
        <f t="shared" si="137"/>
        <v>-0.96923997504656723</v>
      </c>
      <c r="AK252" s="3">
        <f t="shared" si="165"/>
        <v>0.93866368775897657</v>
      </c>
      <c r="AL252" s="3">
        <f t="shared" si="166"/>
        <v>0.24152973007683501</v>
      </c>
      <c r="AM252" s="3">
        <f t="shared" si="167"/>
        <v>0.81876384537328584</v>
      </c>
      <c r="AN252" s="3">
        <f t="shared" si="168"/>
        <v>0.21067802360802471</v>
      </c>
      <c r="AO252" s="3">
        <f t="shared" si="138"/>
        <v>-0.27550498532610762</v>
      </c>
      <c r="AP252" s="3">
        <f t="shared" si="169"/>
        <v>0.26681372227735667</v>
      </c>
      <c r="AQ252" s="3">
        <f t="shared" si="170"/>
        <v>6.8654457568612062E-2</v>
      </c>
      <c r="AR252" s="3"/>
      <c r="AS252" s="2"/>
      <c r="AT252" s="2"/>
    </row>
    <row r="253" spans="1:46">
      <c r="A253">
        <f t="shared" si="171"/>
        <v>250</v>
      </c>
      <c r="B253" s="1">
        <f t="shared" si="129"/>
        <v>30.83325</v>
      </c>
      <c r="C253" s="1">
        <f t="shared" si="130"/>
        <v>193.73102337259496</v>
      </c>
      <c r="D253" s="1">
        <f t="shared" si="131"/>
        <v>-0.86628708444739899</v>
      </c>
      <c r="E253" s="1">
        <f t="shared" si="132"/>
        <v>0.49954648164072274</v>
      </c>
      <c r="F253" s="2">
        <f t="shared" si="133"/>
        <v>-28385.628896087921</v>
      </c>
      <c r="G253" s="2">
        <f t="shared" si="134"/>
        <v>16368.639563921563</v>
      </c>
      <c r="H253" s="2">
        <f t="shared" si="135"/>
        <v>-7096.6237957930925</v>
      </c>
      <c r="I253" s="3">
        <f t="shared" si="139"/>
        <v>0.93114406209765965</v>
      </c>
      <c r="J253" s="3">
        <f t="shared" si="140"/>
        <v>0.86702926437973027</v>
      </c>
      <c r="K253" s="3">
        <f t="shared" si="141"/>
        <v>0.47942553860418408</v>
      </c>
      <c r="L253" s="3">
        <f t="shared" si="142"/>
        <v>-0.41532015204704253</v>
      </c>
      <c r="M253" s="3">
        <f t="shared" si="143"/>
        <v>0.23949534101842865</v>
      </c>
      <c r="N253" s="3">
        <f t="shared" si="144"/>
        <v>-0.360094725911425</v>
      </c>
      <c r="O253" s="3">
        <f t="shared" si="145"/>
        <v>0.20764946934558082</v>
      </c>
      <c r="P253" s="3">
        <f t="shared" si="146"/>
        <v>0.99972156181739391</v>
      </c>
      <c r="Q253" s="3">
        <f t="shared" si="147"/>
        <v>-0.86604587704599034</v>
      </c>
      <c r="R253" s="3">
        <f t="shared" si="148"/>
        <v>0.49940738882624741</v>
      </c>
      <c r="S253" s="3">
        <f t="shared" si="149"/>
        <v>-0.75088711969428334</v>
      </c>
      <c r="T253" s="3">
        <f t="shared" si="150"/>
        <v>0.43300082095982323</v>
      </c>
      <c r="U253" s="3">
        <f t="shared" si="151"/>
        <v>0.52029602321319901</v>
      </c>
      <c r="V253" s="3">
        <f t="shared" si="152"/>
        <v>-0.45072572499893837</v>
      </c>
      <c r="W253" s="3">
        <f t="shared" si="153"/>
        <v>0.25991204780781335</v>
      </c>
      <c r="X253" s="3">
        <f t="shared" si="154"/>
        <v>-0.39079239378285013</v>
      </c>
      <c r="Y253" s="3">
        <f t="shared" si="155"/>
        <v>0.22535135161423772</v>
      </c>
      <c r="Z253" s="3">
        <f t="shared" si="156"/>
        <v>-0.47942553860419956</v>
      </c>
      <c r="AA253" s="3">
        <f t="shared" si="157"/>
        <v>0.41532015204705597</v>
      </c>
      <c r="AB253" s="3">
        <f t="shared" si="158"/>
        <v>-0.23949534101843639</v>
      </c>
      <c r="AC253" s="3">
        <f t="shared" si="159"/>
        <v>0.36009472591143665</v>
      </c>
      <c r="AD253" s="3">
        <f t="shared" si="160"/>
        <v>-0.20764946934558753</v>
      </c>
      <c r="AE253" s="3">
        <f t="shared" si="136"/>
        <v>-0.99972156181739369</v>
      </c>
      <c r="AF253" s="3">
        <f t="shared" si="161"/>
        <v>0.86604587704599012</v>
      </c>
      <c r="AG253" s="3">
        <f t="shared" si="162"/>
        <v>-0.4994073888262473</v>
      </c>
      <c r="AH253" s="3">
        <f t="shared" si="163"/>
        <v>0.75088711969428323</v>
      </c>
      <c r="AI253" s="3">
        <f t="shared" si="164"/>
        <v>-0.43300082095982317</v>
      </c>
      <c r="AJ253" s="3">
        <f t="shared" si="137"/>
        <v>-0.52029602321320823</v>
      </c>
      <c r="AK253" s="3">
        <f t="shared" si="165"/>
        <v>0.45072572499894636</v>
      </c>
      <c r="AL253" s="3">
        <f t="shared" si="166"/>
        <v>-0.25991204780781796</v>
      </c>
      <c r="AM253" s="3">
        <f t="shared" si="167"/>
        <v>0.39079239378285707</v>
      </c>
      <c r="AN253" s="3">
        <f t="shared" si="168"/>
        <v>-0.22535135161424169</v>
      </c>
      <c r="AO253" s="3">
        <f t="shared" si="138"/>
        <v>0.47942553860419007</v>
      </c>
      <c r="AP253" s="3">
        <f t="shared" si="169"/>
        <v>-0.41532015204704775</v>
      </c>
      <c r="AQ253" s="3">
        <f t="shared" si="170"/>
        <v>0.23949534101843165</v>
      </c>
      <c r="AR253" s="3"/>
      <c r="AS253" s="2"/>
      <c r="AT253" s="2"/>
    </row>
    <row r="254" spans="1:46">
      <c r="A254">
        <f t="shared" si="171"/>
        <v>251</v>
      </c>
      <c r="B254" s="1">
        <f t="shared" si="129"/>
        <v>30.956582999999998</v>
      </c>
      <c r="C254" s="1">
        <f t="shared" si="130"/>
        <v>194.50594746608536</v>
      </c>
      <c r="D254" s="1">
        <f t="shared" si="131"/>
        <v>-0.26942611141714945</v>
      </c>
      <c r="E254" s="1">
        <f t="shared" si="132"/>
        <v>0.96302106440442614</v>
      </c>
      <c r="F254" s="2">
        <f t="shared" si="133"/>
        <v>-8828.2853928057357</v>
      </c>
      <c r="G254" s="2">
        <f t="shared" si="134"/>
        <v>31555.311217339833</v>
      </c>
      <c r="H254" s="2">
        <f t="shared" si="135"/>
        <v>-2207.1387047292883</v>
      </c>
      <c r="I254" s="3">
        <f t="shared" si="139"/>
        <v>0.92828032758085788</v>
      </c>
      <c r="J254" s="3">
        <f t="shared" si="140"/>
        <v>0.86170436657362481</v>
      </c>
      <c r="K254" s="3">
        <f t="shared" si="141"/>
        <v>0.95023277978261211</v>
      </c>
      <c r="L254" s="3">
        <f t="shared" si="142"/>
        <v>-0.25601752279793771</v>
      </c>
      <c r="M254" s="3">
        <f t="shared" si="143"/>
        <v>0.91509418301822776</v>
      </c>
      <c r="N254" s="3">
        <f t="shared" si="144"/>
        <v>-0.22061141731434544</v>
      </c>
      <c r="O254" s="3">
        <f t="shared" si="145"/>
        <v>0.78854065333293066</v>
      </c>
      <c r="P254" s="3">
        <f t="shared" si="146"/>
        <v>0.74211752819902377</v>
      </c>
      <c r="Q254" s="3">
        <f t="shared" si="147"/>
        <v>-0.19994583983716974</v>
      </c>
      <c r="R254" s="3">
        <f t="shared" si="148"/>
        <v>0.71467481191940563</v>
      </c>
      <c r="S254" s="3">
        <f t="shared" si="149"/>
        <v>-0.17229420326591977</v>
      </c>
      <c r="T254" s="3">
        <f t="shared" si="150"/>
        <v>0.61583840611113583</v>
      </c>
      <c r="U254" s="3">
        <f t="shared" si="151"/>
        <v>-0.21350595561574337</v>
      </c>
      <c r="V254" s="3">
        <f t="shared" si="152"/>
        <v>5.7524079385952241E-2</v>
      </c>
      <c r="W254" s="3">
        <f t="shared" si="153"/>
        <v>-0.20561073263375734</v>
      </c>
      <c r="X254" s="3">
        <f t="shared" si="154"/>
        <v>4.9568750390002879E-2</v>
      </c>
      <c r="Y254" s="3">
        <f t="shared" si="155"/>
        <v>-0.17717566612491079</v>
      </c>
      <c r="Z254" s="3">
        <f t="shared" si="156"/>
        <v>-0.95407258739727574</v>
      </c>
      <c r="AA254" s="3">
        <f t="shared" si="157"/>
        <v>0.25705206723214646</v>
      </c>
      <c r="AB254" s="3">
        <f t="shared" si="158"/>
        <v>-0.91879199863440941</v>
      </c>
      <c r="AC254" s="3">
        <f t="shared" si="159"/>
        <v>0.22150288877071761</v>
      </c>
      <c r="AD254" s="3">
        <f t="shared" si="160"/>
        <v>-0.79172707719617852</v>
      </c>
      <c r="AE254" s="3">
        <f t="shared" si="136"/>
        <v>-0.7336362969647745</v>
      </c>
      <c r="AF254" s="3">
        <f t="shared" si="161"/>
        <v>0.19766077468569629</v>
      </c>
      <c r="AG254" s="3">
        <f t="shared" si="162"/>
        <v>-0.70650720758873886</v>
      </c>
      <c r="AH254" s="3">
        <f t="shared" si="163"/>
        <v>0.17032515264698986</v>
      </c>
      <c r="AI254" s="3">
        <f t="shared" si="164"/>
        <v>-0.60880034579495457</v>
      </c>
      <c r="AJ254" s="3">
        <f t="shared" si="137"/>
        <v>0.225765387231711</v>
      </c>
      <c r="AK254" s="3">
        <f t="shared" si="165"/>
        <v>-6.0827090374426858E-2</v>
      </c>
      <c r="AL254" s="3">
        <f t="shared" si="166"/>
        <v>0.21741682351755975</v>
      </c>
      <c r="AM254" s="3">
        <f t="shared" si="167"/>
        <v>-5.2414969381612123E-2</v>
      </c>
      <c r="AN254" s="3">
        <f t="shared" si="168"/>
        <v>0.18734902619164842</v>
      </c>
      <c r="AO254" s="3">
        <f t="shared" si="138"/>
        <v>0.95776173589042912</v>
      </c>
      <c r="AP254" s="3">
        <f t="shared" si="169"/>
        <v>-0.2580460201650972</v>
      </c>
      <c r="AQ254" s="3">
        <f t="shared" si="170"/>
        <v>0.92234472634303188</v>
      </c>
      <c r="AR254" s="3"/>
      <c r="AS254" s="2"/>
      <c r="AT254" s="2"/>
    </row>
    <row r="255" spans="1:46">
      <c r="A255">
        <f t="shared" si="171"/>
        <v>252</v>
      </c>
      <c r="B255" s="1">
        <f t="shared" si="129"/>
        <v>31.079916000000001</v>
      </c>
      <c r="C255" s="1">
        <f t="shared" si="130"/>
        <v>195.28087155957573</v>
      </c>
      <c r="D255" s="1">
        <f t="shared" si="131"/>
        <v>0.48129110325503549</v>
      </c>
      <c r="E255" s="1">
        <f t="shared" si="132"/>
        <v>0.8765608215791707</v>
      </c>
      <c r="F255" s="2">
        <f t="shared" si="133"/>
        <v>15770.465580357748</v>
      </c>
      <c r="G255" s="2">
        <f t="shared" si="134"/>
        <v>28722.268440684686</v>
      </c>
      <c r="H255" s="2">
        <f t="shared" si="135"/>
        <v>3942.7367178652507</v>
      </c>
      <c r="I255" s="3">
        <f t="shared" si="139"/>
        <v>0.92536046061724153</v>
      </c>
      <c r="J255" s="3">
        <f t="shared" si="140"/>
        <v>0.85629198207375345</v>
      </c>
      <c r="K255" s="3">
        <f t="shared" si="141"/>
        <v>0.90595423181374135</v>
      </c>
      <c r="L255" s="3">
        <f t="shared" si="142"/>
        <v>0.43602771172820376</v>
      </c>
      <c r="M255" s="3">
        <f t="shared" si="143"/>
        <v>0.79412398575177956</v>
      </c>
      <c r="N255" s="3">
        <f t="shared" si="144"/>
        <v>0.37336703351482675</v>
      </c>
      <c r="O255" s="3">
        <f t="shared" si="145"/>
        <v>0.68000200177170045</v>
      </c>
      <c r="P255" s="3">
        <f t="shared" si="146"/>
        <v>7.7973818916160731E-2</v>
      </c>
      <c r="Q255" s="3">
        <f t="shared" si="147"/>
        <v>3.7528105331167357E-2</v>
      </c>
      <c r="R255" s="3">
        <f t="shared" si="148"/>
        <v>6.8348794770815333E-2</v>
      </c>
      <c r="S255" s="3">
        <f t="shared" si="149"/>
        <v>3.2135015697497889E-2</v>
      </c>
      <c r="T255" s="3">
        <f t="shared" si="150"/>
        <v>5.8526524946653662E-2</v>
      </c>
      <c r="U255" s="3">
        <f t="shared" si="151"/>
        <v>-0.82911456680388851</v>
      </c>
      <c r="V255" s="3">
        <f t="shared" si="152"/>
        <v>-0.39904546458186435</v>
      </c>
      <c r="W255" s="3">
        <f t="shared" si="153"/>
        <v>-0.72676934586087472</v>
      </c>
      <c r="X255" s="3">
        <f t="shared" si="154"/>
        <v>-0.34169943180434637</v>
      </c>
      <c r="Y255" s="3">
        <f t="shared" si="155"/>
        <v>-0.62232676367765372</v>
      </c>
      <c r="Z255" s="3">
        <f t="shared" si="156"/>
        <v>-0.89502865159663192</v>
      </c>
      <c r="AA255" s="3">
        <f t="shared" si="157"/>
        <v>-0.43076932717180977</v>
      </c>
      <c r="AB255" s="3">
        <f t="shared" si="158"/>
        <v>-0.78454705018044102</v>
      </c>
      <c r="AC255" s="3">
        <f t="shared" si="159"/>
        <v>-0.36886432098052613</v>
      </c>
      <c r="AD255" s="3">
        <f t="shared" si="160"/>
        <v>-0.67180134862912633</v>
      </c>
      <c r="AE255" s="3">
        <f t="shared" si="136"/>
        <v>-5.289560941764631E-2</v>
      </c>
      <c r="AF255" s="3">
        <f t="shared" si="161"/>
        <v>-2.5458186213966439E-2</v>
      </c>
      <c r="AG255" s="3">
        <f t="shared" si="162"/>
        <v>-4.6366218849062966E-2</v>
      </c>
      <c r="AH255" s="3">
        <f t="shared" si="163"/>
        <v>-2.1799640733160028E-2</v>
      </c>
      <c r="AI255" s="3">
        <f t="shared" si="164"/>
        <v>-3.9703021439529557E-2</v>
      </c>
      <c r="AJ255" s="3">
        <f t="shared" si="137"/>
        <v>0.84290242558076378</v>
      </c>
      <c r="AK255" s="3">
        <f t="shared" si="165"/>
        <v>0.40568143834411124</v>
      </c>
      <c r="AL255" s="3">
        <f t="shared" si="166"/>
        <v>0.73885524267815006</v>
      </c>
      <c r="AM255" s="3">
        <f t="shared" si="167"/>
        <v>0.34738176293021023</v>
      </c>
      <c r="AN255" s="3">
        <f t="shared" si="168"/>
        <v>0.63267582021845725</v>
      </c>
      <c r="AO255" s="3">
        <f t="shared" si="138"/>
        <v>0.88353775209967889</v>
      </c>
      <c r="AP255" s="3">
        <f t="shared" si="169"/>
        <v>0.42523885947552847</v>
      </c>
      <c r="AQ255" s="3">
        <f t="shared" si="170"/>
        <v>0.77447457787670815</v>
      </c>
      <c r="AR255" s="3"/>
      <c r="AS255" s="2"/>
      <c r="AT255" s="2"/>
    </row>
    <row r="256" spans="1:46">
      <c r="A256">
        <f t="shared" si="171"/>
        <v>253</v>
      </c>
      <c r="B256" s="1">
        <f t="shared" si="129"/>
        <v>31.203249</v>
      </c>
      <c r="C256" s="1">
        <f t="shared" si="130"/>
        <v>196.05579565306613</v>
      </c>
      <c r="D256" s="1">
        <f t="shared" si="131"/>
        <v>0.95716621040826966</v>
      </c>
      <c r="E256" s="1">
        <f t="shared" si="132"/>
        <v>0.28953902267686155</v>
      </c>
      <c r="F256" s="2">
        <f t="shared" si="133"/>
        <v>31363.46521644777</v>
      </c>
      <c r="G256" s="2">
        <f t="shared" si="134"/>
        <v>9487.3251560527224</v>
      </c>
      <c r="H256" s="2">
        <f t="shared" si="135"/>
        <v>7841.105595664545</v>
      </c>
      <c r="I256" s="3">
        <f t="shared" si="139"/>
        <v>0.92238463776907531</v>
      </c>
      <c r="J256" s="3">
        <f t="shared" si="140"/>
        <v>0.85079341999238822</v>
      </c>
      <c r="K256" s="3">
        <f t="shared" si="141"/>
        <v>0.37059164596114907</v>
      </c>
      <c r="L256" s="3">
        <f t="shared" si="142"/>
        <v>0.35471780137359621</v>
      </c>
      <c r="M256" s="3">
        <f t="shared" si="143"/>
        <v>0.10730074298380059</v>
      </c>
      <c r="N256" s="3">
        <f t="shared" si="144"/>
        <v>0.30179157136282259</v>
      </c>
      <c r="O256" s="3">
        <f t="shared" si="145"/>
        <v>9.1290766090911968E-2</v>
      </c>
      <c r="P256" s="3">
        <f t="shared" si="146"/>
        <v>-0.6288847567429573</v>
      </c>
      <c r="Q256" s="3">
        <f t="shared" si="147"/>
        <v>-0.60194723939518291</v>
      </c>
      <c r="R256" s="3">
        <f t="shared" si="148"/>
        <v>-0.18208667784373167</v>
      </c>
      <c r="S256" s="3">
        <f t="shared" si="149"/>
        <v>-0.51213275046000462</v>
      </c>
      <c r="T256" s="3">
        <f t="shared" si="150"/>
        <v>-0.15491814737772069</v>
      </c>
      <c r="U256" s="3">
        <f t="shared" si="151"/>
        <v>-0.98573905959610986</v>
      </c>
      <c r="V256" s="3">
        <f t="shared" si="152"/>
        <v>-0.94351612012501995</v>
      </c>
      <c r="W256" s="3">
        <f t="shared" si="153"/>
        <v>-0.28540992392986625</v>
      </c>
      <c r="X256" s="3">
        <f t="shared" si="154"/>
        <v>-0.80273730665911469</v>
      </c>
      <c r="Y256" s="3">
        <f t="shared" si="155"/>
        <v>-0.24282488528005824</v>
      </c>
      <c r="Z256" s="3">
        <f t="shared" si="156"/>
        <v>-0.33532184315934704</v>
      </c>
      <c r="AA256" s="3">
        <f t="shared" si="157"/>
        <v>-0.32095873788394835</v>
      </c>
      <c r="AB256" s="3">
        <f t="shared" si="158"/>
        <v>-9.7088758750561194E-2</v>
      </c>
      <c r="AC256" s="3">
        <f t="shared" si="159"/>
        <v>-0.27306958228072492</v>
      </c>
      <c r="AD256" s="3">
        <f t="shared" si="160"/>
        <v>-8.2602477100205865E-2</v>
      </c>
      <c r="AE256" s="3">
        <f t="shared" si="136"/>
        <v>0.65774197850437022</v>
      </c>
      <c r="AF256" s="3">
        <f t="shared" si="161"/>
        <v>0.62956839699146561</v>
      </c>
      <c r="AG256" s="3">
        <f t="shared" si="162"/>
        <v>0.19044196962970064</v>
      </c>
      <c r="AH256" s="3">
        <f t="shared" si="163"/>
        <v>0.53563264959549461</v>
      </c>
      <c r="AI256" s="3">
        <f t="shared" si="164"/>
        <v>0.16202677465133952</v>
      </c>
      <c r="AJ256" s="3">
        <f t="shared" si="137"/>
        <v>0.97869612211564316</v>
      </c>
      <c r="AK256" s="3">
        <f t="shared" si="165"/>
        <v>0.93677485834669927</v>
      </c>
      <c r="AL256" s="3">
        <f t="shared" si="166"/>
        <v>0.28337071869499764</v>
      </c>
      <c r="AM256" s="3">
        <f t="shared" si="167"/>
        <v>0.7970018854956733</v>
      </c>
      <c r="AN256" s="3">
        <f t="shared" si="168"/>
        <v>0.24108994288421803</v>
      </c>
      <c r="AO256" s="3">
        <f t="shared" si="138"/>
        <v>0.29957552966999929</v>
      </c>
      <c r="AP256" s="3">
        <f t="shared" si="169"/>
        <v>0.28674357446528337</v>
      </c>
      <c r="AQ256" s="3">
        <f t="shared" si="170"/>
        <v>8.6738806078554734E-2</v>
      </c>
      <c r="AR256" s="3"/>
      <c r="AS256" s="2"/>
      <c r="AT256" s="2"/>
    </row>
    <row r="257" spans="1:46">
      <c r="A257">
        <f t="shared" si="171"/>
        <v>254</v>
      </c>
      <c r="B257" s="1">
        <f t="shared" si="129"/>
        <v>31.326581999999998</v>
      </c>
      <c r="C257" s="1">
        <f t="shared" si="130"/>
        <v>196.8307197465565</v>
      </c>
      <c r="D257" s="1">
        <f t="shared" si="131"/>
        <v>0.88644991635881842</v>
      </c>
      <c r="E257" s="1">
        <f t="shared" si="132"/>
        <v>-0.46282453023521103</v>
      </c>
      <c r="F257" s="2">
        <f t="shared" si="133"/>
        <v>29046.304409329405</v>
      </c>
      <c r="G257" s="2">
        <f t="shared" si="134"/>
        <v>-15165.371382217159</v>
      </c>
      <c r="H257" s="2">
        <f t="shared" si="135"/>
        <v>7261.7977148114405</v>
      </c>
      <c r="I257" s="3">
        <f t="shared" si="139"/>
        <v>0.9193530389822363</v>
      </c>
      <c r="J257" s="3">
        <f t="shared" si="140"/>
        <v>0.84521001028587328</v>
      </c>
      <c r="K257" s="3">
        <f t="shared" si="141"/>
        <v>-0.36565486483346538</v>
      </c>
      <c r="L257" s="3">
        <f t="shared" si="142"/>
        <v>-0.32413472434782042</v>
      </c>
      <c r="M257" s="3">
        <f t="shared" si="143"/>
        <v>0.16923404104476819</v>
      </c>
      <c r="N257" s="3">
        <f t="shared" si="144"/>
        <v>-0.27396191370003004</v>
      </c>
      <c r="O257" s="3">
        <f t="shared" si="145"/>
        <v>0.14303830557216843</v>
      </c>
      <c r="P257" s="3">
        <f t="shared" si="146"/>
        <v>-0.99123374285353116</v>
      </c>
      <c r="Q257" s="3">
        <f t="shared" si="147"/>
        <v>-0.87867906844455124</v>
      </c>
      <c r="R257" s="3">
        <f t="shared" si="148"/>
        <v>0.45876729138947553</v>
      </c>
      <c r="S257" s="3">
        <f t="shared" si="149"/>
        <v>-0.74266834447800067</v>
      </c>
      <c r="T257" s="3">
        <f t="shared" si="150"/>
        <v>0.38775470707412085</v>
      </c>
      <c r="U257" s="3">
        <f t="shared" si="151"/>
        <v>-0.59667470388429211</v>
      </c>
      <c r="V257" s="3">
        <f t="shared" si="152"/>
        <v>-0.52892224135165344</v>
      </c>
      <c r="W257" s="3">
        <f t="shared" si="153"/>
        <v>0.27615568952848113</v>
      </c>
      <c r="X257" s="3">
        <f t="shared" si="154"/>
        <v>-0.44705037305325818</v>
      </c>
      <c r="Y257" s="3">
        <f t="shared" si="155"/>
        <v>0.23340955318686996</v>
      </c>
      <c r="Z257" s="3">
        <f t="shared" si="156"/>
        <v>0.41195795185717643</v>
      </c>
      <c r="AA257" s="3">
        <f t="shared" si="157"/>
        <v>0.36518009196714418</v>
      </c>
      <c r="AB257" s="3">
        <f t="shared" si="158"/>
        <v>-0.19066424554495737</v>
      </c>
      <c r="AC257" s="3">
        <f t="shared" si="159"/>
        <v>0.30865386928774607</v>
      </c>
      <c r="AD257" s="3">
        <f t="shared" si="160"/>
        <v>-0.16115132893820167</v>
      </c>
      <c r="AE257" s="3">
        <f t="shared" si="136"/>
        <v>0.99662004573605734</v>
      </c>
      <c r="AF257" s="3">
        <f t="shared" si="161"/>
        <v>0.88345375618424982</v>
      </c>
      <c r="AG257" s="3">
        <f t="shared" si="162"/>
        <v>-0.46126020449078525</v>
      </c>
      <c r="AH257" s="3">
        <f t="shared" si="163"/>
        <v>0.74670395835158321</v>
      </c>
      <c r="AI257" s="3">
        <f t="shared" si="164"/>
        <v>-0.38986174218212066</v>
      </c>
      <c r="AJ257" s="3">
        <f t="shared" si="137"/>
        <v>0.55560085624760436</v>
      </c>
      <c r="AK257" s="3">
        <f t="shared" si="165"/>
        <v>0.49251233254957677</v>
      </c>
      <c r="AL257" s="3">
        <f t="shared" si="166"/>
        <v>-0.2571457052910785</v>
      </c>
      <c r="AM257" s="3">
        <f t="shared" si="167"/>
        <v>0.41627635366014726</v>
      </c>
      <c r="AN257" s="3">
        <f t="shared" si="168"/>
        <v>-0.21734212421404059</v>
      </c>
      <c r="AO257" s="3">
        <f t="shared" si="138"/>
        <v>-0.45722039734152981</v>
      </c>
      <c r="AP257" s="3">
        <f t="shared" si="169"/>
        <v>-0.4053029829809448</v>
      </c>
      <c r="AQ257" s="3">
        <f t="shared" si="170"/>
        <v>0.21161281561355005</v>
      </c>
      <c r="AR257" s="3"/>
      <c r="AS257" s="2"/>
      <c r="AT257" s="2"/>
    </row>
    <row r="258" spans="1:46">
      <c r="A258">
        <f t="shared" si="171"/>
        <v>255</v>
      </c>
      <c r="B258" s="1">
        <f t="shared" si="129"/>
        <v>31.449915000000001</v>
      </c>
      <c r="C258" s="1">
        <f t="shared" si="130"/>
        <v>197.60564384004689</v>
      </c>
      <c r="D258" s="1">
        <f t="shared" si="131"/>
        <v>0.3095248817480975</v>
      </c>
      <c r="E258" s="1">
        <f t="shared" si="132"/>
        <v>-0.95089134372904371</v>
      </c>
      <c r="F258" s="2">
        <f t="shared" si="133"/>
        <v>10142.201800239911</v>
      </c>
      <c r="G258" s="2">
        <f t="shared" si="134"/>
        <v>-31157.856659969577</v>
      </c>
      <c r="H258" s="2">
        <f t="shared" si="135"/>
        <v>2535.6278312804147</v>
      </c>
      <c r="I258" s="3">
        <f t="shared" si="139"/>
        <v>0.9162658475753328</v>
      </c>
      <c r="J258" s="3">
        <f t="shared" si="140"/>
        <v>0.83954310343294303</v>
      </c>
      <c r="K258" s="3">
        <f t="shared" si="141"/>
        <v>-0.90369349581637015</v>
      </c>
      <c r="L258" s="3">
        <f t="shared" si="142"/>
        <v>-0.27971562242908682</v>
      </c>
      <c r="M258" s="3">
        <f t="shared" si="143"/>
        <v>0.85931432255602513</v>
      </c>
      <c r="N258" s="3">
        <f t="shared" si="144"/>
        <v>-0.23483332173279287</v>
      </c>
      <c r="O258" s="3">
        <f t="shared" si="145"/>
        <v>0.72143141318306236</v>
      </c>
      <c r="P258" s="3">
        <f t="shared" si="146"/>
        <v>-0.81057460826209016</v>
      </c>
      <c r="Q258" s="3">
        <f t="shared" si="147"/>
        <v>-0.25089300977033391</v>
      </c>
      <c r="R258" s="3">
        <f t="shared" si="148"/>
        <v>0.77076837844298218</v>
      </c>
      <c r="S258" s="3">
        <f t="shared" si="149"/>
        <v>-0.21063549605221785</v>
      </c>
      <c r="T258" s="3">
        <f t="shared" si="150"/>
        <v>0.64709327646599835</v>
      </c>
      <c r="U258" s="3">
        <f t="shared" si="151"/>
        <v>0.1226989044887255</v>
      </c>
      <c r="V258" s="3">
        <f t="shared" si="152"/>
        <v>3.7978363902493872E-2</v>
      </c>
      <c r="W258" s="3">
        <f t="shared" si="153"/>
        <v>-0.11667332616336579</v>
      </c>
      <c r="X258" s="3">
        <f t="shared" si="154"/>
        <v>3.1884473494005361E-2</v>
      </c>
      <c r="Y258" s="3">
        <f t="shared" si="155"/>
        <v>-9.7952286335036096E-2</v>
      </c>
      <c r="Z258" s="3">
        <f t="shared" si="156"/>
        <v>0.92879590435348858</v>
      </c>
      <c r="AA258" s="3">
        <f t="shared" si="157"/>
        <v>0.28748544246313085</v>
      </c>
      <c r="AB258" s="3">
        <f t="shared" si="158"/>
        <v>-0.88318398554072108</v>
      </c>
      <c r="AC258" s="3">
        <f t="shared" si="159"/>
        <v>0.24135642055728965</v>
      </c>
      <c r="AD258" s="3">
        <f t="shared" si="160"/>
        <v>-0.74147102412313248</v>
      </c>
      <c r="AE258" s="3">
        <f t="shared" si="136"/>
        <v>0.77220277433711559</v>
      </c>
      <c r="AF258" s="3">
        <f t="shared" si="161"/>
        <v>0.23901597241224853</v>
      </c>
      <c r="AG258" s="3">
        <f t="shared" si="162"/>
        <v>-0.73428093372071535</v>
      </c>
      <c r="AH258" s="3">
        <f t="shared" si="163"/>
        <v>0.20066421124902181</v>
      </c>
      <c r="AI258" s="3">
        <f t="shared" si="164"/>
        <v>-0.61646049388752844</v>
      </c>
      <c r="AJ258" s="3">
        <f t="shared" si="137"/>
        <v>-0.1847728569765989</v>
      </c>
      <c r="AK258" s="3">
        <f t="shared" si="165"/>
        <v>-5.7191796705939907E-2</v>
      </c>
      <c r="AL258" s="3">
        <f t="shared" si="166"/>
        <v>0.17569891025513254</v>
      </c>
      <c r="AM258" s="3">
        <f t="shared" si="167"/>
        <v>-4.8014978497410758E-2</v>
      </c>
      <c r="AN258" s="3">
        <f t="shared" si="168"/>
        <v>0.14750680838538011</v>
      </c>
      <c r="AO258" s="3">
        <f t="shared" si="138"/>
        <v>-0.95023277978261089</v>
      </c>
      <c r="AP258" s="3">
        <f t="shared" si="169"/>
        <v>-0.29412068879537862</v>
      </c>
      <c r="AQ258" s="3">
        <f t="shared" si="170"/>
        <v>0.9035681248228713</v>
      </c>
      <c r="AR258" s="3"/>
      <c r="AS258" s="2"/>
      <c r="AT258" s="2"/>
    </row>
    <row r="259" spans="1:46">
      <c r="A259">
        <f t="shared" si="171"/>
        <v>256</v>
      </c>
      <c r="B259" s="1">
        <f t="shared" ref="B259:B322" si="172">A259*0.123333</f>
        <v>31.573248</v>
      </c>
      <c r="C259" s="1">
        <f t="shared" ref="C259:C322" si="173">2*PI() * B259</f>
        <v>198.38056793353726</v>
      </c>
      <c r="D259" s="1">
        <f t="shared" ref="D259:D322" si="174">SIN(C259)</f>
        <v>-0.44415486587072706</v>
      </c>
      <c r="E259" s="1">
        <f t="shared" ref="E259:E322" si="175">COS(C259)</f>
        <v>-0.89595002936735058</v>
      </c>
      <c r="F259" s="2">
        <f t="shared" ref="F259:F322" si="176">32767*D259</f>
        <v>-14553.622489986114</v>
      </c>
      <c r="G259" s="2">
        <f t="shared" ref="G259:G322" si="177">32767*E259</f>
        <v>-29357.594612279976</v>
      </c>
      <c r="H259" s="2">
        <f t="shared" ref="H259:H322" si="178">8192*SIN(C259)</f>
        <v>-3638.516661212996</v>
      </c>
      <c r="I259" s="3">
        <f t="shared" si="139"/>
        <v>0.91312325022861884</v>
      </c>
      <c r="J259" s="3">
        <f t="shared" si="140"/>
        <v>0.83379407010807682</v>
      </c>
      <c r="K259" s="3">
        <f t="shared" si="141"/>
        <v>-0.95187354967636395</v>
      </c>
      <c r="L259" s="3">
        <f t="shared" si="142"/>
        <v>0.4227792687823983</v>
      </c>
      <c r="M259" s="3">
        <f t="shared" si="143"/>
        <v>0.85283113478654249</v>
      </c>
      <c r="N259" s="3">
        <f t="shared" si="144"/>
        <v>0.35251084727539245</v>
      </c>
      <c r="O259" s="3">
        <f t="shared" si="145"/>
        <v>0.71108554298856119</v>
      </c>
      <c r="P259" s="3">
        <f t="shared" si="146"/>
        <v>-0.18587429983602535</v>
      </c>
      <c r="Q259" s="3">
        <f t="shared" si="147"/>
        <v>8.2556974712485146E-2</v>
      </c>
      <c r="R259" s="3">
        <f t="shared" si="148"/>
        <v>0.16653408439672265</v>
      </c>
      <c r="S259" s="3">
        <f t="shared" si="149"/>
        <v>6.8835515961332555E-2</v>
      </c>
      <c r="T259" s="3">
        <f t="shared" si="150"/>
        <v>0.13885513204086533</v>
      </c>
      <c r="U259" s="3">
        <f t="shared" si="151"/>
        <v>0.77414842762703817</v>
      </c>
      <c r="V259" s="3">
        <f t="shared" si="152"/>
        <v>-0.34384179103672141</v>
      </c>
      <c r="W259" s="3">
        <f t="shared" si="153"/>
        <v>-0.69359830646713316</v>
      </c>
      <c r="X259" s="3">
        <f t="shared" si="154"/>
        <v>-0.28669324642175875</v>
      </c>
      <c r="Y259" s="3">
        <f t="shared" si="155"/>
        <v>-0.57831815496930017</v>
      </c>
      <c r="Z259" s="3">
        <f t="shared" si="156"/>
        <v>0.9260821925122994</v>
      </c>
      <c r="AA259" s="3">
        <f t="shared" si="157"/>
        <v>-0.41132391200056917</v>
      </c>
      <c r="AB259" s="3">
        <f t="shared" si="158"/>
        <v>-0.82972336757797505</v>
      </c>
      <c r="AC259" s="3">
        <f t="shared" si="159"/>
        <v>-0.342959438719731</v>
      </c>
      <c r="AD259" s="3">
        <f t="shared" si="160"/>
        <v>-0.69181842371661972</v>
      </c>
      <c r="AE259" s="3">
        <f t="shared" ref="AE259:AE322" si="179">SIN(0.5+A259*92/750*2*PI())</f>
        <v>0.11133208709255402</v>
      </c>
      <c r="AF259" s="3">
        <f t="shared" si="161"/>
        <v>-4.9448688209701434E-2</v>
      </c>
      <c r="AG259" s="3">
        <f t="shared" si="162"/>
        <v>-9.9747986700102209E-2</v>
      </c>
      <c r="AH259" s="3">
        <f t="shared" si="163"/>
        <v>-4.1230023003872227E-2</v>
      </c>
      <c r="AI259" s="3">
        <f t="shared" si="164"/>
        <v>-8.3169279815764538E-2</v>
      </c>
      <c r="AJ259" s="3">
        <f t="shared" ref="AJ259:AJ322" si="180">SIN(0.5+A259*92.5/750*2*PI())</f>
        <v>-0.81963117274258623</v>
      </c>
      <c r="AK259" s="3">
        <f t="shared" si="165"/>
        <v>0.36404317359295013</v>
      </c>
      <c r="AL259" s="3">
        <f t="shared" si="166"/>
        <v>0.73434857328911618</v>
      </c>
      <c r="AM259" s="3">
        <f t="shared" si="167"/>
        <v>0.303537039405127</v>
      </c>
      <c r="AN259" s="3">
        <f t="shared" si="168"/>
        <v>0.61229548580079152</v>
      </c>
      <c r="AO259" s="3">
        <f t="shared" ref="AO259:AO322" si="181">SIN(0.5+A259*93/750*2*PI())</f>
        <v>-0.89502865159664158</v>
      </c>
      <c r="AP259" s="3">
        <f t="shared" si="169"/>
        <v>0.39753133070036406</v>
      </c>
      <c r="AQ259" s="3">
        <f t="shared" si="170"/>
        <v>0.80190094668263123</v>
      </c>
      <c r="AR259" s="3"/>
      <c r="AS259" s="2"/>
      <c r="AT259" s="2"/>
    </row>
    <row r="260" spans="1:46">
      <c r="A260">
        <f t="shared" si="171"/>
        <v>257</v>
      </c>
      <c r="B260" s="1">
        <f t="shared" si="172"/>
        <v>31.696580999999998</v>
      </c>
      <c r="C260" s="1">
        <f t="shared" si="173"/>
        <v>199.15549202702763</v>
      </c>
      <c r="D260" s="1">
        <f t="shared" si="174"/>
        <v>-0.94419921783166605</v>
      </c>
      <c r="E260" s="1">
        <f t="shared" si="175"/>
        <v>-0.32937491866575086</v>
      </c>
      <c r="F260" s="2">
        <f t="shared" si="176"/>
        <v>-30938.5757706902</v>
      </c>
      <c r="G260" s="2">
        <f t="shared" si="177"/>
        <v>-10792.627959920659</v>
      </c>
      <c r="H260" s="2">
        <f t="shared" si="178"/>
        <v>-7734.8799924770083</v>
      </c>
      <c r="I260" s="3">
        <f t="shared" ref="I260:I323" si="182">SIN(PI()*A260/404)</f>
        <v>0.90992543697270611</v>
      </c>
      <c r="J260" s="3">
        <f t="shared" ref="J260:J323" si="183">I260*I260</f>
        <v>0.82796430084997019</v>
      </c>
      <c r="K260" s="3">
        <f t="shared" ref="K260:K323" si="184">SIN(0.5+A260*90/750*2*PI())</f>
        <v>-0.48407841415628072</v>
      </c>
      <c r="L260" s="3">
        <f t="shared" ref="L260:L323" si="185">K260*D260</f>
        <v>0.45706646001555357</v>
      </c>
      <c r="M260" s="3">
        <f t="shared" ref="M260:M323" si="186">K260*E260</f>
        <v>0.15944328829057061</v>
      </c>
      <c r="N260" s="3">
        <f t="shared" ref="N260:N323" si="187">K260*J260*D260</f>
        <v>0.37843471200874862</v>
      </c>
      <c r="O260" s="3">
        <f t="shared" ref="O260:O323" si="188">K260*J260*E260</f>
        <v>0.13201335071472253</v>
      </c>
      <c r="P260" s="3">
        <f t="shared" ref="P260:P323" si="189">SIN(0.5+A260*90.5/750*2*PI())</f>
        <v>0.54064987704532974</v>
      </c>
      <c r="Q260" s="3">
        <f t="shared" ref="Q260:Q323" si="190">P260*D260</f>
        <v>-0.51048119102698675</v>
      </c>
      <c r="R260" s="3">
        <f t="shared" ref="R260:R323" si="191">P260*E260</f>
        <v>-0.1780765092784537</v>
      </c>
      <c r="S260" s="3">
        <f t="shared" ref="S260:S323" si="192">P260*J260*D260</f>
        <v>-0.42266020242571917</v>
      </c>
      <c r="T260" s="3">
        <f t="shared" ref="T260:T323" si="193">P260*J260*E260</f>
        <v>-0.14744099250253814</v>
      </c>
      <c r="U260" s="3">
        <f t="shared" ref="U260:U323" si="194">SIN(0.5+A260*91/750*2*PI())</f>
        <v>0.99704217839277931</v>
      </c>
      <c r="V260" s="3">
        <f t="shared" ref="V260:V323" si="195">U260*D260</f>
        <v>-0.94140644498364268</v>
      </c>
      <c r="W260" s="3">
        <f t="shared" ref="W260:W323" si="196">U260*E260</f>
        <v>-0.32840068641444475</v>
      </c>
      <c r="X260" s="3">
        <f t="shared" ref="X260:X323" si="197">U260*J260*D260</f>
        <v>-0.77945092903653768</v>
      </c>
      <c r="Y260" s="3">
        <f t="shared" ref="Y260:Y323" si="198">U260*J260*E260</f>
        <v>-0.27190404472578605</v>
      </c>
      <c r="Z260" s="3">
        <f t="shared" ref="Z260:Z323" si="199">SIN(0.5+A260*91.5/750*2*PI())</f>
        <v>0.40533481775567959</v>
      </c>
      <c r="AA260" s="3">
        <f t="shared" ref="AA260:AA323" si="200">Z260*D260</f>
        <v>-0.38271681788485357</v>
      </c>
      <c r="AB260" s="3">
        <f t="shared" ref="AB260:AB323" si="201">Z260*E260</f>
        <v>-0.13350712263067391</v>
      </c>
      <c r="AC260" s="3">
        <f t="shared" ref="AC260:AC323" si="202">Z260*J260*D260</f>
        <v>-0.31687586254355815</v>
      </c>
      <c r="AD260" s="3">
        <f t="shared" ref="AD260:AD323" si="203">Z260*J260*E260</f>
        <v>-0.11053913144739716</v>
      </c>
      <c r="AE260" s="3">
        <f t="shared" si="179"/>
        <v>-0.61246413126849042</v>
      </c>
      <c r="AF260" s="3">
        <f t="shared" ref="AF260:AF323" si="204">AE260*D260</f>
        <v>0.57828815369365949</v>
      </c>
      <c r="AG260" s="3">
        <f t="shared" ref="AG260:AG323" si="205">AE260*E260</f>
        <v>0.20173032342224878</v>
      </c>
      <c r="AH260" s="3">
        <f t="shared" ref="AH260:AH323" si="206">AE260*J260*D260</f>
        <v>0.47880194686279093</v>
      </c>
      <c r="AI260" s="3">
        <f t="shared" ref="AI260:AI323" si="207">AE260*J260*E260</f>
        <v>0.16702550619254058</v>
      </c>
      <c r="AJ260" s="3">
        <f t="shared" si="180"/>
        <v>-0.98643530362334486</v>
      </c>
      <c r="AK260" s="3">
        <f t="shared" ref="AK260:AK323" si="208">AJ260*D260</f>
        <v>0.93139144212270419</v>
      </c>
      <c r="AL260" s="3">
        <f t="shared" ref="AL260:AL323" si="209">AJ260*E260</f>
        <v>0.32490704789996444</v>
      </c>
      <c r="AM260" s="3">
        <f t="shared" ref="AM260:AM323" si="210">AJ260*J260*D260</f>
        <v>0.77115886419477031</v>
      </c>
      <c r="AN260" s="3">
        <f t="shared" ref="AN260:AN323" si="211">AJ260*J260*E260</f>
        <v>0.26901143675572187</v>
      </c>
      <c r="AO260" s="3">
        <f t="shared" si="181"/>
        <v>-0.32345685568845617</v>
      </c>
      <c r="AP260" s="3">
        <f t="shared" ref="AP260:AP323" si="212">AO260*D260</f>
        <v>0.3054077101433304</v>
      </c>
      <c r="AQ260" s="3">
        <f t="shared" ref="AQ260:AQ323" si="213">AO260*E260</f>
        <v>0.10653857553426477</v>
      </c>
      <c r="AR260" s="3"/>
      <c r="AS260" s="2"/>
      <c r="AT260" s="2"/>
    </row>
    <row r="261" spans="1:46">
      <c r="A261">
        <f t="shared" ref="A261:A324" si="214">A260+1</f>
        <v>258</v>
      </c>
      <c r="B261" s="1">
        <f t="shared" si="172"/>
        <v>31.819914000000001</v>
      </c>
      <c r="C261" s="1">
        <f t="shared" si="173"/>
        <v>199.93041612051803</v>
      </c>
      <c r="D261" s="1">
        <f t="shared" si="174"/>
        <v>-0.9050569918742889</v>
      </c>
      <c r="E261" s="1">
        <f t="shared" si="175"/>
        <v>0.42529030256927258</v>
      </c>
      <c r="F261" s="2">
        <f t="shared" si="176"/>
        <v>-29656.002452744826</v>
      </c>
      <c r="G261" s="2">
        <f t="shared" si="177"/>
        <v>13935.487344287354</v>
      </c>
      <c r="H261" s="2">
        <f t="shared" si="178"/>
        <v>-7414.2268774341746</v>
      </c>
      <c r="I261" s="3">
        <f t="shared" si="182"/>
        <v>0.9066726011770726</v>
      </c>
      <c r="J261" s="3">
        <f t="shared" si="183"/>
        <v>0.82205520572519897</v>
      </c>
      <c r="K261" s="3">
        <f t="shared" si="184"/>
        <v>0.24611759541269543</v>
      </c>
      <c r="L261" s="3">
        <f t="shared" si="185"/>
        <v>-0.22275045055154741</v>
      </c>
      <c r="M261" s="3">
        <f t="shared" si="186"/>
        <v>0.10467142662068706</v>
      </c>
      <c r="N261" s="3">
        <f t="shared" si="187"/>
        <v>-0.18311316745353307</v>
      </c>
      <c r="O261" s="3">
        <f t="shared" si="188"/>
        <v>8.6045691144218964E-2</v>
      </c>
      <c r="P261" s="3">
        <f t="shared" si="189"/>
        <v>0.97100044622945347</v>
      </c>
      <c r="Q261" s="3">
        <f t="shared" si="190"/>
        <v>-0.87881074297302142</v>
      </c>
      <c r="R261" s="3">
        <f t="shared" si="191"/>
        <v>0.41295707357182299</v>
      </c>
      <c r="S261" s="3">
        <f t="shared" si="192"/>
        <v>-0.72243094610820202</v>
      </c>
      <c r="T261" s="3">
        <f t="shared" si="193"/>
        <v>0.33947351207076104</v>
      </c>
      <c r="U261" s="3">
        <f t="shared" si="194"/>
        <v>0.66798986093631185</v>
      </c>
      <c r="V261" s="3">
        <f t="shared" si="195"/>
        <v>-0.60456889414154291</v>
      </c>
      <c r="W261" s="3">
        <f t="shared" si="196"/>
        <v>0.28408961007081041</v>
      </c>
      <c r="X261" s="3">
        <f t="shared" si="197"/>
        <v>-0.49698900664858209</v>
      </c>
      <c r="Y261" s="3">
        <f t="shared" si="198"/>
        <v>0.23353734285115157</v>
      </c>
      <c r="Z261" s="3">
        <f t="shared" si="199"/>
        <v>-0.34214953785085983</v>
      </c>
      <c r="AA261" s="3">
        <f t="shared" si="200"/>
        <v>0.30966483149847734</v>
      </c>
      <c r="AB261" s="3">
        <f t="shared" si="201"/>
        <v>-0.14551288047652897</v>
      </c>
      <c r="AC261" s="3">
        <f t="shared" si="202"/>
        <v>0.25456158676333984</v>
      </c>
      <c r="AD261" s="3">
        <f t="shared" si="203"/>
        <v>-0.11961962089579929</v>
      </c>
      <c r="AE261" s="3">
        <f t="shared" si="179"/>
        <v>-0.9900921266462116</v>
      </c>
      <c r="AF261" s="3">
        <f t="shared" si="204"/>
        <v>0.89608980182083775</v>
      </c>
      <c r="AG261" s="3">
        <f t="shared" si="205"/>
        <v>-0.4210765801128219</v>
      </c>
      <c r="AH261" s="3">
        <f t="shared" si="206"/>
        <v>0.73663528638408149</v>
      </c>
      <c r="AI261" s="3">
        <f t="shared" si="207"/>
        <v>-0.34614819469070901</v>
      </c>
      <c r="AJ261" s="3">
        <f t="shared" si="180"/>
        <v>-0.58993097658575</v>
      </c>
      <c r="AK261" s="3">
        <f t="shared" si="208"/>
        <v>0.53392115508216043</v>
      </c>
      <c r="AL261" s="3">
        <f t="shared" si="209"/>
        <v>-0.25089192352714007</v>
      </c>
      <c r="AM261" s="3">
        <f t="shared" si="210"/>
        <v>0.4389126649821013</v>
      </c>
      <c r="AN261" s="3">
        <f t="shared" si="211"/>
        <v>-0.20624701180989402</v>
      </c>
      <c r="AO261" s="3">
        <f t="shared" si="181"/>
        <v>0.43472646587612102</v>
      </c>
      <c r="AP261" s="3">
        <f t="shared" si="212"/>
        <v>-0.39345222749398279</v>
      </c>
      <c r="AQ261" s="3">
        <f t="shared" si="213"/>
        <v>0.18488495020732607</v>
      </c>
      <c r="AR261" s="3"/>
      <c r="AS261" s="2"/>
      <c r="AT261" s="2"/>
    </row>
    <row r="262" spans="1:46">
      <c r="A262">
        <f t="shared" si="214"/>
        <v>259</v>
      </c>
      <c r="B262" s="1">
        <f t="shared" si="172"/>
        <v>31.943247</v>
      </c>
      <c r="C262" s="1">
        <f t="shared" si="173"/>
        <v>200.7053402140084</v>
      </c>
      <c r="D262" s="1">
        <f t="shared" si="174"/>
        <v>-0.34908042306455211</v>
      </c>
      <c r="E262" s="1">
        <f t="shared" si="175"/>
        <v>0.93709276927797991</v>
      </c>
      <c r="F262" s="2">
        <f t="shared" si="176"/>
        <v>-11438.31822255618</v>
      </c>
      <c r="G262" s="2">
        <f t="shared" si="177"/>
        <v>30705.718770931569</v>
      </c>
      <c r="H262" s="2">
        <f t="shared" si="178"/>
        <v>-2859.6668257448109</v>
      </c>
      <c r="I262" s="3">
        <f t="shared" si="182"/>
        <v>0.90336493953837016</v>
      </c>
      <c r="J262" s="3">
        <f t="shared" si="183"/>
        <v>0.81606821398716323</v>
      </c>
      <c r="K262" s="3">
        <f t="shared" si="184"/>
        <v>0.84290242558076378</v>
      </c>
      <c r="L262" s="3">
        <f t="shared" si="185"/>
        <v>-0.29424073532387018</v>
      </c>
      <c r="M262" s="3">
        <f t="shared" si="186"/>
        <v>0.78987776821860434</v>
      </c>
      <c r="N262" s="3">
        <f t="shared" si="187"/>
        <v>-0.24012051135802034</v>
      </c>
      <c r="O262" s="3">
        <f t="shared" si="188"/>
        <v>0.6445941395783229</v>
      </c>
      <c r="P262" s="3">
        <f t="shared" si="189"/>
        <v>0.86942690436586667</v>
      </c>
      <c r="Q262" s="3">
        <f t="shared" si="190"/>
        <v>-0.3034999115997406</v>
      </c>
      <c r="R262" s="3">
        <f t="shared" si="191"/>
        <v>0.81473366549699144</v>
      </c>
      <c r="S262" s="3">
        <f t="shared" si="192"/>
        <v>-0.24767663080446223</v>
      </c>
      <c r="T262" s="3">
        <f t="shared" si="193"/>
        <v>0.66487824727734457</v>
      </c>
      <c r="U262" s="3">
        <f t="shared" si="194"/>
        <v>-3.0850601240830004E-2</v>
      </c>
      <c r="V262" s="3">
        <f t="shared" si="195"/>
        <v>1.0769340932944734E-2</v>
      </c>
      <c r="W262" s="3">
        <f t="shared" si="196"/>
        <v>-2.8909875350660072E-2</v>
      </c>
      <c r="X262" s="3">
        <f t="shared" si="197"/>
        <v>8.7885168209670596E-3</v>
      </c>
      <c r="Y262" s="3">
        <f t="shared" si="198"/>
        <v>-2.3592430344004676E-2</v>
      </c>
      <c r="Z262" s="3">
        <f t="shared" si="199"/>
        <v>-0.89824161770608701</v>
      </c>
      <c r="AA262" s="3">
        <f t="shared" si="200"/>
        <v>0.31355856392302855</v>
      </c>
      <c r="AB262" s="3">
        <f t="shared" si="201"/>
        <v>-0.84173572501692961</v>
      </c>
      <c r="AC262" s="3">
        <f t="shared" si="202"/>
        <v>0.25588517724104565</v>
      </c>
      <c r="AD262" s="3">
        <f t="shared" si="203"/>
        <v>-0.68691376976375573</v>
      </c>
      <c r="AE262" s="3">
        <f t="shared" si="179"/>
        <v>-0.80811440052470973</v>
      </c>
      <c r="AF262" s="3">
        <f t="shared" si="204"/>
        <v>0.2820969168197226</v>
      </c>
      <c r="AG262" s="3">
        <f t="shared" si="205"/>
        <v>-0.75727816148111482</v>
      </c>
      <c r="AH262" s="3">
        <f t="shared" si="206"/>
        <v>0.23021032708035635</v>
      </c>
      <c r="AI262" s="3">
        <f t="shared" si="207"/>
        <v>-0.617990636731376</v>
      </c>
      <c r="AJ262" s="3">
        <f t="shared" si="180"/>
        <v>0.14345617234411126</v>
      </c>
      <c r="AK262" s="3">
        <f t="shared" si="208"/>
        <v>-5.0077741333103658E-2</v>
      </c>
      <c r="AL262" s="3">
        <f t="shared" si="209"/>
        <v>0.13443174181196238</v>
      </c>
      <c r="AM262" s="3">
        <f t="shared" si="210"/>
        <v>-4.0866852930217044E-2</v>
      </c>
      <c r="AN262" s="3">
        <f t="shared" si="211"/>
        <v>0.10970547144367158</v>
      </c>
      <c r="AO262" s="3">
        <f t="shared" si="181"/>
        <v>0.94210363628436289</v>
      </c>
      <c r="AP262" s="3">
        <f t="shared" si="212"/>
        <v>-0.32886993592479835</v>
      </c>
      <c r="AQ262" s="3">
        <f t="shared" si="213"/>
        <v>0.88283850547256837</v>
      </c>
      <c r="AR262" s="3"/>
      <c r="AS262" s="2"/>
      <c r="AT262" s="2"/>
    </row>
    <row r="263" spans="1:46">
      <c r="A263">
        <f t="shared" si="214"/>
        <v>260</v>
      </c>
      <c r="B263" s="1">
        <f t="shared" si="172"/>
        <v>32.066580000000002</v>
      </c>
      <c r="C263" s="1">
        <f t="shared" si="173"/>
        <v>201.4802643074988</v>
      </c>
      <c r="D263" s="1">
        <f t="shared" si="174"/>
        <v>0.40623911826184944</v>
      </c>
      <c r="E263" s="1">
        <f t="shared" si="175"/>
        <v>0.91376680766694252</v>
      </c>
      <c r="F263" s="2">
        <f t="shared" si="176"/>
        <v>13311.237188086021</v>
      </c>
      <c r="G263" s="2">
        <f t="shared" si="177"/>
        <v>29941.396986822707</v>
      </c>
      <c r="H263" s="2">
        <f t="shared" si="178"/>
        <v>3327.9108568010706</v>
      </c>
      <c r="I263" s="3">
        <f t="shared" si="182"/>
        <v>0.90000265206853003</v>
      </c>
      <c r="J263" s="3">
        <f t="shared" si="183"/>
        <v>0.81000477373038748</v>
      </c>
      <c r="K263" s="3">
        <f t="shared" si="184"/>
        <v>0.98278125303889641</v>
      </c>
      <c r="L263" s="3">
        <f t="shared" si="185"/>
        <v>0.39924418967879682</v>
      </c>
      <c r="M263" s="3">
        <f t="shared" si="186"/>
        <v>0.89803288822426997</v>
      </c>
      <c r="N263" s="3">
        <f t="shared" si="187"/>
        <v>0.32338969952394575</v>
      </c>
      <c r="O263" s="3">
        <f t="shared" si="188"/>
        <v>0.72741092642854621</v>
      </c>
      <c r="P263" s="3">
        <f t="shared" si="189"/>
        <v>0.2915722907255896</v>
      </c>
      <c r="Q263" s="3">
        <f t="shared" si="190"/>
        <v>0.11844807029395114</v>
      </c>
      <c r="R263" s="3">
        <f t="shared" si="191"/>
        <v>0.26642908130045967</v>
      </c>
      <c r="S263" s="3">
        <f t="shared" si="192"/>
        <v>9.5943502377252923E-2</v>
      </c>
      <c r="T263" s="3">
        <f t="shared" si="193"/>
        <v>0.21580882771397383</v>
      </c>
      <c r="U263" s="3">
        <f t="shared" si="194"/>
        <v>-0.71261268055092297</v>
      </c>
      <c r="V263" s="3">
        <f t="shared" si="195"/>
        <v>-0.28949114700921991</v>
      </c>
      <c r="W263" s="3">
        <f t="shared" si="196"/>
        <v>-0.65116181420999963</v>
      </c>
      <c r="X263" s="3">
        <f t="shared" si="197"/>
        <v>-0.23448921103015352</v>
      </c>
      <c r="Y263" s="3">
        <f t="shared" si="198"/>
        <v>-0.52744417798103926</v>
      </c>
      <c r="Z263" s="3">
        <f t="shared" si="199"/>
        <v>-0.95187354967636184</v>
      </c>
      <c r="AA263" s="3">
        <f t="shared" si="200"/>
        <v>-0.38668827151730195</v>
      </c>
      <c r="AB263" s="3">
        <f t="shared" si="201"/>
        <v>-0.86979045479036998</v>
      </c>
      <c r="AC263" s="3">
        <f t="shared" si="202"/>
        <v>-0.31321934587456685</v>
      </c>
      <c r="AD263" s="3">
        <f t="shared" si="203"/>
        <v>-0.70453442052532445</v>
      </c>
      <c r="AE263" s="3">
        <f t="shared" si="179"/>
        <v>-0.16938580245012186</v>
      </c>
      <c r="AF263" s="3">
        <f t="shared" si="204"/>
        <v>-6.8811139033413321E-2</v>
      </c>
      <c r="AG263" s="3">
        <f t="shared" si="205"/>
        <v>-0.15477912396895122</v>
      </c>
      <c r="AH263" s="3">
        <f t="shared" si="206"/>
        <v>-5.5737351102890187E-2</v>
      </c>
      <c r="AI263" s="3">
        <f t="shared" si="207"/>
        <v>-0.12537182928865792</v>
      </c>
      <c r="AJ263" s="3">
        <f t="shared" si="180"/>
        <v>0.79492200831489179</v>
      </c>
      <c r="AK263" s="3">
        <f t="shared" si="208"/>
        <v>0.32292841574478021</v>
      </c>
      <c r="AL263" s="3">
        <f t="shared" si="209"/>
        <v>0.72637334588209346</v>
      </c>
      <c r="AM263" s="3">
        <f t="shared" si="210"/>
        <v>0.26157355832646317</v>
      </c>
      <c r="AN263" s="3">
        <f t="shared" si="211"/>
        <v>0.58836587767500959</v>
      </c>
      <c r="AO263" s="3">
        <f t="shared" si="181"/>
        <v>0.90595423181372359</v>
      </c>
      <c r="AP263" s="3">
        <f t="shared" si="212"/>
        <v>0.36803404831759823</v>
      </c>
      <c r="AQ263" s="3">
        <f t="shared" si="213"/>
        <v>0.82783090629678346</v>
      </c>
      <c r="AR263" s="3"/>
      <c r="AS263" s="2"/>
      <c r="AT263" s="2"/>
    </row>
    <row r="264" spans="1:46">
      <c r="A264">
        <f t="shared" si="214"/>
        <v>261</v>
      </c>
      <c r="B264" s="1">
        <f t="shared" si="172"/>
        <v>32.189912999999997</v>
      </c>
      <c r="C264" s="1">
        <f t="shared" si="173"/>
        <v>202.25518840098914</v>
      </c>
      <c r="D264" s="1">
        <f t="shared" si="174"/>
        <v>0.92957511643810031</v>
      </c>
      <c r="E264" s="1">
        <f t="shared" si="175"/>
        <v>0.36863274800143886</v>
      </c>
      <c r="F264" s="2">
        <f t="shared" si="176"/>
        <v>30459.387840327232</v>
      </c>
      <c r="G264" s="2">
        <f t="shared" si="177"/>
        <v>12078.989253763148</v>
      </c>
      <c r="H264" s="2">
        <f t="shared" si="178"/>
        <v>7615.0793538609178</v>
      </c>
      <c r="I264" s="3">
        <f t="shared" si="182"/>
        <v>0.89658594208266851</v>
      </c>
      <c r="J264" s="3">
        <f t="shared" si="183"/>
        <v>0.8038663515402662</v>
      </c>
      <c r="K264" s="3">
        <f t="shared" si="184"/>
        <v>0.58993097658574134</v>
      </c>
      <c r="L264" s="3">
        <f t="shared" si="185"/>
        <v>0.54838515625013273</v>
      </c>
      <c r="M264" s="3">
        <f t="shared" si="186"/>
        <v>0.2174678770299743</v>
      </c>
      <c r="N264" s="3">
        <f t="shared" si="187"/>
        <v>0.44082837479363302</v>
      </c>
      <c r="O264" s="3">
        <f t="shared" si="188"/>
        <v>0.17481510888529272</v>
      </c>
      <c r="P264" s="3">
        <f t="shared" si="189"/>
        <v>-0.44600864657661288</v>
      </c>
      <c r="Q264" s="3">
        <f t="shared" si="190"/>
        <v>-0.41459853957385445</v>
      </c>
      <c r="R264" s="3">
        <f t="shared" si="191"/>
        <v>-0.16441339301993935</v>
      </c>
      <c r="S264" s="3">
        <f t="shared" si="192"/>
        <v>-0.33328181536115703</v>
      </c>
      <c r="T264" s="3">
        <f t="shared" si="193"/>
        <v>-0.13216639439129452</v>
      </c>
      <c r="U264" s="3">
        <f t="shared" si="194"/>
        <v>-0.99988415984507262</v>
      </c>
      <c r="V264" s="3">
        <f t="shared" si="195"/>
        <v>-0.92946743431259549</v>
      </c>
      <c r="W264" s="3">
        <f t="shared" si="196"/>
        <v>-0.36859004552679908</v>
      </c>
      <c r="X264" s="3">
        <f t="shared" si="197"/>
        <v>-0.74716759529635812</v>
      </c>
      <c r="Y264" s="3">
        <f t="shared" si="198"/>
        <v>-0.29629713511168859</v>
      </c>
      <c r="Z264" s="3">
        <f t="shared" si="199"/>
        <v>-0.47304459906185814</v>
      </c>
      <c r="AA264" s="3">
        <f t="shared" si="200"/>
        <v>-0.43973048825334127</v>
      </c>
      <c r="AB264" s="3">
        <f t="shared" si="201"/>
        <v>-0.17437973047941163</v>
      </c>
      <c r="AC264" s="3">
        <f t="shared" si="202"/>
        <v>-0.35348454325323331</v>
      </c>
      <c r="AD264" s="3">
        <f t="shared" si="203"/>
        <v>-0.14017799772305958</v>
      </c>
      <c r="AE264" s="3">
        <f t="shared" si="179"/>
        <v>0.56508061803588794</v>
      </c>
      <c r="AF264" s="3">
        <f t="shared" si="204"/>
        <v>0.52528488130762419</v>
      </c>
      <c r="AG264" s="3">
        <f t="shared" si="205"/>
        <v>0.2083072210689208</v>
      </c>
      <c r="AH264" s="3">
        <f t="shared" si="206"/>
        <v>0.42225884105602168</v>
      </c>
      <c r="AI264" s="3">
        <f t="shared" si="207"/>
        <v>0.16745116580016506</v>
      </c>
      <c r="AJ264" s="3">
        <f t="shared" si="180"/>
        <v>0.99244394241552669</v>
      </c>
      <c r="AK264" s="3">
        <f t="shared" si="208"/>
        <v>0.92255119332920055</v>
      </c>
      <c r="AL264" s="3">
        <f t="shared" si="209"/>
        <v>0.36584733773001737</v>
      </c>
      <c r="AM264" s="3">
        <f t="shared" si="210"/>
        <v>0.74160786189066319</v>
      </c>
      <c r="AN264" s="3">
        <f t="shared" si="211"/>
        <v>0.29409236460174859</v>
      </c>
      <c r="AO264" s="3">
        <f t="shared" si="181"/>
        <v>0.34713387942405299</v>
      </c>
      <c r="AP264" s="3">
        <f t="shared" si="212"/>
        <v>0.32268701638522351</v>
      </c>
      <c r="AQ264" s="3">
        <f t="shared" si="213"/>
        <v>0.12796491589648878</v>
      </c>
      <c r="AR264" s="3"/>
      <c r="AS264" s="2"/>
      <c r="AT264" s="2"/>
    </row>
    <row r="265" spans="1:46">
      <c r="A265">
        <f t="shared" si="214"/>
        <v>262</v>
      </c>
      <c r="B265" s="1">
        <f t="shared" si="172"/>
        <v>32.313245999999999</v>
      </c>
      <c r="C265" s="1">
        <f t="shared" si="173"/>
        <v>203.03011249447954</v>
      </c>
      <c r="D265" s="1">
        <f t="shared" si="174"/>
        <v>0.92207565480399156</v>
      </c>
      <c r="E265" s="1">
        <f t="shared" si="175"/>
        <v>-0.38700967277031989</v>
      </c>
      <c r="F265" s="2">
        <f t="shared" si="176"/>
        <v>30213.65298096239</v>
      </c>
      <c r="G265" s="2">
        <f t="shared" si="177"/>
        <v>-12681.145947665073</v>
      </c>
      <c r="H265" s="2">
        <f t="shared" si="178"/>
        <v>7553.6437641542989</v>
      </c>
      <c r="I265" s="3">
        <f t="shared" si="182"/>
        <v>0.89311501618679157</v>
      </c>
      <c r="J265" s="3">
        <f t="shared" si="183"/>
        <v>0.79765443213833298</v>
      </c>
      <c r="K265" s="3">
        <f t="shared" si="184"/>
        <v>-0.12269890448874302</v>
      </c>
      <c r="L265" s="3">
        <f t="shared" si="185"/>
        <v>-0.11313767270019014</v>
      </c>
      <c r="M265" s="3">
        <f t="shared" si="186"/>
        <v>4.7485662875465171E-2</v>
      </c>
      <c r="N265" s="3">
        <f t="shared" si="187"/>
        <v>-9.0244766071122737E-2</v>
      </c>
      <c r="O265" s="3">
        <f t="shared" si="188"/>
        <v>3.7877149455641489E-2</v>
      </c>
      <c r="P265" s="3">
        <f t="shared" si="189"/>
        <v>-0.93926142340156893</v>
      </c>
      <c r="Q265" s="3">
        <f t="shared" si="190"/>
        <v>-0.86607009201513085</v>
      </c>
      <c r="R265" s="3">
        <f t="shared" si="191"/>
        <v>0.36350325611642609</v>
      </c>
      <c r="S265" s="3">
        <f t="shared" si="192"/>
        <v>-0.69082464743832295</v>
      </c>
      <c r="T265" s="3">
        <f t="shared" si="193"/>
        <v>0.28994998333798283</v>
      </c>
      <c r="U265" s="3">
        <f t="shared" si="194"/>
        <v>-0.73363629696476984</v>
      </c>
      <c r="V265" s="3">
        <f t="shared" si="195"/>
        <v>-0.67646816891176575</v>
      </c>
      <c r="W265" s="3">
        <f t="shared" si="196"/>
        <v>0.28392434322076482</v>
      </c>
      <c r="X265" s="3">
        <f t="shared" si="197"/>
        <v>-0.53958783313297243</v>
      </c>
      <c r="Y265" s="3">
        <f t="shared" si="198"/>
        <v>0.22647351076200831</v>
      </c>
      <c r="Z265" s="3">
        <f t="shared" si="199"/>
        <v>0.27039696191890539</v>
      </c>
      <c r="AA265" s="3">
        <f t="shared" si="200"/>
        <v>0.24932645571838466</v>
      </c>
      <c r="AB265" s="3">
        <f t="shared" si="201"/>
        <v>-0.10464623975032422</v>
      </c>
      <c r="AC265" s="3">
        <f t="shared" si="202"/>
        <v>0.19887635245311133</v>
      </c>
      <c r="AD265" s="3">
        <f t="shared" si="203"/>
        <v>-8.3471536943456714E-2</v>
      </c>
      <c r="AE265" s="3">
        <f t="shared" si="179"/>
        <v>0.98016024768625298</v>
      </c>
      <c r="AF265" s="3">
        <f t="shared" si="204"/>
        <v>0.90378190219814425</v>
      </c>
      <c r="AG265" s="3">
        <f t="shared" si="205"/>
        <v>-0.37933149671953248</v>
      </c>
      <c r="AH265" s="3">
        <f t="shared" si="206"/>
        <v>0.7209056399747632</v>
      </c>
      <c r="AI265" s="3">
        <f t="shared" si="207"/>
        <v>-0.30257544960800259</v>
      </c>
      <c r="AJ265" s="3">
        <f t="shared" si="180"/>
        <v>0.62322615753104815</v>
      </c>
      <c r="AK265" s="3">
        <f t="shared" si="208"/>
        <v>0.57466166729641688</v>
      </c>
      <c r="AL265" s="3">
        <f t="shared" si="209"/>
        <v>-0.24119455128799477</v>
      </c>
      <c r="AM265" s="3">
        <f t="shared" si="210"/>
        <v>0.458381425898991</v>
      </c>
      <c r="AN265" s="3">
        <f t="shared" si="211"/>
        <v>-0.1923899028424855</v>
      </c>
      <c r="AO265" s="3">
        <f t="shared" si="181"/>
        <v>-0.41195795185719875</v>
      </c>
      <c r="AP265" s="3">
        <f t="shared" si="212"/>
        <v>-0.37985639821043776</v>
      </c>
      <c r="AQ265" s="3">
        <f t="shared" si="213"/>
        <v>0.15943171214338567</v>
      </c>
      <c r="AR265" s="3"/>
      <c r="AS265" s="2"/>
      <c r="AT265" s="2"/>
    </row>
    <row r="266" spans="1:46">
      <c r="A266">
        <f t="shared" si="214"/>
        <v>263</v>
      </c>
      <c r="B266" s="1">
        <f t="shared" si="172"/>
        <v>32.436579000000002</v>
      </c>
      <c r="C266" s="1">
        <f t="shared" si="173"/>
        <v>203.80503658796994</v>
      </c>
      <c r="D266" s="1">
        <f t="shared" si="174"/>
        <v>0.38802331374966825</v>
      </c>
      <c r="E266" s="1">
        <f t="shared" si="175"/>
        <v>-0.92164955812213489</v>
      </c>
      <c r="F266" s="2">
        <f t="shared" si="176"/>
        <v>12714.35992163538</v>
      </c>
      <c r="G266" s="2">
        <f t="shared" si="177"/>
        <v>-30199.691070987996</v>
      </c>
      <c r="H266" s="2">
        <f t="shared" si="178"/>
        <v>3178.6869862372823</v>
      </c>
      <c r="I266" s="3">
        <f t="shared" si="182"/>
        <v>0.88959008426530384</v>
      </c>
      <c r="J266" s="3">
        <f t="shared" si="183"/>
        <v>0.79137051802315039</v>
      </c>
      <c r="K266" s="3">
        <f t="shared" si="184"/>
        <v>-0.76881828056826118</v>
      </c>
      <c r="L266" s="3">
        <f t="shared" si="185"/>
        <v>-0.29831941689741887</v>
      </c>
      <c r="M266" s="3">
        <f t="shared" si="186"/>
        <v>0.70858102856195748</v>
      </c>
      <c r="N266" s="3">
        <f t="shared" si="187"/>
        <v>-0.23608119148647452</v>
      </c>
      <c r="O266" s="3">
        <f t="shared" si="188"/>
        <v>0.56075013563445297</v>
      </c>
      <c r="P266" s="3">
        <f t="shared" si="189"/>
        <v>-0.91797705493024828</v>
      </c>
      <c r="Q266" s="3">
        <f t="shared" si="190"/>
        <v>-0.35619649880019616</v>
      </c>
      <c r="R266" s="3">
        <f t="shared" si="191"/>
        <v>0.84605314704272205</v>
      </c>
      <c r="S266" s="3">
        <f t="shared" si="192"/>
        <v>-0.2818834077735437</v>
      </c>
      <c r="T266" s="3">
        <f t="shared" si="193"/>
        <v>0.66954151725031563</v>
      </c>
      <c r="U266" s="3">
        <f t="shared" si="194"/>
        <v>-6.1259507555456949E-2</v>
      </c>
      <c r="V266" s="3">
        <f t="shared" si="195"/>
        <v>-2.3770117120341244E-2</v>
      </c>
      <c r="W266" s="3">
        <f t="shared" si="196"/>
        <v>5.645979806926648E-2</v>
      </c>
      <c r="X266" s="3">
        <f t="shared" si="197"/>
        <v>-1.8810969898995406E-2</v>
      </c>
      <c r="Y266" s="3">
        <f t="shared" si="198"/>
        <v>4.4680619645557883E-2</v>
      </c>
      <c r="Z266" s="3">
        <f t="shared" si="199"/>
        <v>0.8625833430067561</v>
      </c>
      <c r="AA266" s="3">
        <f t="shared" si="200"/>
        <v>0.33470244713874825</v>
      </c>
      <c r="AB266" s="3">
        <f t="shared" si="201"/>
        <v>-0.79499955692569069</v>
      </c>
      <c r="AC266" s="3">
        <f t="shared" si="202"/>
        <v>0.26487364897580729</v>
      </c>
      <c r="AD266" s="3">
        <f t="shared" si="203"/>
        <v>-0.62913921119245886</v>
      </c>
      <c r="AE266" s="3">
        <f t="shared" si="179"/>
        <v>0.84124771051746017</v>
      </c>
      <c r="AF266" s="3">
        <f t="shared" si="204"/>
        <v>0.32642372431930655</v>
      </c>
      <c r="AG266" s="3">
        <f t="shared" si="205"/>
        <v>-0.77533558066967478</v>
      </c>
      <c r="AH266" s="3">
        <f t="shared" si="206"/>
        <v>0.25832211180961562</v>
      </c>
      <c r="AI266" s="3">
        <f t="shared" si="207"/>
        <v>-0.6135777201163406</v>
      </c>
      <c r="AJ266" s="3">
        <f t="shared" si="180"/>
        <v>-0.10188781683859721</v>
      </c>
      <c r="AK266" s="3">
        <f t="shared" si="208"/>
        <v>-3.9534848320431741E-2</v>
      </c>
      <c r="AL266" s="3">
        <f t="shared" si="209"/>
        <v>9.3904861367322137E-2</v>
      </c>
      <c r="AM266" s="3">
        <f t="shared" si="210"/>
        <v>-3.1286713395306746E-2</v>
      </c>
      <c r="AN266" s="3">
        <f t="shared" si="211"/>
        <v>7.4313538785149846E-2</v>
      </c>
      <c r="AO266" s="3">
        <f t="shared" si="181"/>
        <v>-0.93337943993695383</v>
      </c>
      <c r="AP266" s="3">
        <f t="shared" si="212"/>
        <v>-0.36217298327014624</v>
      </c>
      <c r="AQ266" s="3">
        <f t="shared" si="213"/>
        <v>0.86024874837817922</v>
      </c>
      <c r="AR266" s="3"/>
      <c r="AS266" s="2"/>
      <c r="AT266" s="2"/>
    </row>
    <row r="267" spans="1:46">
      <c r="A267">
        <f t="shared" si="214"/>
        <v>264</v>
      </c>
      <c r="B267" s="1">
        <f t="shared" si="172"/>
        <v>32.559911999999997</v>
      </c>
      <c r="C267" s="1">
        <f t="shared" si="173"/>
        <v>204.57996068146028</v>
      </c>
      <c r="D267" s="1">
        <f t="shared" si="174"/>
        <v>-0.36761040413912355</v>
      </c>
      <c r="E267" s="1">
        <f t="shared" si="175"/>
        <v>-0.92997988729255332</v>
      </c>
      <c r="F267" s="2">
        <f t="shared" si="176"/>
        <v>-12045.490112426662</v>
      </c>
      <c r="G267" s="2">
        <f t="shared" si="177"/>
        <v>-30472.650966915095</v>
      </c>
      <c r="H267" s="2">
        <f t="shared" si="178"/>
        <v>-3011.4644307077001</v>
      </c>
      <c r="I267" s="3">
        <f t="shared" si="182"/>
        <v>0.88601135946831477</v>
      </c>
      <c r="J267" s="3">
        <f t="shared" si="183"/>
        <v>0.78501612910689134</v>
      </c>
      <c r="K267" s="3">
        <f t="shared" si="184"/>
        <v>-0.99818990895594484</v>
      </c>
      <c r="L267" s="3">
        <f t="shared" si="185"/>
        <v>0.36694499583888984</v>
      </c>
      <c r="M267" s="3">
        <f t="shared" si="186"/>
        <v>0.9282965390274136</v>
      </c>
      <c r="N267" s="3">
        <f t="shared" si="187"/>
        <v>0.28805774022858965</v>
      </c>
      <c r="O267" s="3">
        <f t="shared" si="188"/>
        <v>0.72872775573062454</v>
      </c>
      <c r="P267" s="3">
        <f t="shared" si="189"/>
        <v>-0.39381533887160813</v>
      </c>
      <c r="Q267" s="3">
        <f t="shared" si="190"/>
        <v>0.14477061587877776</v>
      </c>
      <c r="R267" s="3">
        <f t="shared" si="191"/>
        <v>0.36624034445789683</v>
      </c>
      <c r="S267" s="3">
        <f t="shared" si="192"/>
        <v>0.11364726848557877</v>
      </c>
      <c r="T267" s="3">
        <f t="shared" si="193"/>
        <v>0.28750457752911268</v>
      </c>
      <c r="U267" s="3">
        <f t="shared" si="194"/>
        <v>0.64502953257826123</v>
      </c>
      <c r="V267" s="3">
        <f t="shared" si="195"/>
        <v>-0.23711956715276458</v>
      </c>
      <c r="W267" s="3">
        <f t="shared" si="196"/>
        <v>-0.59986449200749969</v>
      </c>
      <c r="X267" s="3">
        <f t="shared" si="197"/>
        <v>-0.18614268474176482</v>
      </c>
      <c r="Y267" s="3">
        <f t="shared" si="198"/>
        <v>-0.47090330150439919</v>
      </c>
      <c r="Z267" s="3">
        <f t="shared" si="199"/>
        <v>0.97225617145259735</v>
      </c>
      <c r="AA267" s="3">
        <f t="shared" si="200"/>
        <v>-0.35741148411444629</v>
      </c>
      <c r="AB267" s="3">
        <f t="shared" si="201"/>
        <v>-0.90417868474697594</v>
      </c>
      <c r="AC267" s="3">
        <f t="shared" si="202"/>
        <v>-0.28057377975787179</v>
      </c>
      <c r="AD267" s="3">
        <f t="shared" si="203"/>
        <v>-0.70979485112103113</v>
      </c>
      <c r="AE267" s="3">
        <f t="shared" si="179"/>
        <v>0.22685716546033269</v>
      </c>
      <c r="AF267" s="3">
        <f t="shared" si="204"/>
        <v>-8.3395054276728914E-2</v>
      </c>
      <c r="AG267" s="3">
        <f t="shared" si="205"/>
        <v>-0.21097260116630831</v>
      </c>
      <c r="AH267" s="3">
        <f t="shared" si="206"/>
        <v>-6.5466462694976829E-2</v>
      </c>
      <c r="AI267" s="3">
        <f t="shared" si="207"/>
        <v>-0.16561689471518737</v>
      </c>
      <c r="AJ267" s="3">
        <f t="shared" si="180"/>
        <v>-0.76881828056826562</v>
      </c>
      <c r="AK267" s="3">
        <f t="shared" si="208"/>
        <v>0.28262559882924621</v>
      </c>
      <c r="AL267" s="3">
        <f t="shared" si="209"/>
        <v>0.71498553791133035</v>
      </c>
      <c r="AM267" s="3">
        <f t="shared" si="210"/>
        <v>0.22186565357945204</v>
      </c>
      <c r="AN267" s="3">
        <f t="shared" si="211"/>
        <v>0.56127517933856108</v>
      </c>
      <c r="AO267" s="3">
        <f t="shared" si="181"/>
        <v>-0.91630759192034816</v>
      </c>
      <c r="AP267" s="3">
        <f t="shared" si="212"/>
        <v>0.33684420418158628</v>
      </c>
      <c r="AQ267" s="3">
        <f t="shared" si="213"/>
        <v>0.85214763105939628</v>
      </c>
      <c r="AR267" s="3"/>
      <c r="AS267" s="2"/>
      <c r="AT267" s="2"/>
    </row>
    <row r="268" spans="1:46">
      <c r="A268">
        <f t="shared" si="214"/>
        <v>265</v>
      </c>
      <c r="B268" s="1">
        <f t="shared" si="172"/>
        <v>32.683244999999999</v>
      </c>
      <c r="C268" s="1">
        <f t="shared" si="173"/>
        <v>205.35488477495068</v>
      </c>
      <c r="D268" s="1">
        <f t="shared" si="174"/>
        <v>-0.91331957213251336</v>
      </c>
      <c r="E268" s="1">
        <f t="shared" si="175"/>
        <v>-0.40724361156399103</v>
      </c>
      <c r="F268" s="2">
        <f t="shared" si="176"/>
        <v>-29926.742420066064</v>
      </c>
      <c r="G268" s="2">
        <f t="shared" si="177"/>
        <v>-13344.151420117294</v>
      </c>
      <c r="H268" s="2">
        <f t="shared" si="178"/>
        <v>-7481.9139349095494</v>
      </c>
      <c r="I268" s="3">
        <f t="shared" si="182"/>
        <v>0.88237905819875084</v>
      </c>
      <c r="J268" s="3">
        <f t="shared" si="183"/>
        <v>0.77859280234771455</v>
      </c>
      <c r="K268" s="3">
        <f t="shared" si="184"/>
        <v>-0.6864799751067836</v>
      </c>
      <c r="L268" s="3">
        <f t="shared" si="185"/>
        <v>0.62697559714206597</v>
      </c>
      <c r="M268" s="3">
        <f t="shared" si="186"/>
        <v>0.27956458432884523</v>
      </c>
      <c r="N268" s="3">
        <f t="shared" si="187"/>
        <v>0.48815868718247296</v>
      </c>
      <c r="O268" s="3">
        <f t="shared" si="188"/>
        <v>0.21766697314976957</v>
      </c>
      <c r="P268" s="3">
        <f t="shared" si="189"/>
        <v>0.346082502602506</v>
      </c>
      <c r="Q268" s="3">
        <f t="shared" si="190"/>
        <v>-0.31608392319947021</v>
      </c>
      <c r="R268" s="3">
        <f t="shared" si="191"/>
        <v>-0.14093988825894888</v>
      </c>
      <c r="S268" s="3">
        <f t="shared" si="192"/>
        <v>-0.24610066754093532</v>
      </c>
      <c r="T268" s="3">
        <f t="shared" si="193"/>
        <v>-0.10973478256210877</v>
      </c>
      <c r="U268" s="3">
        <f t="shared" si="194"/>
        <v>0.99424088622164475</v>
      </c>
      <c r="V268" s="3">
        <f t="shared" si="195"/>
        <v>-0.90805966080060352</v>
      </c>
      <c r="W268" s="3">
        <f t="shared" si="196"/>
        <v>-0.4048982492694857</v>
      </c>
      <c r="X268" s="3">
        <f t="shared" si="197"/>
        <v>-0.70700871600165693</v>
      </c>
      <c r="Y268" s="3">
        <f t="shared" si="198"/>
        <v>-0.31525086256441232</v>
      </c>
      <c r="Z268" s="3">
        <f t="shared" si="199"/>
        <v>0.538066446593786</v>
      </c>
      <c r="AA268" s="3">
        <f t="shared" si="200"/>
        <v>-0.49142661678189847</v>
      </c>
      <c r="AB268" s="3">
        <f t="shared" si="201"/>
        <v>-0.2191241229722567</v>
      </c>
      <c r="AC268" s="3">
        <f t="shared" si="202"/>
        <v>-0.3826212267084747</v>
      </c>
      <c r="AD268" s="3">
        <f t="shared" si="203"/>
        <v>-0.17060846496695456</v>
      </c>
      <c r="AE268" s="3">
        <f t="shared" si="179"/>
        <v>-0.51575434443239987</v>
      </c>
      <c r="AF268" s="3">
        <f t="shared" si="204"/>
        <v>0.47104853718248435</v>
      </c>
      <c r="AG268" s="3">
        <f t="shared" si="205"/>
        <v>0.21003766190646908</v>
      </c>
      <c r="AH268" s="3">
        <f t="shared" si="206"/>
        <v>0.36675500060670213</v>
      </c>
      <c r="AI268" s="3">
        <f t="shared" si="207"/>
        <v>0.16353381178231957</v>
      </c>
      <c r="AJ268" s="3">
        <f t="shared" si="180"/>
        <v>-0.9967114972979898</v>
      </c>
      <c r="AK268" s="3">
        <f t="shared" si="208"/>
        <v>0.91031611825175673</v>
      </c>
      <c r="AL268" s="3">
        <f t="shared" si="209"/>
        <v>0.40590438984698646</v>
      </c>
      <c r="AM268" s="3">
        <f t="shared" si="210"/>
        <v>0.70876557753192881</v>
      </c>
      <c r="AN268" s="3">
        <f t="shared" si="211"/>
        <v>0.31603423637620437</v>
      </c>
      <c r="AO268" s="3">
        <f t="shared" si="181"/>
        <v>-0.37059164596114635</v>
      </c>
      <c r="AP268" s="3">
        <f t="shared" si="212"/>
        <v>0.33846860352511804</v>
      </c>
      <c r="AQ268" s="3">
        <f t="shared" si="213"/>
        <v>0.15092108031666118</v>
      </c>
      <c r="AR268" s="3"/>
      <c r="AS268" s="2"/>
      <c r="AT268" s="2"/>
    </row>
    <row r="269" spans="1:46">
      <c r="A269">
        <f t="shared" si="214"/>
        <v>266</v>
      </c>
      <c r="B269" s="1">
        <f t="shared" si="172"/>
        <v>32.806578000000002</v>
      </c>
      <c r="C269" s="1">
        <f t="shared" si="173"/>
        <v>206.12980886844107</v>
      </c>
      <c r="D269" s="1">
        <f t="shared" si="174"/>
        <v>-0.93747603668809021</v>
      </c>
      <c r="E269" s="1">
        <f t="shared" si="175"/>
        <v>0.34804982493256714</v>
      </c>
      <c r="F269" s="2">
        <f t="shared" si="176"/>
        <v>-30718.277294158652</v>
      </c>
      <c r="G269" s="2">
        <f t="shared" si="177"/>
        <v>11404.548613565428</v>
      </c>
      <c r="H269" s="2">
        <f t="shared" si="178"/>
        <v>-7679.803692548835</v>
      </c>
      <c r="I269" s="3">
        <f t="shared" si="182"/>
        <v>0.87869340009926888</v>
      </c>
      <c r="J269" s="3">
        <f t="shared" si="183"/>
        <v>0.77210209137801378</v>
      </c>
      <c r="K269" s="3">
        <f t="shared" si="184"/>
        <v>-2.6548214557976829E-3</v>
      </c>
      <c r="L269" s="3">
        <f t="shared" si="185"/>
        <v>2.4888314964957177E-3</v>
      </c>
      <c r="M269" s="3">
        <f t="shared" si="186"/>
        <v>-9.2401014291760663E-4</v>
      </c>
      <c r="N269" s="3">
        <f t="shared" si="187"/>
        <v>1.9216320035318154E-3</v>
      </c>
      <c r="O269" s="3">
        <f t="shared" si="188"/>
        <v>-7.1343016380118142E-4</v>
      </c>
      <c r="P269" s="3">
        <f t="shared" si="189"/>
        <v>0.89639276122753819</v>
      </c>
      <c r="Q269" s="3">
        <f t="shared" si="190"/>
        <v>-0.84034673311148611</v>
      </c>
      <c r="R269" s="3">
        <f t="shared" si="191"/>
        <v>0.31198934361606512</v>
      </c>
      <c r="S269" s="3">
        <f t="shared" si="192"/>
        <v>-0.64883347011805992</v>
      </c>
      <c r="T269" s="3">
        <f t="shared" si="193"/>
        <v>0.24088762469361763</v>
      </c>
      <c r="U269" s="3">
        <f t="shared" si="194"/>
        <v>0.7930569206816116</v>
      </c>
      <c r="V269" s="3">
        <f t="shared" si="195"/>
        <v>-0.74347185886865841</v>
      </c>
      <c r="W269" s="3">
        <f t="shared" si="196"/>
        <v>0.27602332240479571</v>
      </c>
      <c r="X269" s="3">
        <f t="shared" si="197"/>
        <v>-0.57403617711319066</v>
      </c>
      <c r="Y269" s="3">
        <f t="shared" si="198"/>
        <v>0.21311818449785053</v>
      </c>
      <c r="Z269" s="3">
        <f t="shared" si="199"/>
        <v>-0.19710793651084624</v>
      </c>
      <c r="AA269" s="3">
        <f t="shared" si="200"/>
        <v>0.18478396711995584</v>
      </c>
      <c r="AB269" s="3">
        <f t="shared" si="201"/>
        <v>-6.8603382795419596E-2</v>
      </c>
      <c r="AC269" s="3">
        <f t="shared" si="202"/>
        <v>0.14267208746644403</v>
      </c>
      <c r="AD269" s="3">
        <f t="shared" si="203"/>
        <v>-5.2968815331949914E-2</v>
      </c>
      <c r="AE269" s="3">
        <f t="shared" si="179"/>
        <v>-0.96685855488815409</v>
      </c>
      <c r="AF269" s="3">
        <f t="shared" si="204"/>
        <v>0.906406726074521</v>
      </c>
      <c r="AG269" s="3">
        <f t="shared" si="205"/>
        <v>-0.3365149507633769</v>
      </c>
      <c r="AH269" s="3">
        <f t="shared" si="206"/>
        <v>0.69983852884123621</v>
      </c>
      <c r="AI269" s="3">
        <f t="shared" si="207"/>
        <v>-0.25982389726437266</v>
      </c>
      <c r="AJ269" s="3">
        <f t="shared" si="180"/>
        <v>-0.65542798802238733</v>
      </c>
      <c r="AK269" s="3">
        <f t="shared" si="208"/>
        <v>0.6144480325456767</v>
      </c>
      <c r="AL269" s="3">
        <f t="shared" si="209"/>
        <v>-0.22812159648709662</v>
      </c>
      <c r="AM269" s="3">
        <f t="shared" si="210"/>
        <v>0.47441661097162285</v>
      </c>
      <c r="AN269" s="3">
        <f t="shared" si="211"/>
        <v>-0.17613316173617866</v>
      </c>
      <c r="AO269" s="3">
        <f t="shared" si="181"/>
        <v>0.38892923636622401</v>
      </c>
      <c r="AP269" s="3">
        <f t="shared" si="212"/>
        <v>-0.36461183906073313</v>
      </c>
      <c r="AQ269" s="3">
        <f t="shared" si="213"/>
        <v>0.13536675262842129</v>
      </c>
      <c r="AR269" s="3"/>
      <c r="AS269" s="2"/>
      <c r="AT269" s="2"/>
    </row>
    <row r="270" spans="1:46">
      <c r="A270">
        <f t="shared" si="214"/>
        <v>267</v>
      </c>
      <c r="B270" s="1">
        <f t="shared" si="172"/>
        <v>32.929910999999997</v>
      </c>
      <c r="C270" s="1">
        <f t="shared" si="173"/>
        <v>206.90473296193142</v>
      </c>
      <c r="D270" s="1">
        <f t="shared" si="174"/>
        <v>-0.42628520741401926</v>
      </c>
      <c r="E270" s="1">
        <f t="shared" si="175"/>
        <v>0.90458881373803568</v>
      </c>
      <c r="F270" s="2">
        <f t="shared" si="176"/>
        <v>-13968.08739133517</v>
      </c>
      <c r="G270" s="2">
        <f t="shared" si="177"/>
        <v>29640.661659754216</v>
      </c>
      <c r="H270" s="2">
        <f t="shared" si="178"/>
        <v>-3492.1284191356458</v>
      </c>
      <c r="I270" s="3">
        <f t="shared" si="182"/>
        <v>0.87495460803897573</v>
      </c>
      <c r="J270" s="3">
        <f t="shared" si="183"/>
        <v>0.76554556612863767</v>
      </c>
      <c r="K270" s="3">
        <f t="shared" si="184"/>
        <v>0.68260941200139935</v>
      </c>
      <c r="L270" s="3">
        <f t="shared" si="185"/>
        <v>-0.29098629477777826</v>
      </c>
      <c r="M270" s="3">
        <f t="shared" si="186"/>
        <v>0.61748083824876387</v>
      </c>
      <c r="N270" s="3">
        <f t="shared" si="187"/>
        <v>-0.22276326777132888</v>
      </c>
      <c r="O270" s="3">
        <f t="shared" si="188"/>
        <v>0.47270971789073568</v>
      </c>
      <c r="P270" s="3">
        <f t="shared" si="189"/>
        <v>0.95564977212533908</v>
      </c>
      <c r="Q270" s="3">
        <f t="shared" si="190"/>
        <v>-0.40737936132561042</v>
      </c>
      <c r="R270" s="3">
        <f t="shared" si="191"/>
        <v>0.86447009371588457</v>
      </c>
      <c r="S270" s="3">
        <f t="shared" si="192"/>
        <v>-0.31186746379513725</v>
      </c>
      <c r="T270" s="3">
        <f t="shared" si="193"/>
        <v>0.66179124729500327</v>
      </c>
      <c r="U270" s="3">
        <f t="shared" si="194"/>
        <v>0.15284975358331074</v>
      </c>
      <c r="V270" s="3">
        <f t="shared" si="195"/>
        <v>-6.5157588909443356E-2</v>
      </c>
      <c r="W270" s="3">
        <f t="shared" si="196"/>
        <v>0.13826617727407814</v>
      </c>
      <c r="X270" s="3">
        <f t="shared" si="197"/>
        <v>-4.9881103289256851E-2</v>
      </c>
      <c r="Y270" s="3">
        <f t="shared" si="198"/>
        <v>0.10584905895772671</v>
      </c>
      <c r="Z270" s="3">
        <f t="shared" si="199"/>
        <v>-0.82202369768539574</v>
      </c>
      <c r="AA270" s="3">
        <f t="shared" si="200"/>
        <v>0.350416542467058</v>
      </c>
      <c r="AB270" s="3">
        <f t="shared" si="201"/>
        <v>-0.74359344155378582</v>
      </c>
      <c r="AC270" s="3">
        <f t="shared" si="202"/>
        <v>0.2682598303837837</v>
      </c>
      <c r="AD270" s="3">
        <f t="shared" si="203"/>
        <v>-0.56925466218383503</v>
      </c>
      <c r="AE270" s="3">
        <f t="shared" si="179"/>
        <v>-0.87148879122127809</v>
      </c>
      <c r="AF270" s="3">
        <f t="shared" si="204"/>
        <v>0.37150278012475546</v>
      </c>
      <c r="AG270" s="3">
        <f t="shared" si="205"/>
        <v>-0.78833901183685062</v>
      </c>
      <c r="AH270" s="3">
        <f t="shared" si="206"/>
        <v>0.28440230612896872</v>
      </c>
      <c r="AI270" s="3">
        <f t="shared" si="207"/>
        <v>-0.60350943511793254</v>
      </c>
      <c r="AJ270" s="3">
        <f t="shared" si="180"/>
        <v>6.0140715480607135E-2</v>
      </c>
      <c r="AK270" s="3">
        <f t="shared" si="208"/>
        <v>-2.5637097372678132E-2</v>
      </c>
      <c r="AL270" s="3">
        <f t="shared" si="209"/>
        <v>5.4402618473959129E-2</v>
      </c>
      <c r="AM270" s="3">
        <f t="shared" si="210"/>
        <v>-1.9626366222061889E-2</v>
      </c>
      <c r="AN270" s="3">
        <f t="shared" si="211"/>
        <v>4.1647683358527324E-2</v>
      </c>
      <c r="AO270" s="3">
        <f t="shared" si="181"/>
        <v>0.92406570112977504</v>
      </c>
      <c r="AP270" s="3">
        <f t="shared" si="212"/>
        <v>-0.39391553907028731</v>
      </c>
      <c r="AQ270" s="3">
        <f t="shared" si="213"/>
        <v>0.83589949640098937</v>
      </c>
      <c r="AR270" s="3"/>
      <c r="AS270" s="2"/>
      <c r="AT270" s="2"/>
    </row>
    <row r="271" spans="1:46">
      <c r="A271">
        <f t="shared" si="214"/>
        <v>268</v>
      </c>
      <c r="B271" s="1">
        <f t="shared" si="172"/>
        <v>33.053243999999999</v>
      </c>
      <c r="C271" s="1">
        <f t="shared" si="173"/>
        <v>207.67965705542181</v>
      </c>
      <c r="D271" s="1">
        <f t="shared" si="174"/>
        <v>0.32833651849925205</v>
      </c>
      <c r="E271" s="1">
        <f t="shared" si="175"/>
        <v>0.94456081361646071</v>
      </c>
      <c r="F271" s="2">
        <f t="shared" si="176"/>
        <v>10758.602701664991</v>
      </c>
      <c r="G271" s="2">
        <f t="shared" si="177"/>
        <v>30950.424179770569</v>
      </c>
      <c r="H271" s="2">
        <f t="shared" si="178"/>
        <v>2689.7327595458728</v>
      </c>
      <c r="I271" s="3">
        <f t="shared" si="182"/>
        <v>0.87116290809995056</v>
      </c>
      <c r="J271" s="3">
        <f t="shared" si="183"/>
        <v>0.75892481244916288</v>
      </c>
      <c r="K271" s="3">
        <f t="shared" si="184"/>
        <v>0.99785651371900874</v>
      </c>
      <c r="L271" s="3">
        <f t="shared" si="185"/>
        <v>0.32763273367630047</v>
      </c>
      <c r="M271" s="3">
        <f t="shared" si="186"/>
        <v>0.94253616047091193</v>
      </c>
      <c r="N271" s="3">
        <f t="shared" si="187"/>
        <v>0.24864861095749285</v>
      </c>
      <c r="O271" s="3">
        <f t="shared" si="188"/>
        <v>0.71531407881194087</v>
      </c>
      <c r="P271" s="3">
        <f t="shared" si="189"/>
        <v>0.49139193039390666</v>
      </c>
      <c r="Q271" s="3">
        <f t="shared" si="190"/>
        <v>0.16134191564416211</v>
      </c>
      <c r="R271" s="3">
        <f t="shared" si="191"/>
        <v>0.4641495615774317</v>
      </c>
      <c r="S271" s="3">
        <f t="shared" si="192"/>
        <v>0.12244638307043439</v>
      </c>
      <c r="T271" s="3">
        <f t="shared" si="193"/>
        <v>0.35225461896851351</v>
      </c>
      <c r="U271" s="3">
        <f t="shared" si="194"/>
        <v>-0.57197251039588326</v>
      </c>
      <c r="V271" s="3">
        <f t="shared" si="195"/>
        <v>-0.18779946274066156</v>
      </c>
      <c r="W271" s="3">
        <f t="shared" si="196"/>
        <v>-0.54026281978578505</v>
      </c>
      <c r="X271" s="3">
        <f t="shared" si="197"/>
        <v>-0.14252567203851013</v>
      </c>
      <c r="Y271" s="3">
        <f t="shared" si="198"/>
        <v>-0.41001885917918279</v>
      </c>
      <c r="Z271" s="3">
        <f t="shared" si="199"/>
        <v>-0.98711423971817769</v>
      </c>
      <c r="AA271" s="3">
        <f t="shared" si="200"/>
        <v>-0.32410565283010256</v>
      </c>
      <c r="AB271" s="3">
        <f t="shared" si="201"/>
        <v>-0.93238942940059599</v>
      </c>
      <c r="AC271" s="3">
        <f t="shared" si="202"/>
        <v>-0.24597182178779908</v>
      </c>
      <c r="AD271" s="3">
        <f t="shared" si="203"/>
        <v>-0.70761347283742926</v>
      </c>
      <c r="AE271" s="3">
        <f t="shared" si="179"/>
        <v>-0.28354858823392576</v>
      </c>
      <c r="AF271" s="3">
        <f t="shared" si="204"/>
        <v>-9.3099356286105162E-2</v>
      </c>
      <c r="AG271" s="3">
        <f t="shared" si="205"/>
        <v>-0.26782888520203574</v>
      </c>
      <c r="AH271" s="3">
        <f t="shared" si="206"/>
        <v>-7.065541150857016E-2</v>
      </c>
      <c r="AI271" s="3">
        <f t="shared" si="207"/>
        <v>-0.20326198647042332</v>
      </c>
      <c r="AJ271" s="3">
        <f t="shared" si="180"/>
        <v>0.74136578431133304</v>
      </c>
      <c r="AK271" s="3">
        <f t="shared" si="208"/>
        <v>0.24341746055525051</v>
      </c>
      <c r="AL271" s="3">
        <f t="shared" si="209"/>
        <v>0.70026506841651825</v>
      </c>
      <c r="AM271" s="3">
        <f t="shared" si="210"/>
        <v>0.184735550598745</v>
      </c>
      <c r="AN271" s="3">
        <f t="shared" si="211"/>
        <v>0.53144853571270634</v>
      </c>
      <c r="AO271" s="3">
        <f t="shared" si="181"/>
        <v>0.92608219251229429</v>
      </c>
      <c r="AP271" s="3">
        <f t="shared" si="212"/>
        <v>0.30406660293364079</v>
      </c>
      <c r="AQ271" s="3">
        <f t="shared" si="213"/>
        <v>0.87474094923512846</v>
      </c>
      <c r="AR271" s="3"/>
      <c r="AS271" s="2"/>
      <c r="AT271" s="2"/>
    </row>
    <row r="272" spans="1:46">
      <c r="A272">
        <f t="shared" si="214"/>
        <v>269</v>
      </c>
      <c r="B272" s="1">
        <f t="shared" si="172"/>
        <v>33.176577000000002</v>
      </c>
      <c r="C272" s="1">
        <f t="shared" si="173"/>
        <v>208.45458114891221</v>
      </c>
      <c r="D272" s="1">
        <f t="shared" si="174"/>
        <v>0.89546111406985018</v>
      </c>
      <c r="E272" s="1">
        <f t="shared" si="175"/>
        <v>0.44513974568531034</v>
      </c>
      <c r="F272" s="2">
        <f t="shared" si="176"/>
        <v>29341.574324726782</v>
      </c>
      <c r="G272" s="2">
        <f t="shared" si="177"/>
        <v>14585.894046870564</v>
      </c>
      <c r="H272" s="2">
        <f t="shared" si="178"/>
        <v>7335.6174464602127</v>
      </c>
      <c r="I272" s="3">
        <f t="shared" si="182"/>
        <v>0.86731852956357391</v>
      </c>
      <c r="J272" s="3">
        <f t="shared" si="183"/>
        <v>0.75224143172432001</v>
      </c>
      <c r="K272" s="3">
        <f t="shared" si="184"/>
        <v>0.77220277433711115</v>
      </c>
      <c r="L272" s="3">
        <f t="shared" si="185"/>
        <v>0.69147755659573862</v>
      </c>
      <c r="M272" s="3">
        <f t="shared" si="186"/>
        <v>0.34373814658591273</v>
      </c>
      <c r="N272" s="3">
        <f t="shared" si="187"/>
        <v>0.52015806717881297</v>
      </c>
      <c r="O272" s="3">
        <f t="shared" si="188"/>
        <v>0.25857407552605122</v>
      </c>
      <c r="P272" s="3">
        <f t="shared" si="189"/>
        <v>-0.24205550518972649</v>
      </c>
      <c r="Q272" s="3">
        <f t="shared" si="190"/>
        <v>-0.21675129234393289</v>
      </c>
      <c r="R272" s="3">
        <f t="shared" si="191"/>
        <v>-0.10774852602188417</v>
      </c>
      <c r="S272" s="3">
        <f t="shared" si="192"/>
        <v>-0.16304930248089672</v>
      </c>
      <c r="T272" s="3">
        <f t="shared" si="193"/>
        <v>-8.1052905480887297E-2</v>
      </c>
      <c r="U272" s="3">
        <f t="shared" si="194"/>
        <v>-0.98016024768625087</v>
      </c>
      <c r="V272" s="3">
        <f t="shared" si="195"/>
        <v>-0.87769538736011055</v>
      </c>
      <c r="W272" s="3">
        <f t="shared" si="196"/>
        <v>-0.43630828338590849</v>
      </c>
      <c r="X272" s="3">
        <f t="shared" si="197"/>
        <v>-0.66023883480560119</v>
      </c>
      <c r="Y272" s="3">
        <f t="shared" si="198"/>
        <v>-0.32820916776739617</v>
      </c>
      <c r="Z272" s="3">
        <f t="shared" si="199"/>
        <v>-0.60003089324333458</v>
      </c>
      <c r="AA272" s="3">
        <f t="shared" si="200"/>
        <v>-0.53730433214000373</v>
      </c>
      <c r="AB272" s="3">
        <f t="shared" si="201"/>
        <v>-0.26709759922166754</v>
      </c>
      <c r="AC272" s="3">
        <f t="shared" si="202"/>
        <v>-0.40418258008067598</v>
      </c>
      <c r="AD272" s="3">
        <f t="shared" si="203"/>
        <v>-0.20092188044863582</v>
      </c>
      <c r="AE272" s="3">
        <f t="shared" si="179"/>
        <v>0.46465489533941751</v>
      </c>
      <c r="AF272" s="3">
        <f t="shared" si="204"/>
        <v>0.41608039023864446</v>
      </c>
      <c r="AG272" s="3">
        <f t="shared" si="205"/>
        <v>0.20683636194282279</v>
      </c>
      <c r="AH272" s="3">
        <f t="shared" si="206"/>
        <v>0.31299290846553168</v>
      </c>
      <c r="AI272" s="3">
        <f t="shared" si="207"/>
        <v>0.15559088104051869</v>
      </c>
      <c r="AJ272" s="3">
        <f t="shared" si="180"/>
        <v>0.99923048152934912</v>
      </c>
      <c r="AK272" s="3">
        <f t="shared" si="208"/>
        <v>0.89477204020282386</v>
      </c>
      <c r="AL272" s="3">
        <f t="shared" si="209"/>
        <v>0.44479720242898468</v>
      </c>
      <c r="AM272" s="3">
        <f t="shared" si="210"/>
        <v>0.67308460058906305</v>
      </c>
      <c r="AN272" s="3">
        <f t="shared" si="211"/>
        <v>0.33459488438215162</v>
      </c>
      <c r="AO272" s="3">
        <f t="shared" si="181"/>
        <v>0.39381533887158565</v>
      </c>
      <c r="AP272" s="3">
        <f t="shared" si="212"/>
        <v>0.35264632208374569</v>
      </c>
      <c r="AQ272" s="3">
        <f t="shared" si="213"/>
        <v>0.17530285979227195</v>
      </c>
      <c r="AR272" s="3"/>
      <c r="AS272" s="2"/>
      <c r="AT272" s="2"/>
    </row>
    <row r="273" spans="1:46">
      <c r="A273">
        <f t="shared" si="214"/>
        <v>270</v>
      </c>
      <c r="B273" s="1">
        <f t="shared" si="172"/>
        <v>33.299909999999997</v>
      </c>
      <c r="C273" s="1">
        <f t="shared" si="173"/>
        <v>209.22950524240255</v>
      </c>
      <c r="D273" s="1">
        <f t="shared" si="174"/>
        <v>0.95123110921720366</v>
      </c>
      <c r="E273" s="1">
        <f t="shared" si="175"/>
        <v>-0.30847913520594616</v>
      </c>
      <c r="F273" s="2">
        <f t="shared" si="176"/>
        <v>31168.989755720111</v>
      </c>
      <c r="G273" s="2">
        <f t="shared" si="177"/>
        <v>-10107.935823293237</v>
      </c>
      <c r="H273" s="2">
        <f t="shared" si="178"/>
        <v>7792.4852467073324</v>
      </c>
      <c r="I273" s="3">
        <f t="shared" si="182"/>
        <v>0.86342170489666359</v>
      </c>
      <c r="J273" s="3">
        <f t="shared" si="183"/>
        <v>0.74549704048666121</v>
      </c>
      <c r="K273" s="3">
        <f t="shared" si="184"/>
        <v>0.12796667928006697</v>
      </c>
      <c r="L273" s="3">
        <f t="shared" si="185"/>
        <v>0.12172588627442026</v>
      </c>
      <c r="M273" s="3">
        <f t="shared" si="186"/>
        <v>-3.9475050559491728E-2</v>
      </c>
      <c r="N273" s="3">
        <f t="shared" si="187"/>
        <v>9.0746287968196199E-2</v>
      </c>
      <c r="O273" s="3">
        <f t="shared" si="188"/>
        <v>-2.9428533365162404E-2</v>
      </c>
      <c r="P273" s="3">
        <f t="shared" si="189"/>
        <v>-0.84290242558076167</v>
      </c>
      <c r="Q273" s="3">
        <f t="shared" si="190"/>
        <v>-0.80179500924705938</v>
      </c>
      <c r="R273" s="3">
        <f t="shared" si="191"/>
        <v>0.26001781130614776</v>
      </c>
      <c r="S273" s="3">
        <f t="shared" si="192"/>
        <v>-0.59773580647065794</v>
      </c>
      <c r="T273" s="3">
        <f t="shared" si="193"/>
        <v>0.19384250880255227</v>
      </c>
      <c r="U273" s="3">
        <f t="shared" si="194"/>
        <v>-0.8457474745245821</v>
      </c>
      <c r="V273" s="3">
        <f t="shared" si="195"/>
        <v>-0.80450130830966693</v>
      </c>
      <c r="W273" s="3">
        <f t="shared" si="196"/>
        <v>0.26089544954395605</v>
      </c>
      <c r="X273" s="3">
        <f t="shared" si="197"/>
        <v>-0.59975334441250372</v>
      </c>
      <c r="Y273" s="3">
        <f t="shared" si="198"/>
        <v>0.1944967855114563</v>
      </c>
      <c r="Z273" s="3">
        <f t="shared" si="199"/>
        <v>0.12269890448871092</v>
      </c>
      <c r="AA273" s="3">
        <f t="shared" si="200"/>
        <v>0.11671501501653221</v>
      </c>
      <c r="AB273" s="3">
        <f t="shared" si="201"/>
        <v>-3.7850051947394527E-2</v>
      </c>
      <c r="AC273" s="3">
        <f t="shared" si="202"/>
        <v>8.7010698275180987E-2</v>
      </c>
      <c r="AD273" s="3">
        <f t="shared" si="203"/>
        <v>-2.8217101709049008E-2</v>
      </c>
      <c r="AE273" s="3">
        <f t="shared" si="179"/>
        <v>0.95023277978260967</v>
      </c>
      <c r="AF273" s="3">
        <f t="shared" si="204"/>
        <v>0.9038909811271586</v>
      </c>
      <c r="AG273" s="3">
        <f t="shared" si="205"/>
        <v>-0.2931269861516817</v>
      </c>
      <c r="AH273" s="3">
        <f t="shared" si="206"/>
        <v>0.67384805135288128</v>
      </c>
      <c r="AI273" s="3">
        <f t="shared" si="207"/>
        <v>-0.21852530066285322</v>
      </c>
      <c r="AJ273" s="3">
        <f t="shared" si="180"/>
        <v>0.68647997510678638</v>
      </c>
      <c r="AK273" s="3">
        <f t="shared" si="208"/>
        <v>0.65300110817622681</v>
      </c>
      <c r="AL273" s="3">
        <f t="shared" si="209"/>
        <v>-0.21176474905714091</v>
      </c>
      <c r="AM273" s="3">
        <f t="shared" si="210"/>
        <v>0.4868103935798872</v>
      </c>
      <c r="AN273" s="3">
        <f t="shared" si="211"/>
        <v>-0.15786999370149904</v>
      </c>
      <c r="AO273" s="3">
        <f t="shared" si="181"/>
        <v>-0.36565486483345805</v>
      </c>
      <c r="AP273" s="3">
        <f t="shared" si="212"/>
        <v>-0.34782228266619697</v>
      </c>
      <c r="AQ273" s="3">
        <f t="shared" si="213"/>
        <v>0.11279689648767227</v>
      </c>
      <c r="AR273" s="3"/>
      <c r="AS273" s="2"/>
      <c r="AT273" s="2"/>
    </row>
    <row r="274" spans="1:46">
      <c r="A274">
        <f t="shared" si="214"/>
        <v>271</v>
      </c>
      <c r="B274" s="1">
        <f t="shared" si="172"/>
        <v>33.423242999999999</v>
      </c>
      <c r="C274" s="1">
        <f t="shared" si="173"/>
        <v>210.00442933589295</v>
      </c>
      <c r="D274" s="1">
        <f t="shared" si="174"/>
        <v>0.46379895284603317</v>
      </c>
      <c r="E274" s="1">
        <f t="shared" si="175"/>
        <v>-0.88594047844024093</v>
      </c>
      <c r="F274" s="2">
        <f t="shared" si="176"/>
        <v>15197.30028790597</v>
      </c>
      <c r="G274" s="2">
        <f t="shared" si="177"/>
        <v>-29029.611657051373</v>
      </c>
      <c r="H274" s="2">
        <f t="shared" si="178"/>
        <v>3799.4410217147038</v>
      </c>
      <c r="I274" s="3">
        <f t="shared" si="182"/>
        <v>0.85947266973741732</v>
      </c>
      <c r="J274" s="3">
        <f t="shared" si="183"/>
        <v>0.73869327002556362</v>
      </c>
      <c r="K274" s="3">
        <f t="shared" si="184"/>
        <v>-0.58563538523622116</v>
      </c>
      <c r="L274" s="3">
        <f t="shared" si="185"/>
        <v>-0.27161707842214261</v>
      </c>
      <c r="M274" s="3">
        <f t="shared" si="186"/>
        <v>0.51883809338771258</v>
      </c>
      <c r="N274" s="3">
        <f t="shared" si="187"/>
        <v>-0.20064170785444249</v>
      </c>
      <c r="O274" s="3">
        <f t="shared" si="188"/>
        <v>0.38326220781839815</v>
      </c>
      <c r="P274" s="3">
        <f t="shared" si="189"/>
        <v>-0.98199865865950653</v>
      </c>
      <c r="Q274" s="3">
        <f t="shared" si="190"/>
        <v>-0.4554499495824883</v>
      </c>
      <c r="R274" s="3">
        <f t="shared" si="191"/>
        <v>0.86999236148047809</v>
      </c>
      <c r="S274" s="3">
        <f t="shared" si="192"/>
        <v>-0.33643781259006633</v>
      </c>
      <c r="T274" s="3">
        <f t="shared" si="193"/>
        <v>0.64265750239927655</v>
      </c>
      <c r="U274" s="3">
        <f t="shared" si="194"/>
        <v>-0.24314288020526365</v>
      </c>
      <c r="V274" s="3">
        <f t="shared" si="195"/>
        <v>-0.11276941323116976</v>
      </c>
      <c r="W274" s="3">
        <f t="shared" si="196"/>
        <v>0.21541011961838946</v>
      </c>
      <c r="X274" s="3">
        <f t="shared" si="197"/>
        <v>-8.3302006618596852E-2</v>
      </c>
      <c r="Y274" s="3">
        <f t="shared" si="198"/>
        <v>0.15912200565750592</v>
      </c>
      <c r="Z274" s="3">
        <f t="shared" si="199"/>
        <v>0.77679314973749214</v>
      </c>
      <c r="AA274" s="3">
        <f t="shared" si="200"/>
        <v>0.36027584942622071</v>
      </c>
      <c r="AB274" s="3">
        <f t="shared" si="201"/>
        <v>-0.68819249472753552</v>
      </c>
      <c r="AC274" s="3">
        <f t="shared" si="202"/>
        <v>0.26613334532389255</v>
      </c>
      <c r="AD274" s="3">
        <f t="shared" si="203"/>
        <v>-0.50836316433733364</v>
      </c>
      <c r="AE274" s="3">
        <f t="shared" si="179"/>
        <v>0.89873367309397434</v>
      </c>
      <c r="AF274" s="3">
        <f t="shared" si="204"/>
        <v>0.41683173646845439</v>
      </c>
      <c r="AG274" s="3">
        <f t="shared" si="205"/>
        <v>-0.79622454033123069</v>
      </c>
      <c r="AH274" s="3">
        <f t="shared" si="206"/>
        <v>0.30791079846231656</v>
      </c>
      <c r="AI274" s="3">
        <f t="shared" si="207"/>
        <v>-0.58816570937187806</v>
      </c>
      <c r="AJ274" s="3">
        <f t="shared" si="180"/>
        <v>-1.8288106871739943E-2</v>
      </c>
      <c r="AK274" s="3">
        <f t="shared" si="208"/>
        <v>-8.4820048166493293E-3</v>
      </c>
      <c r="AL274" s="3">
        <f t="shared" si="209"/>
        <v>1.6202174151715543E-2</v>
      </c>
      <c r="AM274" s="3">
        <f t="shared" si="210"/>
        <v>-6.2655998743832743E-3</v>
      </c>
      <c r="AN274" s="3">
        <f t="shared" si="211"/>
        <v>1.1968437005654416E-2</v>
      </c>
      <c r="AO274" s="3">
        <f t="shared" si="181"/>
        <v>-0.91416830261990334</v>
      </c>
      <c r="AP274" s="3">
        <f t="shared" si="212"/>
        <v>-0.42399030148014671</v>
      </c>
      <c r="AQ274" s="3">
        <f t="shared" si="213"/>
        <v>0.80989870339798009</v>
      </c>
      <c r="AR274" s="3"/>
      <c r="AS274" s="2"/>
      <c r="AT274" s="2"/>
    </row>
    <row r="275" spans="1:46">
      <c r="A275">
        <f t="shared" si="214"/>
        <v>272</v>
      </c>
      <c r="B275" s="1">
        <f t="shared" si="172"/>
        <v>33.546576000000002</v>
      </c>
      <c r="C275" s="1">
        <f t="shared" si="173"/>
        <v>210.77935342938335</v>
      </c>
      <c r="D275" s="1">
        <f t="shared" si="174"/>
        <v>-0.28848638864157178</v>
      </c>
      <c r="E275" s="1">
        <f t="shared" si="175"/>
        <v>-0.95748399650779747</v>
      </c>
      <c r="F275" s="2">
        <f t="shared" si="176"/>
        <v>-9452.8334966183829</v>
      </c>
      <c r="G275" s="2">
        <f t="shared" si="177"/>
        <v>-31373.878113571001</v>
      </c>
      <c r="H275" s="2">
        <f t="shared" si="178"/>
        <v>-2363.280495751756</v>
      </c>
      <c r="I275" s="3">
        <f t="shared" si="182"/>
        <v>0.85547166288116383</v>
      </c>
      <c r="J275" s="3">
        <f t="shared" si="183"/>
        <v>0.73183176599266364</v>
      </c>
      <c r="K275" s="3">
        <f t="shared" si="184"/>
        <v>-0.98178632517014097</v>
      </c>
      <c r="L275" s="3">
        <f t="shared" si="185"/>
        <v>0.28323199136601385</v>
      </c>
      <c r="M275" s="3">
        <f t="shared" si="186"/>
        <v>0.94004469434061055</v>
      </c>
      <c r="N275" s="3">
        <f t="shared" si="187"/>
        <v>0.20727816842700877</v>
      </c>
      <c r="O275" s="3">
        <f t="shared" si="188"/>
        <v>0.68795456877132266</v>
      </c>
      <c r="P275" s="3">
        <f t="shared" si="189"/>
        <v>-0.58314584590011576</v>
      </c>
      <c r="Q275" s="3">
        <f t="shared" si="190"/>
        <v>0.16822963913505892</v>
      </c>
      <c r="R275" s="3">
        <f t="shared" si="191"/>
        <v>0.55835281507936307</v>
      </c>
      <c r="S275" s="3">
        <f t="shared" si="192"/>
        <v>0.12311579390051869</v>
      </c>
      <c r="T275" s="3">
        <f t="shared" si="193"/>
        <v>0.40862032670650539</v>
      </c>
      <c r="U275" s="3">
        <f t="shared" si="194"/>
        <v>0.49406159329058053</v>
      </c>
      <c r="V275" s="3">
        <f t="shared" si="195"/>
        <v>-0.14253004481490059</v>
      </c>
      <c r="W275" s="3">
        <f t="shared" si="196"/>
        <v>-0.47305606886487506</v>
      </c>
      <c r="X275" s="3">
        <f t="shared" si="197"/>
        <v>-0.10430801440390218</v>
      </c>
      <c r="Y275" s="3">
        <f t="shared" si="198"/>
        <v>-0.34619745829092863</v>
      </c>
      <c r="Z275" s="3">
        <f t="shared" si="199"/>
        <v>0.99636332796533744</v>
      </c>
      <c r="AA275" s="3">
        <f t="shared" si="200"/>
        <v>-0.28743725825961819</v>
      </c>
      <c r="AB275" s="3">
        <f t="shared" si="201"/>
        <v>-0.95400194123406068</v>
      </c>
      <c r="AC275" s="3">
        <f t="shared" si="202"/>
        <v>-0.2103557163242257</v>
      </c>
      <c r="AD275" s="3">
        <f t="shared" si="203"/>
        <v>-0.69816892541375186</v>
      </c>
      <c r="AE275" s="3">
        <f t="shared" si="179"/>
        <v>0.33926516433462223</v>
      </c>
      <c r="AF275" s="3">
        <f t="shared" si="204"/>
        <v>-9.7873382050784538E-2</v>
      </c>
      <c r="AG275" s="3">
        <f t="shared" si="205"/>
        <v>-0.32484096542298879</v>
      </c>
      <c r="AH275" s="3">
        <f t="shared" si="206"/>
        <v>-7.1626850029900324E-2</v>
      </c>
      <c r="AI275" s="3">
        <f t="shared" si="207"/>
        <v>-0.23772893739226764</v>
      </c>
      <c r="AJ275" s="3">
        <f t="shared" si="180"/>
        <v>-0.71261268055091265</v>
      </c>
      <c r="AK275" s="3">
        <f t="shared" si="208"/>
        <v>0.20557905871232282</v>
      </c>
      <c r="AL275" s="3">
        <f t="shared" si="209"/>
        <v>0.68231523733602228</v>
      </c>
      <c r="AM275" s="3">
        <f t="shared" si="210"/>
        <v>0.1504492855885487</v>
      </c>
      <c r="AN275" s="3">
        <f t="shared" si="211"/>
        <v>0.49933996510332462</v>
      </c>
      <c r="AO275" s="3">
        <f t="shared" si="181"/>
        <v>-0.93527185974237104</v>
      </c>
      <c r="AP275" s="3">
        <f t="shared" si="212"/>
        <v>0.26981320121516328</v>
      </c>
      <c r="AQ275" s="3">
        <f t="shared" si="213"/>
        <v>0.89550783808740564</v>
      </c>
      <c r="AR275" s="3"/>
      <c r="AS275" s="2"/>
      <c r="AT275" s="2"/>
    </row>
    <row r="276" spans="1:46">
      <c r="A276">
        <f t="shared" si="214"/>
        <v>273</v>
      </c>
      <c r="B276" s="1">
        <f t="shared" si="172"/>
        <v>33.669908999999997</v>
      </c>
      <c r="C276" s="1">
        <f t="shared" si="173"/>
        <v>211.55427752287369</v>
      </c>
      <c r="D276" s="1">
        <f t="shared" si="174"/>
        <v>-0.87603108458521151</v>
      </c>
      <c r="E276" s="1">
        <f t="shared" si="175"/>
        <v>-0.48225464107715749</v>
      </c>
      <c r="F276" s="2">
        <f t="shared" si="176"/>
        <v>-28704.910548603624</v>
      </c>
      <c r="G276" s="2">
        <f t="shared" si="177"/>
        <v>-15802.037824175219</v>
      </c>
      <c r="H276" s="2">
        <f t="shared" si="178"/>
        <v>-7176.4466449220527</v>
      </c>
      <c r="I276" s="3">
        <f t="shared" si="182"/>
        <v>0.85141892626592341</v>
      </c>
      <c r="J276" s="3">
        <f t="shared" si="183"/>
        <v>0.72491418800381791</v>
      </c>
      <c r="K276" s="3">
        <f t="shared" si="184"/>
        <v>-0.8457474745245821</v>
      </c>
      <c r="L276" s="3">
        <f t="shared" si="185"/>
        <v>0.74090107739297317</v>
      </c>
      <c r="M276" s="3">
        <f t="shared" si="186"/>
        <v>0.40786564476876475</v>
      </c>
      <c r="N276" s="3">
        <f t="shared" si="187"/>
        <v>0.53708970290948099</v>
      </c>
      <c r="O276" s="3">
        <f t="shared" si="188"/>
        <v>0.29566759269220277</v>
      </c>
      <c r="P276" s="3">
        <f t="shared" si="189"/>
        <v>0.13516030686140756</v>
      </c>
      <c r="Q276" s="3">
        <f t="shared" si="190"/>
        <v>-0.11840463021266888</v>
      </c>
      <c r="R276" s="3">
        <f t="shared" si="191"/>
        <v>-6.5181685273326573E-2</v>
      </c>
      <c r="S276" s="3">
        <f t="shared" si="192"/>
        <v>-8.5833196366509185E-2</v>
      </c>
      <c r="T276" s="3">
        <f t="shared" si="193"/>
        <v>-4.7251128452633948E-2</v>
      </c>
      <c r="U276" s="3">
        <f t="shared" si="194"/>
        <v>0.95776173589043312</v>
      </c>
      <c r="V276" s="3">
        <f t="shared" si="195"/>
        <v>-0.83902905226631097</v>
      </c>
      <c r="W276" s="3">
        <f t="shared" si="196"/>
        <v>-0.46188504217927612</v>
      </c>
      <c r="X276" s="3">
        <f t="shared" si="197"/>
        <v>-0.60822406413524577</v>
      </c>
      <c r="Y276" s="3">
        <f t="shared" si="198"/>
        <v>-0.33482702030249917</v>
      </c>
      <c r="Z276" s="3">
        <f t="shared" si="199"/>
        <v>0.65858584466407077</v>
      </c>
      <c r="AA276" s="3">
        <f t="shared" si="200"/>
        <v>-0.57694167179353351</v>
      </c>
      <c r="AB276" s="3">
        <f t="shared" si="201"/>
        <v>-0.31760608013696806</v>
      </c>
      <c r="AC276" s="3">
        <f t="shared" si="202"/>
        <v>-0.41823320353377458</v>
      </c>
      <c r="AD276" s="3">
        <f t="shared" si="203"/>
        <v>-0.2302371536875657</v>
      </c>
      <c r="AE276" s="3">
        <f t="shared" si="179"/>
        <v>-0.41195795185717909</v>
      </c>
      <c r="AF276" s="3">
        <f t="shared" si="204"/>
        <v>0.36088797136894696</v>
      </c>
      <c r="AG276" s="3">
        <f t="shared" si="205"/>
        <v>0.19866863421176484</v>
      </c>
      <c r="AH276" s="3">
        <f t="shared" si="206"/>
        <v>0.26161281072526527</v>
      </c>
      <c r="AI276" s="3">
        <f t="shared" si="207"/>
        <v>0.14401771165144903</v>
      </c>
      <c r="AJ276" s="3">
        <f t="shared" si="180"/>
        <v>-0.99999647595530949</v>
      </c>
      <c r="AK276" s="3">
        <f t="shared" si="208"/>
        <v>0.87602799741251913</v>
      </c>
      <c r="AL276" s="3">
        <f t="shared" si="209"/>
        <v>0.48225294159025012</v>
      </c>
      <c r="AM276" s="3">
        <f t="shared" si="210"/>
        <v>0.63504512441290706</v>
      </c>
      <c r="AN276" s="3">
        <f t="shared" si="211"/>
        <v>0.34959199956534881</v>
      </c>
      <c r="AO276" s="3">
        <f t="shared" si="181"/>
        <v>-0.41679028957327008</v>
      </c>
      <c r="AP276" s="3">
        <f t="shared" si="212"/>
        <v>0.36512124941945617</v>
      </c>
      <c r="AQ276" s="3">
        <f t="shared" si="213"/>
        <v>0.20099905150260189</v>
      </c>
      <c r="AR276" s="3"/>
      <c r="AS276" s="2"/>
      <c r="AT276" s="2"/>
    </row>
    <row r="277" spans="1:46">
      <c r="A277">
        <f t="shared" si="214"/>
        <v>274</v>
      </c>
      <c r="B277" s="1">
        <f t="shared" si="172"/>
        <v>33.793241999999999</v>
      </c>
      <c r="C277" s="1">
        <f t="shared" si="173"/>
        <v>212.32920161636409</v>
      </c>
      <c r="D277" s="1">
        <f t="shared" si="174"/>
        <v>-0.96331673166809195</v>
      </c>
      <c r="E277" s="1">
        <f t="shared" si="175"/>
        <v>0.26836705179344433</v>
      </c>
      <c r="F277" s="2">
        <f t="shared" si="176"/>
        <v>-31564.999346568369</v>
      </c>
      <c r="G277" s="2">
        <f t="shared" si="177"/>
        <v>8793.5831861157912</v>
      </c>
      <c r="H277" s="2">
        <f t="shared" si="178"/>
        <v>-7891.4906658250093</v>
      </c>
      <c r="I277" s="3">
        <f t="shared" si="182"/>
        <v>0.8473147049577775</v>
      </c>
      <c r="J277" s="3">
        <f t="shared" si="183"/>
        <v>0.71794220923768548</v>
      </c>
      <c r="K277" s="3">
        <f t="shared" si="184"/>
        <v>-0.25126042612844518</v>
      </c>
      <c r="L277" s="3">
        <f t="shared" si="185"/>
        <v>0.24204337249558586</v>
      </c>
      <c r="M277" s="3">
        <f t="shared" si="186"/>
        <v>-6.7430019792455345E-2</v>
      </c>
      <c r="N277" s="3">
        <f t="shared" si="187"/>
        <v>0.17377315358082093</v>
      </c>
      <c r="O277" s="3">
        <f t="shared" si="188"/>
        <v>-4.8410857378736245E-2</v>
      </c>
      <c r="P277" s="3">
        <f t="shared" si="189"/>
        <v>0.77942424228374307</v>
      </c>
      <c r="Q277" s="3">
        <f t="shared" si="190"/>
        <v>-0.75083241365965436</v>
      </c>
      <c r="R277" s="3">
        <f t="shared" si="191"/>
        <v>0.20917178599802738</v>
      </c>
      <c r="S277" s="3">
        <f t="shared" si="192"/>
        <v>-0.53905428183007609</v>
      </c>
      <c r="T277" s="3">
        <f t="shared" si="193"/>
        <v>0.15017325414961616</v>
      </c>
      <c r="U277" s="3">
        <f t="shared" si="194"/>
        <v>0.89126081390691225</v>
      </c>
      <c r="V277" s="3">
        <f t="shared" si="195"/>
        <v>-0.85856645431665024</v>
      </c>
      <c r="W277" s="3">
        <f t="shared" si="196"/>
        <v>0.23918503700722368</v>
      </c>
      <c r="X277" s="3">
        <f t="shared" si="197"/>
        <v>-0.61640109698946222</v>
      </c>
      <c r="Y277" s="3">
        <f t="shared" si="198"/>
        <v>0.17172103388556373</v>
      </c>
      <c r="Z277" s="3">
        <f t="shared" si="199"/>
        <v>-4.7592672815444069E-2</v>
      </c>
      <c r="AA277" s="3">
        <f t="shared" si="200"/>
        <v>4.5846818027922426E-2</v>
      </c>
      <c r="AB277" s="3">
        <f t="shared" si="201"/>
        <v>-1.2772305290450729E-2</v>
      </c>
      <c r="AC277" s="3">
        <f t="shared" si="202"/>
        <v>3.2915365821484778E-2</v>
      </c>
      <c r="AD277" s="3">
        <f t="shared" si="203"/>
        <v>-9.1697770772843738E-3</v>
      </c>
      <c r="AE277" s="3">
        <f t="shared" si="179"/>
        <v>-0.93034008217299746</v>
      </c>
      <c r="AF277" s="3">
        <f t="shared" si="204"/>
        <v>0.896212167298716</v>
      </c>
      <c r="AG277" s="3">
        <f t="shared" si="205"/>
        <v>-0.24967262501803808</v>
      </c>
      <c r="AH277" s="3">
        <f t="shared" si="206"/>
        <v>0.64342854333613431</v>
      </c>
      <c r="AI277" s="3">
        <f t="shared" si="207"/>
        <v>-0.17925051599162248</v>
      </c>
      <c r="AJ277" s="3">
        <f t="shared" si="180"/>
        <v>-0.71632764304736574</v>
      </c>
      <c r="AK277" s="3">
        <f t="shared" si="208"/>
        <v>0.69005040390389594</v>
      </c>
      <c r="AL277" s="3">
        <f t="shared" si="209"/>
        <v>-0.19223873768276831</v>
      </c>
      <c r="AM277" s="3">
        <f t="shared" si="210"/>
        <v>0.49541631146412024</v>
      </c>
      <c r="AN277" s="3">
        <f t="shared" si="211"/>
        <v>-0.13801630403303056</v>
      </c>
      <c r="AO277" s="3">
        <f t="shared" si="181"/>
        <v>0.34214953785086261</v>
      </c>
      <c r="AP277" s="3">
        <f t="shared" si="212"/>
        <v>-0.32959837454424107</v>
      </c>
      <c r="AQ277" s="3">
        <f t="shared" si="213"/>
        <v>9.1821662745525487E-2</v>
      </c>
      <c r="AR277" s="3"/>
      <c r="AS277" s="2"/>
      <c r="AT277" s="2"/>
    </row>
    <row r="278" spans="1:46">
      <c r="A278">
        <f t="shared" si="214"/>
        <v>275</v>
      </c>
      <c r="B278" s="1">
        <f t="shared" si="172"/>
        <v>33.916575000000002</v>
      </c>
      <c r="C278" s="1">
        <f t="shared" si="173"/>
        <v>213.10412570985449</v>
      </c>
      <c r="D278" s="1">
        <f t="shared" si="174"/>
        <v>-0.50049871186549422</v>
      </c>
      <c r="E278" s="1">
        <f t="shared" si="175"/>
        <v>0.86573728083118895</v>
      </c>
      <c r="F278" s="2">
        <f t="shared" si="176"/>
        <v>-16399.841291696648</v>
      </c>
      <c r="G278" s="2">
        <f t="shared" si="177"/>
        <v>28367.613480995569</v>
      </c>
      <c r="H278" s="2">
        <f t="shared" si="178"/>
        <v>-4100.0854476021286</v>
      </c>
      <c r="I278" s="3">
        <f t="shared" si="182"/>
        <v>0.84315924713605017</v>
      </c>
      <c r="J278" s="3">
        <f t="shared" si="183"/>
        <v>0.71091751603103093</v>
      </c>
      <c r="K278" s="3">
        <f t="shared" si="184"/>
        <v>0.47942553860420212</v>
      </c>
      <c r="L278" s="3">
        <f t="shared" si="185"/>
        <v>-0.23995186450682393</v>
      </c>
      <c r="M278" s="3">
        <f t="shared" si="186"/>
        <v>0.41505656215223014</v>
      </c>
      <c r="N278" s="3">
        <f t="shared" si="187"/>
        <v>-0.17058598348220574</v>
      </c>
      <c r="O278" s="3">
        <f t="shared" si="188"/>
        <v>0.29507098017764266</v>
      </c>
      <c r="P278" s="3">
        <f t="shared" si="189"/>
        <v>0.99671149729799069</v>
      </c>
      <c r="Q278" s="3">
        <f t="shared" si="190"/>
        <v>-0.49885282049917234</v>
      </c>
      <c r="R278" s="3">
        <f t="shared" si="191"/>
        <v>0.86289030144394541</v>
      </c>
      <c r="S278" s="3">
        <f t="shared" si="192"/>
        <v>-0.3546432080143454</v>
      </c>
      <c r="T278" s="3">
        <f t="shared" si="193"/>
        <v>0.61344382970979716</v>
      </c>
      <c r="U278" s="3">
        <f t="shared" si="194"/>
        <v>0.33137263844788856</v>
      </c>
      <c r="V278" s="3">
        <f t="shared" si="195"/>
        <v>-0.16585157869063838</v>
      </c>
      <c r="W278" s="3">
        <f t="shared" si="196"/>
        <v>0.28688164695173174</v>
      </c>
      <c r="X278" s="3">
        <f t="shared" si="197"/>
        <v>-0.11790679235257369</v>
      </c>
      <c r="Y278" s="3">
        <f t="shared" si="198"/>
        <v>0.20394918784581631</v>
      </c>
      <c r="Z278" s="3">
        <f t="shared" si="199"/>
        <v>-0.72714870815905364</v>
      </c>
      <c r="AA278" s="3">
        <f t="shared" si="200"/>
        <v>0.36393699176826455</v>
      </c>
      <c r="AB278" s="3">
        <f t="shared" si="201"/>
        <v>-0.62951974536153088</v>
      </c>
      <c r="AC278" s="3">
        <f t="shared" si="202"/>
        <v>0.25872918217970037</v>
      </c>
      <c r="AD278" s="3">
        <f t="shared" si="203"/>
        <v>-0.44753661366490666</v>
      </c>
      <c r="AE278" s="3">
        <f t="shared" si="179"/>
        <v>-0.92288868759492426</v>
      </c>
      <c r="AF278" s="3">
        <f t="shared" si="204"/>
        <v>0.46190459933649608</v>
      </c>
      <c r="AG278" s="3">
        <f t="shared" si="205"/>
        <v>-0.7989791429082943</v>
      </c>
      <c r="AH278" s="3">
        <f t="shared" si="206"/>
        <v>0.32837607040361039</v>
      </c>
      <c r="AI278" s="3">
        <f t="shared" si="207"/>
        <v>-0.56800826763696677</v>
      </c>
      <c r="AJ278" s="3">
        <f t="shared" si="180"/>
        <v>-2.3596585290920746E-2</v>
      </c>
      <c r="AK278" s="3">
        <f t="shared" si="208"/>
        <v>1.1810060542530101E-2</v>
      </c>
      <c r="AL278" s="3">
        <f t="shared" si="209"/>
        <v>-2.0428443586662955E-2</v>
      </c>
      <c r="AM278" s="3">
        <f t="shared" si="210"/>
        <v>8.395978905071589E-3</v>
      </c>
      <c r="AN278" s="3">
        <f t="shared" si="211"/>
        <v>-1.4522938371010473E-2</v>
      </c>
      <c r="AO278" s="3">
        <f t="shared" si="181"/>
        <v>0.90369349581637426</v>
      </c>
      <c r="AP278" s="3">
        <f t="shared" si="212"/>
        <v>-0.45229743057732069</v>
      </c>
      <c r="AQ278" s="3">
        <f t="shared" si="213"/>
        <v>0.78236114977289928</v>
      </c>
      <c r="AR278" s="3"/>
      <c r="AS278" s="2"/>
      <c r="AT278" s="2"/>
    </row>
    <row r="279" spans="1:46">
      <c r="A279">
        <f t="shared" si="214"/>
        <v>276</v>
      </c>
      <c r="B279" s="1">
        <f t="shared" si="172"/>
        <v>34.039907999999997</v>
      </c>
      <c r="C279" s="1">
        <f t="shared" si="173"/>
        <v>213.87904980334483</v>
      </c>
      <c r="D279" s="1">
        <f t="shared" si="174"/>
        <v>0.2481299531979361</v>
      </c>
      <c r="E279" s="1">
        <f t="shared" si="175"/>
        <v>0.96872675524421747</v>
      </c>
      <c r="F279" s="2">
        <f t="shared" si="176"/>
        <v>8130.4741764367718</v>
      </c>
      <c r="G279" s="2">
        <f t="shared" si="177"/>
        <v>31742.269589087275</v>
      </c>
      <c r="H279" s="2">
        <f t="shared" si="178"/>
        <v>2032.6805765974925</v>
      </c>
      <c r="I279" s="3">
        <f t="shared" si="182"/>
        <v>0.83895280407830131</v>
      </c>
      <c r="J279" s="3">
        <f t="shared" si="183"/>
        <v>0.70384180747084457</v>
      </c>
      <c r="K279" s="3">
        <f t="shared" si="184"/>
        <v>0.95023277978260967</v>
      </c>
      <c r="L279" s="3">
        <f t="shared" si="185"/>
        <v>0.23578121517460365</v>
      </c>
      <c r="M279" s="3">
        <f t="shared" si="186"/>
        <v>0.92051591748550055</v>
      </c>
      <c r="N279" s="3">
        <f t="shared" si="187"/>
        <v>0.16595267665616517</v>
      </c>
      <c r="O279" s="3">
        <f t="shared" si="188"/>
        <v>0.64789758716867751</v>
      </c>
      <c r="P279" s="3">
        <f t="shared" si="189"/>
        <v>0.66798986093630164</v>
      </c>
      <c r="Q279" s="3">
        <f t="shared" si="190"/>
        <v>0.16574829293082036</v>
      </c>
      <c r="R279" s="3">
        <f t="shared" si="191"/>
        <v>0.64709965052085949</v>
      </c>
      <c r="S279" s="3">
        <f t="shared" si="192"/>
        <v>0.11666057808163562</v>
      </c>
      <c r="T279" s="3">
        <f t="shared" si="193"/>
        <v>0.45545578763635364</v>
      </c>
      <c r="U279" s="3">
        <f t="shared" si="194"/>
        <v>-0.41195795185717909</v>
      </c>
      <c r="V279" s="3">
        <f t="shared" si="195"/>
        <v>-0.10221910731383946</v>
      </c>
      <c r="W279" s="3">
        <f t="shared" si="196"/>
        <v>-0.39907468999965867</v>
      </c>
      <c r="X279" s="3">
        <f t="shared" si="197"/>
        <v>-7.1946081249828986E-2</v>
      </c>
      <c r="Y279" s="3">
        <f t="shared" si="198"/>
        <v>-0.28088545112522673</v>
      </c>
      <c r="Z279" s="3">
        <f t="shared" si="199"/>
        <v>-0.99995088102966634</v>
      </c>
      <c r="AA279" s="3">
        <f t="shared" si="200"/>
        <v>-0.24811776531012608</v>
      </c>
      <c r="AB279" s="3">
        <f t="shared" si="201"/>
        <v>-0.96867917238346524</v>
      </c>
      <c r="AC279" s="3">
        <f t="shared" si="202"/>
        <v>-0.17463565640150594</v>
      </c>
      <c r="AD279" s="3">
        <f t="shared" si="203"/>
        <v>-0.68179689954973999</v>
      </c>
      <c r="AE279" s="3">
        <f t="shared" si="179"/>
        <v>-0.39381533887159553</v>
      </c>
      <c r="AF279" s="3">
        <f t="shared" si="204"/>
        <v>-9.7717381602838341E-2</v>
      </c>
      <c r="AG279" s="3">
        <f t="shared" si="205"/>
        <v>-0.38149945539048269</v>
      </c>
      <c r="AH279" s="3">
        <f t="shared" si="206"/>
        <v>-6.8777578488659993E-2</v>
      </c>
      <c r="AI279" s="3">
        <f t="shared" si="207"/>
        <v>-0.26851526623118016</v>
      </c>
      <c r="AJ279" s="3">
        <f t="shared" si="180"/>
        <v>0.68260941200140934</v>
      </c>
      <c r="AK279" s="3">
        <f t="shared" si="208"/>
        <v>0.16937584145238038</v>
      </c>
      <c r="AL279" s="3">
        <f t="shared" si="209"/>
        <v>0.66126200078728847</v>
      </c>
      <c r="AM279" s="3">
        <f t="shared" si="210"/>
        <v>0.11921379838973861</v>
      </c>
      <c r="AN279" s="3">
        <f t="shared" si="211"/>
        <v>0.46542384184591218</v>
      </c>
      <c r="AO279" s="3">
        <f t="shared" si="181"/>
        <v>0.94387078921978829</v>
      </c>
      <c r="AP279" s="3">
        <f t="shared" si="212"/>
        <v>0.23420261475400508</v>
      </c>
      <c r="AQ279" s="3">
        <f t="shared" si="213"/>
        <v>0.91435288701068418</v>
      </c>
      <c r="AR279" s="3"/>
      <c r="AS279" s="2"/>
      <c r="AT279" s="2"/>
    </row>
    <row r="280" spans="1:46">
      <c r="A280">
        <f t="shared" si="214"/>
        <v>277</v>
      </c>
      <c r="B280" s="1">
        <f t="shared" si="172"/>
        <v>34.163240999999999</v>
      </c>
      <c r="C280" s="1">
        <f t="shared" si="173"/>
        <v>214.65397389683523</v>
      </c>
      <c r="D280" s="1">
        <f t="shared" si="174"/>
        <v>0.85506358418685291</v>
      </c>
      <c r="E280" s="1">
        <f t="shared" si="175"/>
        <v>0.51852315955753869</v>
      </c>
      <c r="F280" s="2">
        <f t="shared" si="176"/>
        <v>28017.86846305061</v>
      </c>
      <c r="G280" s="2">
        <f t="shared" si="177"/>
        <v>16990.448369221871</v>
      </c>
      <c r="H280" s="2">
        <f t="shared" si="178"/>
        <v>7004.680881658699</v>
      </c>
      <c r="I280" s="3">
        <f t="shared" si="182"/>
        <v>0.83469563014513048</v>
      </c>
      <c r="J280" s="3">
        <f t="shared" si="183"/>
        <v>0.69671679498337646</v>
      </c>
      <c r="K280" s="3">
        <f t="shared" si="184"/>
        <v>0.90595423181373269</v>
      </c>
      <c r="L280" s="3">
        <f t="shared" si="185"/>
        <v>0.77464847256389724</v>
      </c>
      <c r="M280" s="3">
        <f t="shared" si="186"/>
        <v>0.46975825069457949</v>
      </c>
      <c r="N280" s="3">
        <f t="shared" si="187"/>
        <v>0.53971060104348656</v>
      </c>
      <c r="O280" s="3">
        <f t="shared" si="188"/>
        <v>0.32728846284092494</v>
      </c>
      <c r="P280" s="3">
        <f t="shared" si="189"/>
        <v>-2.6663546463388421E-2</v>
      </c>
      <c r="Q280" s="3">
        <f t="shared" si="190"/>
        <v>-2.279902760611759E-2</v>
      </c>
      <c r="R280" s="3">
        <f t="shared" si="191"/>
        <v>-1.3825666357205401E-2</v>
      </c>
      <c r="S280" s="3">
        <f t="shared" si="192"/>
        <v>-1.5884465442471768E-2</v>
      </c>
      <c r="T280" s="3">
        <f t="shared" si="193"/>
        <v>-9.6325739529016397E-3</v>
      </c>
      <c r="U280" s="3">
        <f t="shared" si="194"/>
        <v>-0.92723542993887464</v>
      </c>
      <c r="V280" s="3">
        <f t="shared" si="195"/>
        <v>-0.79284525010857165</v>
      </c>
      <c r="W280" s="3">
        <f t="shared" si="196"/>
        <v>-0.48079304478559809</v>
      </c>
      <c r="X280" s="3">
        <f t="shared" si="197"/>
        <v>-0.55238860157343761</v>
      </c>
      <c r="Y280" s="3">
        <f t="shared" si="198"/>
        <v>-0.33497658921332091</v>
      </c>
      <c r="Z280" s="3">
        <f t="shared" si="199"/>
        <v>-0.71339857994150813</v>
      </c>
      <c r="AA280" s="3">
        <f t="shared" si="200"/>
        <v>-0.61000114671859706</v>
      </c>
      <c r="AB280" s="3">
        <f t="shared" si="201"/>
        <v>-0.36991368569513217</v>
      </c>
      <c r="AC280" s="3">
        <f t="shared" si="202"/>
        <v>-0.4249980438779653</v>
      </c>
      <c r="AD280" s="3">
        <f t="shared" si="203"/>
        <v>-0.25772507751800056</v>
      </c>
      <c r="AE280" s="3">
        <f t="shared" si="179"/>
        <v>0.35784468730891983</v>
      </c>
      <c r="AF280" s="3">
        <f t="shared" si="204"/>
        <v>0.30597996091258861</v>
      </c>
      <c r="AG280" s="3">
        <f t="shared" si="205"/>
        <v>0.18555075789430059</v>
      </c>
      <c r="AH280" s="3">
        <f t="shared" si="206"/>
        <v>0.21318137769615755</v>
      </c>
      <c r="AI280" s="3">
        <f t="shared" si="207"/>
        <v>0.12927632934685354</v>
      </c>
      <c r="AJ280" s="3">
        <f t="shared" si="180"/>
        <v>0.9990081367613578</v>
      </c>
      <c r="AK280" s="3">
        <f t="shared" si="208"/>
        <v>0.85421547805099629</v>
      </c>
      <c r="AL280" s="3">
        <f t="shared" si="209"/>
        <v>0.518008855497189</v>
      </c>
      <c r="AM280" s="3">
        <f t="shared" si="210"/>
        <v>0.5951462700928829</v>
      </c>
      <c r="AN280" s="3">
        <f t="shared" si="211"/>
        <v>0.36090546957500852</v>
      </c>
      <c r="AO280" s="3">
        <f t="shared" si="181"/>
        <v>0.43950198659474943</v>
      </c>
      <c r="AP280" s="3">
        <f t="shared" si="212"/>
        <v>0.37580214391494865</v>
      </c>
      <c r="AQ280" s="3">
        <f t="shared" si="213"/>
        <v>0.22789195872092449</v>
      </c>
      <c r="AR280" s="3"/>
      <c r="AS280" s="2"/>
      <c r="AT280" s="2"/>
    </row>
    <row r="281" spans="1:46">
      <c r="A281">
        <f t="shared" si="214"/>
        <v>278</v>
      </c>
      <c r="B281" s="1">
        <f t="shared" si="172"/>
        <v>34.286574000000002</v>
      </c>
      <c r="C281" s="1">
        <f t="shared" si="173"/>
        <v>215.42889799032562</v>
      </c>
      <c r="D281" s="1">
        <f t="shared" si="174"/>
        <v>0.97371169327175133</v>
      </c>
      <c r="E281" s="1">
        <f t="shared" si="175"/>
        <v>-0.22778397306627815</v>
      </c>
      <c r="F281" s="2">
        <f t="shared" si="176"/>
        <v>31905.611053435478</v>
      </c>
      <c r="G281" s="2">
        <f t="shared" si="177"/>
        <v>-7463.7974454627365</v>
      </c>
      <c r="H281" s="2">
        <f t="shared" si="178"/>
        <v>7976.6461912821869</v>
      </c>
      <c r="I281" s="3">
        <f t="shared" si="182"/>
        <v>0.83038798276479764</v>
      </c>
      <c r="J281" s="3">
        <f t="shared" si="183"/>
        <v>0.68954420192018984</v>
      </c>
      <c r="K281" s="3">
        <f t="shared" si="184"/>
        <v>0.37059164596112998</v>
      </c>
      <c r="L281" s="3">
        <f t="shared" si="185"/>
        <v>0.36084941910117724</v>
      </c>
      <c r="M281" s="3">
        <f t="shared" si="186"/>
        <v>-8.441483750219772E-2</v>
      </c>
      <c r="N281" s="3">
        <f t="shared" si="187"/>
        <v>0.24882162470748539</v>
      </c>
      <c r="O281" s="3">
        <f t="shared" si="188"/>
        <v>-5.8207761755675436E-2</v>
      </c>
      <c r="P281" s="3">
        <f t="shared" si="189"/>
        <v>-0.70671038668279362</v>
      </c>
      <c r="Q281" s="3">
        <f t="shared" si="190"/>
        <v>-0.68813216726963711</v>
      </c>
      <c r="R281" s="3">
        <f t="shared" si="191"/>
        <v>0.16097729968581248</v>
      </c>
      <c r="S281" s="3">
        <f t="shared" si="192"/>
        <v>-0.4744975460955525</v>
      </c>
      <c r="T281" s="3">
        <f t="shared" si="193"/>
        <v>0.11100096363912079</v>
      </c>
      <c r="U281" s="3">
        <f t="shared" si="194"/>
        <v>-0.9292107017928648</v>
      </c>
      <c r="V281" s="3">
        <f t="shared" si="195"/>
        <v>-0.90478332584896282</v>
      </c>
      <c r="W281" s="3">
        <f t="shared" si="196"/>
        <v>0.21165930547008333</v>
      </c>
      <c r="X281" s="3">
        <f t="shared" si="197"/>
        <v>-0.62388809633321807</v>
      </c>
      <c r="Y281" s="3">
        <f t="shared" si="198"/>
        <v>0.1459484468693503</v>
      </c>
      <c r="Z281" s="3">
        <f t="shared" si="199"/>
        <v>-2.7783989918516414E-2</v>
      </c>
      <c r="AA281" s="3">
        <f t="shared" si="200"/>
        <v>-2.7053595869403885E-2</v>
      </c>
      <c r="AB281" s="3">
        <f t="shared" si="201"/>
        <v>6.3287476112730869E-3</v>
      </c>
      <c r="AC281" s="3">
        <f t="shared" si="202"/>
        <v>-1.8654650172839446E-2</v>
      </c>
      <c r="AD281" s="3">
        <f t="shared" si="203"/>
        <v>4.3639512207696079E-3</v>
      </c>
      <c r="AE281" s="3">
        <f t="shared" si="179"/>
        <v>0.90724885361860141</v>
      </c>
      <c r="AF281" s="3">
        <f t="shared" si="204"/>
        <v>0.88339881747582361</v>
      </c>
      <c r="AG281" s="3">
        <f t="shared" si="205"/>
        <v>-0.20665674843707124</v>
      </c>
      <c r="AH281" s="3">
        <f t="shared" si="206"/>
        <v>0.60914253257360629</v>
      </c>
      <c r="AI281" s="3">
        <f t="shared" si="207"/>
        <v>-0.14249896267246173</v>
      </c>
      <c r="AJ281" s="3">
        <f t="shared" si="180"/>
        <v>0.74491862889231131</v>
      </c>
      <c r="AK281" s="3">
        <f t="shared" si="208"/>
        <v>0.72533597948840378</v>
      </c>
      <c r="AL281" s="3">
        <f t="shared" si="209"/>
        <v>-0.1696805249001751</v>
      </c>
      <c r="AM281" s="3">
        <f t="shared" si="210"/>
        <v>0.50015121910033056</v>
      </c>
      <c r="AN281" s="3">
        <f t="shared" si="211"/>
        <v>-0.11700222212369013</v>
      </c>
      <c r="AO281" s="3">
        <f t="shared" si="181"/>
        <v>-0.31842810188673271</v>
      </c>
      <c r="AP281" s="3">
        <f t="shared" si="212"/>
        <v>-0.31005716627344027</v>
      </c>
      <c r="AQ281" s="3">
        <f t="shared" si="213"/>
        <v>7.2532818183713599E-2</v>
      </c>
      <c r="AR281" s="3"/>
      <c r="AS281" s="2"/>
      <c r="AT281" s="2"/>
    </row>
    <row r="282" spans="1:46">
      <c r="A282">
        <f t="shared" si="214"/>
        <v>279</v>
      </c>
      <c r="B282" s="1">
        <f t="shared" si="172"/>
        <v>34.409906999999997</v>
      </c>
      <c r="C282" s="1">
        <f t="shared" si="173"/>
        <v>216.20382208381596</v>
      </c>
      <c r="D282" s="1">
        <f t="shared" si="174"/>
        <v>0.53632007487212152</v>
      </c>
      <c r="E282" s="1">
        <f t="shared" si="175"/>
        <v>-0.84401467836120125</v>
      </c>
      <c r="F282" s="2">
        <f t="shared" si="176"/>
        <v>17573.599893334806</v>
      </c>
      <c r="G282" s="2">
        <f t="shared" si="177"/>
        <v>-27655.828965861481</v>
      </c>
      <c r="H282" s="2">
        <f t="shared" si="178"/>
        <v>4393.5340533524195</v>
      </c>
      <c r="I282" s="3">
        <f t="shared" si="182"/>
        <v>0.82603012241765594</v>
      </c>
      <c r="J282" s="3">
        <f t="shared" si="183"/>
        <v>0.68232576314132765</v>
      </c>
      <c r="K282" s="3">
        <f t="shared" si="184"/>
        <v>-0.36565486483345805</v>
      </c>
      <c r="L282" s="3">
        <f t="shared" si="185"/>
        <v>-0.19610804448483571</v>
      </c>
      <c r="M282" s="3">
        <f t="shared" si="186"/>
        <v>0.30861807313361961</v>
      </c>
      <c r="N282" s="3">
        <f t="shared" si="187"/>
        <v>-0.13380957111126895</v>
      </c>
      <c r="O282" s="3">
        <f t="shared" si="188"/>
        <v>0.21057806227010306</v>
      </c>
      <c r="P282" s="3">
        <f t="shared" si="189"/>
        <v>-0.9996139504349707</v>
      </c>
      <c r="Q282" s="3">
        <f t="shared" si="190"/>
        <v>-0.53611302874050071</v>
      </c>
      <c r="R282" s="3">
        <f t="shared" si="191"/>
        <v>0.84368884686174161</v>
      </c>
      <c r="S282" s="3">
        <f t="shared" si="192"/>
        <v>-0.36580373146537065</v>
      </c>
      <c r="T282" s="3">
        <f t="shared" si="193"/>
        <v>0.57567063628876458</v>
      </c>
      <c r="U282" s="3">
        <f t="shared" si="194"/>
        <v>-0.41679028957327008</v>
      </c>
      <c r="V282" s="3">
        <f t="shared" si="195"/>
        <v>-0.22353299930990941</v>
      </c>
      <c r="W282" s="3">
        <f t="shared" si="196"/>
        <v>0.35177712219825547</v>
      </c>
      <c r="X282" s="3">
        <f t="shared" si="197"/>
        <v>-0.15252232434140381</v>
      </c>
      <c r="Y282" s="3">
        <f t="shared" si="198"/>
        <v>0.24002659335958473</v>
      </c>
      <c r="Z282" s="3">
        <f t="shared" si="199"/>
        <v>0.67337246257012473</v>
      </c>
      <c r="AA282" s="3">
        <f t="shared" si="200"/>
        <v>0.36114316954243414</v>
      </c>
      <c r="AB282" s="3">
        <f t="shared" si="201"/>
        <v>-0.56833624241341385</v>
      </c>
      <c r="AC282" s="3">
        <f t="shared" si="202"/>
        <v>0.24641728876131924</v>
      </c>
      <c r="AD282" s="3">
        <f t="shared" si="203"/>
        <v>-0.38779046032560721</v>
      </c>
      <c r="AE282" s="3">
        <f t="shared" si="179"/>
        <v>0.94387078921978829</v>
      </c>
      <c r="AF282" s="3">
        <f t="shared" si="204"/>
        <v>0.5062168523439653</v>
      </c>
      <c r="AG282" s="3">
        <f t="shared" si="205"/>
        <v>-0.79664080057787279</v>
      </c>
      <c r="AH282" s="3">
        <f t="shared" si="206"/>
        <v>0.34540480009059688</v>
      </c>
      <c r="AI282" s="3">
        <f t="shared" si="207"/>
        <v>-0.54356854220381523</v>
      </c>
      <c r="AJ282" s="3">
        <f t="shared" si="180"/>
        <v>6.5439881024835972E-2</v>
      </c>
      <c r="AK282" s="3">
        <f t="shared" si="208"/>
        <v>3.5096721890862756E-2</v>
      </c>
      <c r="AL282" s="3">
        <f t="shared" si="209"/>
        <v>-5.5232220135172212E-2</v>
      </c>
      <c r="AM282" s="3">
        <f t="shared" si="210"/>
        <v>2.3947397547941868E-2</v>
      </c>
      <c r="AN282" s="3">
        <f t="shared" si="211"/>
        <v>-3.7686366753721182E-2</v>
      </c>
      <c r="AO282" s="3">
        <f t="shared" si="181"/>
        <v>-0.8926478968316266</v>
      </c>
      <c r="AP282" s="3">
        <f t="shared" si="212"/>
        <v>-0.47874498686317979</v>
      </c>
      <c r="AQ282" s="3">
        <f t="shared" si="213"/>
        <v>0.75340792753414809</v>
      </c>
      <c r="AR282" s="3"/>
      <c r="AS282" s="2"/>
      <c r="AT282" s="2"/>
    </row>
    <row r="283" spans="1:46">
      <c r="A283">
        <f t="shared" si="214"/>
        <v>280</v>
      </c>
      <c r="B283" s="1">
        <f t="shared" si="172"/>
        <v>34.533239999999999</v>
      </c>
      <c r="C283" s="1">
        <f t="shared" si="173"/>
        <v>216.97874617730636</v>
      </c>
      <c r="D283" s="1">
        <f t="shared" si="174"/>
        <v>-0.20733803938768089</v>
      </c>
      <c r="E283" s="1">
        <f t="shared" si="175"/>
        <v>-0.97826935831746897</v>
      </c>
      <c r="F283" s="2">
        <f t="shared" si="176"/>
        <v>-6793.8455366161397</v>
      </c>
      <c r="G283" s="2">
        <f t="shared" si="177"/>
        <v>-32054.952063988505</v>
      </c>
      <c r="H283" s="2">
        <f t="shared" si="178"/>
        <v>-1698.5132186638818</v>
      </c>
      <c r="I283" s="3">
        <f t="shared" si="182"/>
        <v>0.82162231262040075</v>
      </c>
      <c r="J283" s="3">
        <f t="shared" si="183"/>
        <v>0.67506322459569557</v>
      </c>
      <c r="K283" s="3">
        <f t="shared" si="184"/>
        <v>-0.90369349581636671</v>
      </c>
      <c r="L283" s="3">
        <f t="shared" si="185"/>
        <v>0.18737003762996488</v>
      </c>
      <c r="M283" s="3">
        <f t="shared" si="186"/>
        <v>0.88405565626794735</v>
      </c>
      <c r="N283" s="3">
        <f t="shared" si="187"/>
        <v>0.1264866217951009</v>
      </c>
      <c r="O283" s="3">
        <f t="shared" si="188"/>
        <v>0.59679346204230432</v>
      </c>
      <c r="P283" s="3">
        <f t="shared" si="189"/>
        <v>-0.74491862889230409</v>
      </c>
      <c r="Q283" s="3">
        <f t="shared" si="190"/>
        <v>0.15444996801788979</v>
      </c>
      <c r="R283" s="3">
        <f t="shared" si="191"/>
        <v>0.72873106908520313</v>
      </c>
      <c r="S283" s="3">
        <f t="shared" si="192"/>
        <v>0.10426349344885874</v>
      </c>
      <c r="T283" s="3">
        <f t="shared" si="193"/>
        <v>0.49193954535972589</v>
      </c>
      <c r="U283" s="3">
        <f t="shared" si="194"/>
        <v>0.32635833714778822</v>
      </c>
      <c r="V283" s="3">
        <f t="shared" si="195"/>
        <v>-6.7666497762046154E-2</v>
      </c>
      <c r="W283" s="3">
        <f t="shared" si="196"/>
        <v>-0.31926636106312301</v>
      </c>
      <c r="X283" s="3">
        <f t="shared" si="197"/>
        <v>-4.5679164176344295E-2</v>
      </c>
      <c r="Y283" s="3">
        <f t="shared" si="198"/>
        <v>-0.21552497920420541</v>
      </c>
      <c r="Z283" s="3">
        <f t="shared" si="199"/>
        <v>0.99785651371900963</v>
      </c>
      <c r="AA283" s="3">
        <f t="shared" si="200"/>
        <v>-0.20689361314472596</v>
      </c>
      <c r="AB283" s="3">
        <f t="shared" si="201"/>
        <v>-0.97617245136880226</v>
      </c>
      <c r="AC283" s="3">
        <f t="shared" si="202"/>
        <v>-0.13966626963773307</v>
      </c>
      <c r="AD283" s="3">
        <f t="shared" si="203"/>
        <v>-0.65897812278250845</v>
      </c>
      <c r="AE283" s="3">
        <f t="shared" si="179"/>
        <v>0.44701156706998879</v>
      </c>
      <c r="AF283" s="3">
        <f t="shared" si="204"/>
        <v>-9.2682501899906289E-2</v>
      </c>
      <c r="AG283" s="3">
        <f t="shared" si="205"/>
        <v>-0.43729771887804419</v>
      </c>
      <c r="AH283" s="3">
        <f t="shared" si="206"/>
        <v>-6.2566548596147423E-2</v>
      </c>
      <c r="AI283" s="3">
        <f t="shared" si="207"/>
        <v>-0.29520360821415448</v>
      </c>
      <c r="AJ283" s="3">
        <f t="shared" si="180"/>
        <v>-0.65140861459099764</v>
      </c>
      <c r="AK283" s="3">
        <f t="shared" si="208"/>
        <v>0.13506178498954291</v>
      </c>
      <c r="AL283" s="3">
        <f t="shared" si="209"/>
        <v>0.63725308739840669</v>
      </c>
      <c r="AM283" s="3">
        <f t="shared" si="210"/>
        <v>9.1175244094691341E-2</v>
      </c>
      <c r="AN283" s="3">
        <f t="shared" si="211"/>
        <v>0.43018612406273105</v>
      </c>
      <c r="AO283" s="3">
        <f t="shared" si="181"/>
        <v>-0.95187354967636417</v>
      </c>
      <c r="AP283" s="3">
        <f t="shared" si="212"/>
        <v>0.1973595955348896</v>
      </c>
      <c r="AQ283" s="3">
        <f t="shared" si="213"/>
        <v>0.93118872664126817</v>
      </c>
      <c r="AR283" s="3"/>
      <c r="AS283" s="2"/>
      <c r="AT283" s="2"/>
    </row>
    <row r="284" spans="1:46">
      <c r="A284">
        <f t="shared" si="214"/>
        <v>281</v>
      </c>
      <c r="B284" s="1">
        <f t="shared" si="172"/>
        <v>34.656573000000002</v>
      </c>
      <c r="C284" s="1">
        <f t="shared" si="173"/>
        <v>217.75367027079676</v>
      </c>
      <c r="D284" s="1">
        <f t="shared" si="174"/>
        <v>-0.83259541170821927</v>
      </c>
      <c r="E284" s="1">
        <f t="shared" si="175"/>
        <v>-0.55388164837122089</v>
      </c>
      <c r="F284" s="2">
        <f t="shared" si="176"/>
        <v>-27281.653855443219</v>
      </c>
      <c r="G284" s="2">
        <f t="shared" si="177"/>
        <v>-18149.039972179795</v>
      </c>
      <c r="H284" s="2">
        <f t="shared" si="178"/>
        <v>-6820.6216127137322</v>
      </c>
      <c r="I284" s="3">
        <f t="shared" si="182"/>
        <v>0.81716481991013445</v>
      </c>
      <c r="J284" s="3">
        <f t="shared" si="183"/>
        <v>0.66775834289876246</v>
      </c>
      <c r="K284" s="3">
        <f t="shared" si="184"/>
        <v>-0.95187354967636628</v>
      </c>
      <c r="L284" s="3">
        <f t="shared" si="185"/>
        <v>0.79252554998695834</v>
      </c>
      <c r="M284" s="3">
        <f t="shared" si="186"/>
        <v>0.52722529073571101</v>
      </c>
      <c r="N284" s="3">
        <f t="shared" si="187"/>
        <v>0.52921554796422166</v>
      </c>
      <c r="O284" s="3">
        <f t="shared" si="188"/>
        <v>0.35205908647599665</v>
      </c>
      <c r="P284" s="3">
        <f t="shared" si="189"/>
        <v>-8.2149159685656406E-2</v>
      </c>
      <c r="Q284" s="3">
        <f t="shared" si="190"/>
        <v>6.8397013429963349E-2</v>
      </c>
      <c r="R284" s="3">
        <f t="shared" si="191"/>
        <v>4.5500911979002016E-2</v>
      </c>
      <c r="S284" s="3">
        <f t="shared" si="192"/>
        <v>4.5672676347216723E-2</v>
      </c>
      <c r="T284" s="3">
        <f t="shared" si="193"/>
        <v>3.0383613583480837E-2</v>
      </c>
      <c r="U284" s="3">
        <f t="shared" si="194"/>
        <v>0.88884038333292359</v>
      </c>
      <c r="V284" s="3">
        <f t="shared" si="195"/>
        <v>-0.74004442490396694</v>
      </c>
      <c r="W284" s="3">
        <f t="shared" si="196"/>
        <v>-0.49231237665934757</v>
      </c>
      <c r="X284" s="3">
        <f t="shared" si="197"/>
        <v>-0.49417083884534063</v>
      </c>
      <c r="Y284" s="3">
        <f t="shared" si="198"/>
        <v>-0.32874569682659732</v>
      </c>
      <c r="Z284" s="3">
        <f t="shared" si="199"/>
        <v>0.76415764217986437</v>
      </c>
      <c r="AA284" s="3">
        <f t="shared" si="200"/>
        <v>-0.63623414670072631</v>
      </c>
      <c r="AB284" s="3">
        <f t="shared" si="201"/>
        <v>-0.42325289446604886</v>
      </c>
      <c r="AC284" s="3">
        <f t="shared" si="202"/>
        <v>-0.42485065949648509</v>
      </c>
      <c r="AD284" s="3">
        <f t="shared" si="203"/>
        <v>-0.28263065143575355</v>
      </c>
      <c r="AE284" s="3">
        <f t="shared" si="179"/>
        <v>-0.30250114436271786</v>
      </c>
      <c r="AF284" s="3">
        <f t="shared" si="204"/>
        <v>0.25186106483288456</v>
      </c>
      <c r="AG284" s="3">
        <f t="shared" si="205"/>
        <v>0.16754983247380281</v>
      </c>
      <c r="AH284" s="3">
        <f t="shared" si="206"/>
        <v>0.16818232729352475</v>
      </c>
      <c r="AI284" s="3">
        <f t="shared" si="207"/>
        <v>0.11188279848567183</v>
      </c>
      <c r="AJ284" s="3">
        <f t="shared" si="180"/>
        <v>-0.99626719783028128</v>
      </c>
      <c r="AK284" s="3">
        <f t="shared" si="208"/>
        <v>0.82948749774889696</v>
      </c>
      <c r="AL284" s="3">
        <f t="shared" si="209"/>
        <v>0.5518141177524134</v>
      </c>
      <c r="AM284" s="3">
        <f t="shared" si="210"/>
        <v>0.55389719695204442</v>
      </c>
      <c r="AN284" s="3">
        <f t="shared" si="211"/>
        <v>0.36847848085849416</v>
      </c>
      <c r="AO284" s="3">
        <f t="shared" si="181"/>
        <v>-0.4619360847414995</v>
      </c>
      <c r="AP284" s="3">
        <f t="shared" si="212"/>
        <v>0.38460586465823166</v>
      </c>
      <c r="AQ284" s="3">
        <f t="shared" si="213"/>
        <v>0.25585792005876973</v>
      </c>
      <c r="AR284" s="3"/>
      <c r="AS284" s="2"/>
      <c r="AT284" s="2"/>
    </row>
    <row r="285" spans="1:46">
      <c r="A285">
        <f t="shared" si="214"/>
        <v>282</v>
      </c>
      <c r="B285" s="1">
        <f t="shared" si="172"/>
        <v>34.779905999999997</v>
      </c>
      <c r="C285" s="1">
        <f t="shared" si="173"/>
        <v>218.5285943642871</v>
      </c>
      <c r="D285" s="1">
        <f t="shared" si="174"/>
        <v>-0.98239775043912736</v>
      </c>
      <c r="E285" s="1">
        <f t="shared" si="175"/>
        <v>0.1868011240119877</v>
      </c>
      <c r="F285" s="2">
        <f t="shared" si="176"/>
        <v>-32190.227088638887</v>
      </c>
      <c r="G285" s="2">
        <f t="shared" si="177"/>
        <v>6120.9124305008008</v>
      </c>
      <c r="H285" s="2">
        <f t="shared" si="178"/>
        <v>-8047.8023715973313</v>
      </c>
      <c r="I285" s="3">
        <f t="shared" si="182"/>
        <v>0.81265791382825026</v>
      </c>
      <c r="J285" s="3">
        <f t="shared" si="183"/>
        <v>0.66041288490768379</v>
      </c>
      <c r="K285" s="3">
        <f t="shared" si="184"/>
        <v>-0.48407841415626268</v>
      </c>
      <c r="L285" s="3">
        <f t="shared" si="185"/>
        <v>0.47555754510325271</v>
      </c>
      <c r="M285" s="3">
        <f t="shared" si="186"/>
        <v>-9.0426391874330367E-2</v>
      </c>
      <c r="N285" s="3">
        <f t="shared" si="187"/>
        <v>0.31406433030125502</v>
      </c>
      <c r="O285" s="3">
        <f t="shared" si="188"/>
        <v>-5.9718754329519251E-2</v>
      </c>
      <c r="P285" s="3">
        <f t="shared" si="189"/>
        <v>0.62562247085755052</v>
      </c>
      <c r="Q285" s="3">
        <f t="shared" si="190"/>
        <v>-0.61461010799462612</v>
      </c>
      <c r="R285" s="3">
        <f t="shared" si="191"/>
        <v>0.11686698076334745</v>
      </c>
      <c r="S285" s="3">
        <f t="shared" si="192"/>
        <v>-0.40589643451415414</v>
      </c>
      <c r="T285" s="3">
        <f t="shared" si="193"/>
        <v>7.7180459916373081E-2</v>
      </c>
      <c r="U285" s="3">
        <f t="shared" si="194"/>
        <v>0.95927508639707215</v>
      </c>
      <c r="V285" s="3">
        <f t="shared" si="195"/>
        <v>-0.94238968692878322</v>
      </c>
      <c r="W285" s="3">
        <f t="shared" si="196"/>
        <v>0.17919366437566969</v>
      </c>
      <c r="X285" s="3">
        <f t="shared" si="197"/>
        <v>-0.62236629185188663</v>
      </c>
      <c r="Y285" s="3">
        <f t="shared" si="198"/>
        <v>0.11834180484751526</v>
      </c>
      <c r="Z285" s="3">
        <f t="shared" si="199"/>
        <v>0.10300277847938706</v>
      </c>
      <c r="AA285" s="3">
        <f t="shared" si="200"/>
        <v>-0.10118969786712961</v>
      </c>
      <c r="AB285" s="3">
        <f t="shared" si="201"/>
        <v>1.9241034796307281E-2</v>
      </c>
      <c r="AC285" s="3">
        <f t="shared" si="202"/>
        <v>-6.6826980291367966E-2</v>
      </c>
      <c r="AD285" s="3">
        <f t="shared" si="203"/>
        <v>1.2707027298438419E-2</v>
      </c>
      <c r="AE285" s="3">
        <f t="shared" si="179"/>
        <v>-0.88103848230279014</v>
      </c>
      <c r="AF285" s="3">
        <f t="shared" si="204"/>
        <v>0.86553022306456395</v>
      </c>
      <c r="AG285" s="3">
        <f t="shared" si="205"/>
        <v>-0.16457897879197694</v>
      </c>
      <c r="AH285" s="3">
        <f t="shared" si="206"/>
        <v>0.5716073115888598</v>
      </c>
      <c r="AI285" s="3">
        <f t="shared" si="207"/>
        <v>-0.10869007817916999</v>
      </c>
      <c r="AJ285" s="3">
        <f t="shared" si="180"/>
        <v>-0.77220277433710927</v>
      </c>
      <c r="AK285" s="3">
        <f t="shared" si="208"/>
        <v>0.75861026839162926</v>
      </c>
      <c r="AL285" s="3">
        <f t="shared" si="209"/>
        <v>-0.1442483462113473</v>
      </c>
      <c r="AM285" s="3">
        <f t="shared" si="210"/>
        <v>0.50099599586910826</v>
      </c>
      <c r="AN285" s="3">
        <f t="shared" si="211"/>
        <v>-9.526346646459824E-2</v>
      </c>
      <c r="AO285" s="3">
        <f t="shared" si="181"/>
        <v>0.2945055399084815</v>
      </c>
      <c r="AP285" s="3">
        <f t="shared" si="212"/>
        <v>-0.28932157989795287</v>
      </c>
      <c r="AQ285" s="3">
        <f t="shared" si="213"/>
        <v>5.5013965882661643E-2</v>
      </c>
      <c r="AR285" s="3"/>
      <c r="AS285" s="2"/>
      <c r="AT285" s="2"/>
    </row>
    <row r="286" spans="1:46">
      <c r="A286">
        <f t="shared" si="214"/>
        <v>283</v>
      </c>
      <c r="B286" s="1">
        <f t="shared" si="172"/>
        <v>34.903238999999999</v>
      </c>
      <c r="C286" s="1">
        <f t="shared" si="173"/>
        <v>219.3035184577775</v>
      </c>
      <c r="D286" s="1">
        <f t="shared" si="174"/>
        <v>-0.57120017388694977</v>
      </c>
      <c r="E286" s="1">
        <f t="shared" si="175"/>
        <v>0.82081079509928367</v>
      </c>
      <c r="F286" s="2">
        <f t="shared" si="176"/>
        <v>-18716.516097753683</v>
      </c>
      <c r="G286" s="2">
        <f t="shared" si="177"/>
        <v>26895.507323018228</v>
      </c>
      <c r="H286" s="2">
        <f t="shared" si="178"/>
        <v>-4679.2718244818925</v>
      </c>
      <c r="I286" s="3">
        <f t="shared" si="182"/>
        <v>0.8081018669041321</v>
      </c>
      <c r="J286" s="3">
        <f t="shared" si="183"/>
        <v>0.65302862729394362</v>
      </c>
      <c r="K286" s="3">
        <f t="shared" si="184"/>
        <v>0.24611759541268785</v>
      </c>
      <c r="L286" s="3">
        <f t="shared" si="185"/>
        <v>-0.14058241329636526</v>
      </c>
      <c r="M286" s="3">
        <f t="shared" si="186"/>
        <v>0.20201597917861214</v>
      </c>
      <c r="N286" s="3">
        <f t="shared" si="187"/>
        <v>-9.1804340376595253E-2</v>
      </c>
      <c r="O286" s="3">
        <f t="shared" si="188"/>
        <v>0.13192221757445097</v>
      </c>
      <c r="P286" s="3">
        <f t="shared" si="189"/>
        <v>0.99067162588119706</v>
      </c>
      <c r="Q286" s="3">
        <f t="shared" si="190"/>
        <v>-0.56587180496820699</v>
      </c>
      <c r="R286" s="3">
        <f t="shared" si="191"/>
        <v>0.81315396492184544</v>
      </c>
      <c r="S286" s="3">
        <f t="shared" si="192"/>
        <v>-0.36953048802273442</v>
      </c>
      <c r="T286" s="3">
        <f t="shared" si="193"/>
        <v>0.53101281749154039</v>
      </c>
      <c r="U286" s="3">
        <f t="shared" si="194"/>
        <v>0.49867095905398562</v>
      </c>
      <c r="V286" s="3">
        <f t="shared" si="195"/>
        <v>-0.2848409385240086</v>
      </c>
      <c r="W286" s="3">
        <f t="shared" si="196"/>
        <v>0.40931450639402428</v>
      </c>
      <c r="X286" s="3">
        <f t="shared" si="197"/>
        <v>-0.1860092870814519</v>
      </c>
      <c r="Y286" s="3">
        <f t="shared" si="198"/>
        <v>0.26729409024198775</v>
      </c>
      <c r="Z286" s="3">
        <f t="shared" si="199"/>
        <v>-0.61576998032538355</v>
      </c>
      <c r="AA286" s="3">
        <f t="shared" si="200"/>
        <v>0.3517279198362227</v>
      </c>
      <c r="AB286" s="3">
        <f t="shared" si="201"/>
        <v>-0.50543064714914832</v>
      </c>
      <c r="AC286" s="3">
        <f t="shared" si="202"/>
        <v>0.22968840067160279</v>
      </c>
      <c r="AD286" s="3">
        <f t="shared" si="203"/>
        <v>-0.33006068170009795</v>
      </c>
      <c r="AE286" s="3">
        <f t="shared" si="179"/>
        <v>-0.9616078410128025</v>
      </c>
      <c r="AF286" s="3">
        <f t="shared" si="204"/>
        <v>0.54927056599756718</v>
      </c>
      <c r="AG286" s="3">
        <f t="shared" si="205"/>
        <v>-0.78929809655542393</v>
      </c>
      <c r="AH286" s="3">
        <f t="shared" si="206"/>
        <v>0.35868940372635877</v>
      </c>
      <c r="AI286" s="3">
        <f t="shared" si="207"/>
        <v>-0.51543425251931108</v>
      </c>
      <c r="AJ286" s="3">
        <f t="shared" si="180"/>
        <v>-0.107168372970756</v>
      </c>
      <c r="AK286" s="3">
        <f t="shared" si="208"/>
        <v>6.1214593276077318E-2</v>
      </c>
      <c r="AL286" s="3">
        <f t="shared" si="209"/>
        <v>-8.7964957427622809E-2</v>
      </c>
      <c r="AM286" s="3">
        <f t="shared" si="210"/>
        <v>3.997488181743384E-2</v>
      </c>
      <c r="AN286" s="3">
        <f t="shared" si="211"/>
        <v>-5.7443635398930715E-2</v>
      </c>
      <c r="AO286" s="3">
        <f t="shared" si="181"/>
        <v>0.88103848230279846</v>
      </c>
      <c r="AP286" s="3">
        <f t="shared" si="212"/>
        <v>-0.50324933429245278</v>
      </c>
      <c r="AQ286" s="3">
        <f t="shared" si="213"/>
        <v>0.72316589717202617</v>
      </c>
      <c r="AR286" s="3"/>
      <c r="AS286" s="2"/>
      <c r="AT286" s="2"/>
    </row>
    <row r="287" spans="1:46">
      <c r="A287">
        <f t="shared" si="214"/>
        <v>284</v>
      </c>
      <c r="B287" s="1">
        <f t="shared" si="172"/>
        <v>35.026572000000002</v>
      </c>
      <c r="C287" s="1">
        <f t="shared" si="173"/>
        <v>220.0784425512679</v>
      </c>
      <c r="D287" s="1">
        <f t="shared" si="174"/>
        <v>0.16618223871258633</v>
      </c>
      <c r="E287" s="1">
        <f t="shared" si="175"/>
        <v>0.98609505806310227</v>
      </c>
      <c r="F287" s="2">
        <f t="shared" si="176"/>
        <v>5445.2934158953167</v>
      </c>
      <c r="G287" s="2">
        <f t="shared" si="177"/>
        <v>32311.376767553673</v>
      </c>
      <c r="H287" s="2">
        <f t="shared" si="178"/>
        <v>1361.3648995335072</v>
      </c>
      <c r="I287" s="3">
        <f t="shared" si="182"/>
        <v>0.80349695463867565</v>
      </c>
      <c r="J287" s="3">
        <f t="shared" si="183"/>
        <v>0.64560735611362596</v>
      </c>
      <c r="K287" s="3">
        <f t="shared" si="184"/>
        <v>0.84290242558075956</v>
      </c>
      <c r="L287" s="3">
        <f t="shared" si="185"/>
        <v>0.14007541209927982</v>
      </c>
      <c r="M287" s="3">
        <f t="shared" si="186"/>
        <v>0.83118191629458882</v>
      </c>
      <c r="N287" s="3">
        <f t="shared" si="187"/>
        <v>9.0433716461942662E-2</v>
      </c>
      <c r="O287" s="3">
        <f t="shared" si="188"/>
        <v>0.53661715942840671</v>
      </c>
      <c r="P287" s="3">
        <f t="shared" si="189"/>
        <v>0.81302059370786317</v>
      </c>
      <c r="Q287" s="3">
        <f t="shared" si="190"/>
        <v>0.13510958238180878</v>
      </c>
      <c r="R287" s="3">
        <f t="shared" si="191"/>
        <v>0.80171558955885325</v>
      </c>
      <c r="S287" s="3">
        <f t="shared" si="192"/>
        <v>8.7227740267135714E-2</v>
      </c>
      <c r="T287" s="3">
        <f t="shared" si="193"/>
        <v>0.51759348213016809</v>
      </c>
      <c r="U287" s="3">
        <f t="shared" si="194"/>
        <v>-0.23798916787592708</v>
      </c>
      <c r="V287" s="3">
        <f t="shared" si="195"/>
        <v>-3.9549572706967094E-2</v>
      </c>
      <c r="W287" s="3">
        <f t="shared" si="196"/>
        <v>-0.23467994231500172</v>
      </c>
      <c r="X287" s="3">
        <f t="shared" si="197"/>
        <v>-2.5533495070768651E-2</v>
      </c>
      <c r="Y287" s="3">
        <f t="shared" si="198"/>
        <v>-0.15151109709088653</v>
      </c>
      <c r="Z287" s="3">
        <f t="shared" si="199"/>
        <v>-0.99009212664621449</v>
      </c>
      <c r="AA287" s="3">
        <f t="shared" si="200"/>
        <v>-0.16453572613777348</v>
      </c>
      <c r="AB287" s="3">
        <f t="shared" si="201"/>
        <v>-0.97632495311301926</v>
      </c>
      <c r="AC287" s="3">
        <f t="shared" si="202"/>
        <v>-0.10622547513804355</v>
      </c>
      <c r="AD287" s="3">
        <f t="shared" si="203"/>
        <v>-0.63032257168705619</v>
      </c>
      <c r="AE287" s="3">
        <f t="shared" si="179"/>
        <v>-0.498670959053995</v>
      </c>
      <c r="AF287" s="3">
        <f t="shared" si="204"/>
        <v>-8.2870256356545366E-2</v>
      </c>
      <c r="AG287" s="3">
        <f t="shared" si="205"/>
        <v>-0.49173696832273212</v>
      </c>
      <c r="AH287" s="3">
        <f t="shared" si="206"/>
        <v>-5.3501647106807652E-2</v>
      </c>
      <c r="AI287" s="3">
        <f t="shared" si="207"/>
        <v>-0.31746900402216888</v>
      </c>
      <c r="AJ287" s="3">
        <f t="shared" si="180"/>
        <v>0.61906502512047978</v>
      </c>
      <c r="AK287" s="3">
        <f t="shared" si="208"/>
        <v>0.10287761178318483</v>
      </c>
      <c r="AL287" s="3">
        <f t="shared" si="209"/>
        <v>0.61045696189101539</v>
      </c>
      <c r="AM287" s="3">
        <f t="shared" si="210"/>
        <v>6.6418542946625969E-2</v>
      </c>
      <c r="AN287" s="3">
        <f t="shared" si="211"/>
        <v>0.39411550518761496</v>
      </c>
      <c r="AO287" s="3">
        <f t="shared" si="181"/>
        <v>0.95927508639707826</v>
      </c>
      <c r="AP287" s="3">
        <f t="shared" si="212"/>
        <v>0.15941448139867614</v>
      </c>
      <c r="AQ287" s="3">
        <f t="shared" si="213"/>
        <v>0.94593642201921435</v>
      </c>
      <c r="AR287" s="3"/>
      <c r="AS287" s="2"/>
      <c r="AT287" s="2"/>
    </row>
    <row r="288" spans="1:46">
      <c r="A288">
        <f t="shared" si="214"/>
        <v>285</v>
      </c>
      <c r="B288" s="1">
        <f t="shared" si="172"/>
        <v>35.149904999999997</v>
      </c>
      <c r="C288" s="1">
        <f t="shared" si="173"/>
        <v>220.85336664475827</v>
      </c>
      <c r="D288" s="1">
        <f t="shared" si="174"/>
        <v>0.80866599972455167</v>
      </c>
      <c r="E288" s="1">
        <f t="shared" si="175"/>
        <v>0.58826805190277964</v>
      </c>
      <c r="F288" s="2">
        <f t="shared" si="176"/>
        <v>26497.558812974385</v>
      </c>
      <c r="G288" s="2">
        <f t="shared" si="177"/>
        <v>19275.779256698381</v>
      </c>
      <c r="H288" s="2">
        <f t="shared" si="178"/>
        <v>6624.5918697435272</v>
      </c>
      <c r="I288" s="3">
        <f t="shared" si="182"/>
        <v>0.7988434554876287</v>
      </c>
      <c r="J288" s="3">
        <f t="shared" si="183"/>
        <v>0.63815086637541496</v>
      </c>
      <c r="K288" s="3">
        <f t="shared" si="184"/>
        <v>0.98278125303889263</v>
      </c>
      <c r="L288" s="3">
        <f t="shared" si="185"/>
        <v>0.79474178449924371</v>
      </c>
      <c r="M288" s="3">
        <f t="shared" si="186"/>
        <v>0.57813881317176208</v>
      </c>
      <c r="N288" s="3">
        <f t="shared" si="187"/>
        <v>0.50716515832293563</v>
      </c>
      <c r="O288" s="3">
        <f t="shared" si="188"/>
        <v>0.36893978451081411</v>
      </c>
      <c r="P288" s="3">
        <f t="shared" si="189"/>
        <v>0.18998845151459542</v>
      </c>
      <c r="Q288" s="3">
        <f t="shared" si="190"/>
        <v>0.15363720108016982</v>
      </c>
      <c r="R288" s="3">
        <f t="shared" si="191"/>
        <v>0.11176413625651675</v>
      </c>
      <c r="S288" s="3">
        <f t="shared" si="192"/>
        <v>9.8043712976804212E-2</v>
      </c>
      <c r="T288" s="3">
        <f t="shared" si="193"/>
        <v>7.1322380381796099E-2</v>
      </c>
      <c r="U288" s="3">
        <f t="shared" si="194"/>
        <v>-0.84290242558076911</v>
      </c>
      <c r="V288" s="3">
        <f t="shared" si="195"/>
        <v>-0.68162653265252215</v>
      </c>
      <c r="W288" s="3">
        <f t="shared" si="196"/>
        <v>-0.49585256784052673</v>
      </c>
      <c r="X288" s="3">
        <f t="shared" si="197"/>
        <v>-0.43498056235667704</v>
      </c>
      <c r="Y288" s="3">
        <f t="shared" si="198"/>
        <v>-0.31642874576190633</v>
      </c>
      <c r="Z288" s="3">
        <f t="shared" si="199"/>
        <v>-0.81057460826207406</v>
      </c>
      <c r="AA288" s="3">
        <f t="shared" si="200"/>
        <v>-0.655484125941587</v>
      </c>
      <c r="AB288" s="3">
        <f t="shared" si="201"/>
        <v>-0.47683514572418906</v>
      </c>
      <c r="AC288" s="3">
        <f t="shared" si="202"/>
        <v>-0.41829776286495535</v>
      </c>
      <c r="AD288" s="3">
        <f t="shared" si="203"/>
        <v>-0.30429276136213851</v>
      </c>
      <c r="AE288" s="3">
        <f t="shared" si="179"/>
        <v>0.24611759541269448</v>
      </c>
      <c r="AF288" s="3">
        <f t="shared" si="204"/>
        <v>0.19902693134420932</v>
      </c>
      <c r="AG288" s="3">
        <f t="shared" si="205"/>
        <v>0.14478311839242228</v>
      </c>
      <c r="AH288" s="3">
        <f t="shared" si="206"/>
        <v>0.12700920866934742</v>
      </c>
      <c r="AI288" s="3">
        <f t="shared" si="207"/>
        <v>9.2393472438658558E-2</v>
      </c>
      <c r="AJ288" s="3">
        <f t="shared" si="180"/>
        <v>0.99177846770033873</v>
      </c>
      <c r="AK288" s="3">
        <f t="shared" si="208"/>
        <v>0.80201752608817845</v>
      </c>
      <c r="AL288" s="3">
        <f t="shared" si="209"/>
        <v>0.58343158711320209</v>
      </c>
      <c r="AM288" s="3">
        <f t="shared" si="210"/>
        <v>0.51180817912143806</v>
      </c>
      <c r="AN288" s="3">
        <f t="shared" si="211"/>
        <v>0.37231737278707333</v>
      </c>
      <c r="AO288" s="3">
        <f t="shared" si="181"/>
        <v>0.48407841415626612</v>
      </c>
      <c r="AP288" s="3">
        <f t="shared" si="212"/>
        <v>0.39145775472875249</v>
      </c>
      <c r="AQ288" s="3">
        <f t="shared" si="213"/>
        <v>0.28476786566389362</v>
      </c>
      <c r="AR288" s="3"/>
      <c r="AS288" s="2"/>
      <c r="AT288" s="2"/>
    </row>
    <row r="289" spans="1:46">
      <c r="A289">
        <f t="shared" si="214"/>
        <v>286</v>
      </c>
      <c r="B289" s="1">
        <f t="shared" si="172"/>
        <v>35.273237999999999</v>
      </c>
      <c r="C289" s="1">
        <f t="shared" si="173"/>
        <v>221.62829073824864</v>
      </c>
      <c r="D289" s="1">
        <f t="shared" si="174"/>
        <v>0.98935965877934695</v>
      </c>
      <c r="E289" s="1">
        <f t="shared" si="175"/>
        <v>-0.145490431231797</v>
      </c>
      <c r="F289" s="2">
        <f t="shared" si="176"/>
        <v>32418.347939222862</v>
      </c>
      <c r="G289" s="2">
        <f t="shared" si="177"/>
        <v>-4767.2849601722919</v>
      </c>
      <c r="H289" s="2">
        <f t="shared" si="178"/>
        <v>8104.8343247204102</v>
      </c>
      <c r="I289" s="3">
        <f t="shared" si="182"/>
        <v>0.79414165084475341</v>
      </c>
      <c r="J289" s="3">
        <f t="shared" si="183"/>
        <v>0.63066096160643026</v>
      </c>
      <c r="K289" s="3">
        <f t="shared" si="184"/>
        <v>0.58993097658574767</v>
      </c>
      <c r="L289" s="3">
        <f t="shared" si="185"/>
        <v>0.58365390969824227</v>
      </c>
      <c r="M289" s="3">
        <f t="shared" si="186"/>
        <v>-8.5829312180455572E-2</v>
      </c>
      <c r="N289" s="3">
        <f t="shared" si="187"/>
        <v>0.36808773593564609</v>
      </c>
      <c r="O289" s="3">
        <f t="shared" si="188"/>
        <v>-5.412919655374461E-2</v>
      </c>
      <c r="P289" s="3">
        <f t="shared" si="189"/>
        <v>-0.53712133407593399</v>
      </c>
      <c r="Q289" s="3">
        <f t="shared" si="190"/>
        <v>-0.53140617980447369</v>
      </c>
      <c r="R289" s="3">
        <f t="shared" si="191"/>
        <v>7.8146014518505738E-2</v>
      </c>
      <c r="S289" s="3">
        <f t="shared" si="192"/>
        <v>-0.33513713235908893</v>
      </c>
      <c r="T289" s="3">
        <f t="shared" si="193"/>
        <v>4.9283640661950887E-2</v>
      </c>
      <c r="U289" s="3">
        <f t="shared" si="194"/>
        <v>-0.98119883419280285</v>
      </c>
      <c r="V289" s="3">
        <f t="shared" si="195"/>
        <v>-0.97075854379168447</v>
      </c>
      <c r="W289" s="3">
        <f t="shared" si="196"/>
        <v>0.14275504151084736</v>
      </c>
      <c r="X289" s="3">
        <f t="shared" si="197"/>
        <v>-0.61221951671532171</v>
      </c>
      <c r="Y289" s="3">
        <f t="shared" si="198"/>
        <v>9.0030031753396869E-2</v>
      </c>
      <c r="Z289" s="3">
        <f t="shared" si="199"/>
        <v>-0.1776362847060986</v>
      </c>
      <c r="AA289" s="3">
        <f t="shared" si="200"/>
        <v>-0.17574617402365664</v>
      </c>
      <c r="AB289" s="3">
        <f t="shared" si="201"/>
        <v>2.5844379664304553E-2</v>
      </c>
      <c r="AC289" s="3">
        <f t="shared" si="202"/>
        <v>-0.11083625110841032</v>
      </c>
      <c r="AD289" s="3">
        <f t="shared" si="203"/>
        <v>1.6299041331211978E-2</v>
      </c>
      <c r="AE289" s="3">
        <f t="shared" si="179"/>
        <v>0.85179908009476657</v>
      </c>
      <c r="AF289" s="3">
        <f t="shared" si="204"/>
        <v>0.84273564723111982</v>
      </c>
      <c r="AG289" s="3">
        <f t="shared" si="205"/>
        <v>-0.12392861548583559</v>
      </c>
      <c r="AH289" s="3">
        <f t="shared" si="206"/>
        <v>0.53148047366279538</v>
      </c>
      <c r="AI289" s="3">
        <f t="shared" si="207"/>
        <v>-7.8156939812850601E-2</v>
      </c>
      <c r="AJ289" s="3">
        <f t="shared" si="180"/>
        <v>0.79813221371945453</v>
      </c>
      <c r="AK289" s="3">
        <f t="shared" si="208"/>
        <v>0.7896398146262843</v>
      </c>
      <c r="AL289" s="3">
        <f t="shared" si="209"/>
        <v>-0.11612059995403221</v>
      </c>
      <c r="AM289" s="3">
        <f t="shared" si="210"/>
        <v>0.49799500481493575</v>
      </c>
      <c r="AN289" s="3">
        <f t="shared" si="211"/>
        <v>-7.3232729229325541E-2</v>
      </c>
      <c r="AO289" s="3">
        <f t="shared" si="181"/>
        <v>-0.27039696191888746</v>
      </c>
      <c r="AP289" s="3">
        <f t="shared" si="212"/>
        <v>-0.26751984597904255</v>
      </c>
      <c r="AQ289" s="3">
        <f t="shared" si="213"/>
        <v>3.9340170593346727E-2</v>
      </c>
      <c r="AR289" s="3"/>
      <c r="AS289" s="2"/>
      <c r="AT289" s="2"/>
    </row>
    <row r="290" spans="1:46">
      <c r="A290">
        <f t="shared" si="214"/>
        <v>287</v>
      </c>
      <c r="B290" s="1">
        <f t="shared" si="172"/>
        <v>35.396571000000002</v>
      </c>
      <c r="C290" s="1">
        <f t="shared" si="173"/>
        <v>222.40321483173904</v>
      </c>
      <c r="D290" s="1">
        <f t="shared" si="174"/>
        <v>0.60507779288853369</v>
      </c>
      <c r="E290" s="1">
        <f t="shared" si="175"/>
        <v>-0.79616635482362641</v>
      </c>
      <c r="F290" s="2">
        <f t="shared" si="176"/>
        <v>19826.584039578585</v>
      </c>
      <c r="G290" s="2">
        <f t="shared" si="177"/>
        <v>-26087.982948505767</v>
      </c>
      <c r="H290" s="2">
        <f t="shared" si="178"/>
        <v>4956.797279342868</v>
      </c>
      <c r="I290" s="3">
        <f t="shared" si="182"/>
        <v>0.78939182502481042</v>
      </c>
      <c r="J290" s="3">
        <f t="shared" si="183"/>
        <v>0.62313945341600097</v>
      </c>
      <c r="K290" s="3">
        <f t="shared" si="184"/>
        <v>-0.12269890448870703</v>
      </c>
      <c r="L290" s="3">
        <f t="shared" si="185"/>
        <v>-7.4242382317867853E-2</v>
      </c>
      <c r="M290" s="3">
        <f t="shared" si="186"/>
        <v>9.7688739527626176E-2</v>
      </c>
      <c r="N290" s="3">
        <f t="shared" si="187"/>
        <v>-4.6263357537857944E-2</v>
      </c>
      <c r="O290" s="3">
        <f t="shared" si="188"/>
        <v>6.087370775414306E-2</v>
      </c>
      <c r="P290" s="3">
        <f t="shared" si="189"/>
        <v>-0.96999048438914304</v>
      </c>
      <c r="Q290" s="3">
        <f t="shared" si="190"/>
        <v>-0.5869197014170624</v>
      </c>
      <c r="R290" s="3">
        <f t="shared" si="191"/>
        <v>0.77227378816970771</v>
      </c>
      <c r="S290" s="3">
        <f t="shared" si="192"/>
        <v>-0.3657328219401107</v>
      </c>
      <c r="T290" s="3">
        <f t="shared" si="193"/>
        <v>0.48123426624757615</v>
      </c>
      <c r="U290" s="3">
        <f t="shared" si="194"/>
        <v>-0.57631978803123984</v>
      </c>
      <c r="V290" s="3">
        <f t="shared" si="195"/>
        <v>-0.3487183053399302</v>
      </c>
      <c r="W290" s="3">
        <f t="shared" si="196"/>
        <v>0.45884642484955729</v>
      </c>
      <c r="X290" s="3">
        <f t="shared" si="197"/>
        <v>-0.21730013418567823</v>
      </c>
      <c r="Y290" s="3">
        <f t="shared" si="198"/>
        <v>0.2859253103826393</v>
      </c>
      <c r="Z290" s="3">
        <f t="shared" si="199"/>
        <v>0.55466857021935012</v>
      </c>
      <c r="AA290" s="3">
        <f t="shared" si="200"/>
        <v>0.33561763425296304</v>
      </c>
      <c r="AB290" s="3">
        <f t="shared" si="201"/>
        <v>-0.44160845368677265</v>
      </c>
      <c r="AC290" s="3">
        <f t="shared" si="202"/>
        <v>0.20913658916516273</v>
      </c>
      <c r="AD290" s="3">
        <f t="shared" si="203"/>
        <v>-0.27518365045426091</v>
      </c>
      <c r="AE290" s="3">
        <f t="shared" si="179"/>
        <v>0.97603886257538797</v>
      </c>
      <c r="AF290" s="3">
        <f t="shared" si="204"/>
        <v>0.59057944074055058</v>
      </c>
      <c r="AG290" s="3">
        <f t="shared" si="205"/>
        <v>-0.7770893033828451</v>
      </c>
      <c r="AH290" s="3">
        <f t="shared" si="206"/>
        <v>0.36801334990179424</v>
      </c>
      <c r="AI290" s="3">
        <f t="shared" si="207"/>
        <v>-0.48423500376540707</v>
      </c>
      <c r="AJ290" s="3">
        <f t="shared" si="180"/>
        <v>0.14870885517445592</v>
      </c>
      <c r="AK290" s="3">
        <f t="shared" si="208"/>
        <v>8.9980425871940398E-2</v>
      </c>
      <c r="AL290" s="3">
        <f t="shared" si="209"/>
        <v>-0.11839698715424114</v>
      </c>
      <c r="AM290" s="3">
        <f t="shared" si="210"/>
        <v>5.6070353395979926E-2</v>
      </c>
      <c r="AN290" s="3">
        <f t="shared" si="211"/>
        <v>-7.3777833861395109E-2</v>
      </c>
      <c r="AO290" s="3">
        <f t="shared" si="181"/>
        <v>-0.86887258498488518</v>
      </c>
      <c r="AP290" s="3">
        <f t="shared" si="212"/>
        <v>-0.5257355060240092</v>
      </c>
      <c r="AQ290" s="3">
        <f t="shared" si="213"/>
        <v>0.69176711879359754</v>
      </c>
      <c r="AR290" s="3"/>
      <c r="AS290" s="2"/>
      <c r="AT290" s="2"/>
    </row>
    <row r="291" spans="1:46">
      <c r="A291">
        <f t="shared" si="214"/>
        <v>288</v>
      </c>
      <c r="B291" s="1">
        <f t="shared" si="172"/>
        <v>35.519903999999997</v>
      </c>
      <c r="C291" s="1">
        <f t="shared" si="173"/>
        <v>223.1781389252294</v>
      </c>
      <c r="D291" s="1">
        <f t="shared" si="174"/>
        <v>-0.12473478131101001</v>
      </c>
      <c r="E291" s="1">
        <f t="shared" si="175"/>
        <v>-0.99219012005325602</v>
      </c>
      <c r="F291" s="2">
        <f t="shared" si="176"/>
        <v>-4087.1845792178651</v>
      </c>
      <c r="G291" s="2">
        <f t="shared" si="177"/>
        <v>-32511.093663785039</v>
      </c>
      <c r="H291" s="2">
        <f t="shared" si="178"/>
        <v>-1021.827328499794</v>
      </c>
      <c r="I291" s="3">
        <f t="shared" si="182"/>
        <v>0.78459426524636611</v>
      </c>
      <c r="J291" s="3">
        <f t="shared" si="183"/>
        <v>0.61558816105748504</v>
      </c>
      <c r="K291" s="3">
        <f t="shared" si="184"/>
        <v>-0.76881828056827439</v>
      </c>
      <c r="L291" s="3">
        <f t="shared" si="185"/>
        <v>9.5898380094590438E-2</v>
      </c>
      <c r="M291" s="3">
        <f t="shared" si="186"/>
        <v>0.76281390209617406</v>
      </c>
      <c r="N291" s="3">
        <f t="shared" si="187"/>
        <v>5.9033907450820655E-2</v>
      </c>
      <c r="O291" s="3">
        <f t="shared" si="188"/>
        <v>0.4695792072204682</v>
      </c>
      <c r="P291" s="3">
        <f t="shared" si="189"/>
        <v>-0.87148879122128531</v>
      </c>
      <c r="Q291" s="3">
        <f t="shared" si="190"/>
        <v>0.10870496378798349</v>
      </c>
      <c r="R291" s="3">
        <f t="shared" si="191"/>
        <v>0.86468256838691404</v>
      </c>
      <c r="S291" s="3">
        <f t="shared" si="192"/>
        <v>6.6917488756065263E-2</v>
      </c>
      <c r="T291" s="3">
        <f t="shared" si="193"/>
        <v>0.53228835217176351</v>
      </c>
      <c r="U291" s="3">
        <f t="shared" si="194"/>
        <v>0.14760036585483638</v>
      </c>
      <c r="V291" s="3">
        <f t="shared" si="195"/>
        <v>-1.8410899356328086E-2</v>
      </c>
      <c r="W291" s="3">
        <f t="shared" si="196"/>
        <v>-0.14644762471741463</v>
      </c>
      <c r="X291" s="3">
        <f t="shared" si="197"/>
        <v>-1.1333531678176441E-2</v>
      </c>
      <c r="Y291" s="3">
        <f t="shared" si="198"/>
        <v>-9.0151423991029961E-2</v>
      </c>
      <c r="Z291" s="3">
        <f t="shared" si="199"/>
        <v>0.97670183860745319</v>
      </c>
      <c r="AA291" s="3">
        <f t="shared" si="200"/>
        <v>-0.12182869024476208</v>
      </c>
      <c r="AB291" s="3">
        <f t="shared" si="201"/>
        <v>-0.96907391450416491</v>
      </c>
      <c r="AC291" s="3">
        <f t="shared" si="202"/>
        <v>-7.4996299391815055E-2</v>
      </c>
      <c r="AD291" s="3">
        <f t="shared" si="203"/>
        <v>-0.59655042895839738</v>
      </c>
      <c r="AE291" s="3">
        <f t="shared" si="179"/>
        <v>0.54861590862670595</v>
      </c>
      <c r="AF291" s="3">
        <f t="shared" si="204"/>
        <v>-6.843148538629322E-2</v>
      </c>
      <c r="AG291" s="3">
        <f t="shared" si="205"/>
        <v>-0.54433128424345756</v>
      </c>
      <c r="AH291" s="3">
        <f t="shared" si="206"/>
        <v>-4.2125612247380408E-2</v>
      </c>
      <c r="AI291" s="3">
        <f t="shared" si="207"/>
        <v>-0.33508389427348922</v>
      </c>
      <c r="AJ291" s="3">
        <f t="shared" si="180"/>
        <v>-0.58563538523621483</v>
      </c>
      <c r="AK291" s="3">
        <f t="shared" si="208"/>
        <v>7.304910170542836E-2</v>
      </c>
      <c r="AL291" s="3">
        <f t="shared" si="209"/>
        <v>0.58106164318495479</v>
      </c>
      <c r="AM291" s="3">
        <f t="shared" si="210"/>
        <v>4.4968162185745841E-2</v>
      </c>
      <c r="AN291" s="3">
        <f t="shared" si="211"/>
        <v>0.35769466838926689</v>
      </c>
      <c r="AO291" s="3">
        <f t="shared" si="181"/>
        <v>-0.96607072441269015</v>
      </c>
      <c r="AP291" s="3">
        <f t="shared" si="212"/>
        <v>0.12050262054058593</v>
      </c>
      <c r="AQ291" s="3">
        <f t="shared" si="213"/>
        <v>0.958525828034963</v>
      </c>
      <c r="AR291" s="3"/>
      <c r="AS291" s="2"/>
      <c r="AT291" s="2"/>
    </row>
    <row r="292" spans="1:46">
      <c r="A292">
        <f t="shared" si="214"/>
        <v>289</v>
      </c>
      <c r="B292" s="1">
        <f t="shared" si="172"/>
        <v>35.643236999999999</v>
      </c>
      <c r="C292" s="1">
        <f t="shared" si="173"/>
        <v>223.95306301871977</v>
      </c>
      <c r="D292" s="1">
        <f t="shared" si="174"/>
        <v>-0.78331734534710329</v>
      </c>
      <c r="E292" s="1">
        <f t="shared" si="175"/>
        <v>-0.62162202058676053</v>
      </c>
      <c r="F292" s="2">
        <f t="shared" si="176"/>
        <v>-25666.959454988533</v>
      </c>
      <c r="G292" s="2">
        <f t="shared" si="177"/>
        <v>-20368.688748566383</v>
      </c>
      <c r="H292" s="2">
        <f t="shared" si="178"/>
        <v>-6416.9356930834701</v>
      </c>
      <c r="I292" s="3">
        <f t="shared" si="182"/>
        <v>0.77974926161442559</v>
      </c>
      <c r="J292" s="3">
        <f t="shared" si="183"/>
        <v>0.60800891098824195</v>
      </c>
      <c r="K292" s="3">
        <f t="shared" si="184"/>
        <v>-0.99818990895594528</v>
      </c>
      <c r="L292" s="3">
        <f t="shared" si="185"/>
        <v>0.78189946963563783</v>
      </c>
      <c r="M292" s="3">
        <f t="shared" si="186"/>
        <v>0.62049682813450924</v>
      </c>
      <c r="N292" s="3">
        <f t="shared" si="187"/>
        <v>0.47540184503544808</v>
      </c>
      <c r="O292" s="3">
        <f t="shared" si="188"/>
        <v>0.3772676007457213</v>
      </c>
      <c r="P292" s="3">
        <f t="shared" si="189"/>
        <v>-0.2955765032812584</v>
      </c>
      <c r="Q292" s="3">
        <f t="shared" si="190"/>
        <v>0.23153020189725468</v>
      </c>
      <c r="R292" s="3">
        <f t="shared" si="191"/>
        <v>0.18373686320766511</v>
      </c>
      <c r="S292" s="3">
        <f t="shared" si="192"/>
        <v>0.14077242591643763</v>
      </c>
      <c r="T292" s="3">
        <f t="shared" si="193"/>
        <v>0.11171365010728804</v>
      </c>
      <c r="U292" s="3">
        <f t="shared" si="194"/>
        <v>0.78981139713081294</v>
      </c>
      <c r="V292" s="3">
        <f t="shared" si="195"/>
        <v>-0.6186729669253952</v>
      </c>
      <c r="W292" s="3">
        <f t="shared" si="196"/>
        <v>-0.49096415656690828</v>
      </c>
      <c r="X292" s="3">
        <f t="shared" si="197"/>
        <v>-0.37615867687817411</v>
      </c>
      <c r="Y292" s="3">
        <f t="shared" si="198"/>
        <v>-0.29851058216850662</v>
      </c>
      <c r="Z292" s="3">
        <f t="shared" si="199"/>
        <v>0.85238572772776366</v>
      </c>
      <c r="AA292" s="3">
        <f t="shared" si="200"/>
        <v>-0.66768852545547064</v>
      </c>
      <c r="AB292" s="3">
        <f t="shared" si="201"/>
        <v>-0.52986173838944872</v>
      </c>
      <c r="AC292" s="3">
        <f t="shared" si="202"/>
        <v>-0.40596057324152579</v>
      </c>
      <c r="AD292" s="3">
        <f t="shared" si="203"/>
        <v>-0.32216065853250553</v>
      </c>
      <c r="AE292" s="3">
        <f t="shared" si="179"/>
        <v>-0.1888878884177834</v>
      </c>
      <c r="AF292" s="3">
        <f t="shared" si="204"/>
        <v>0.14795915932363796</v>
      </c>
      <c r="AG292" s="3">
        <f t="shared" si="205"/>
        <v>0.11741687086262907</v>
      </c>
      <c r="AH292" s="3">
        <f t="shared" si="206"/>
        <v>8.9960487331100902E-2</v>
      </c>
      <c r="AI292" s="3">
        <f t="shared" si="207"/>
        <v>7.139050378483415E-2</v>
      </c>
      <c r="AJ292" s="3">
        <f t="shared" si="180"/>
        <v>-0.98554982112946488</v>
      </c>
      <c r="AK292" s="3">
        <f t="shared" si="208"/>
        <v>0.77199826959444495</v>
      </c>
      <c r="AL292" s="3">
        <f t="shared" si="209"/>
        <v>0.61263947119941842</v>
      </c>
      <c r="AM292" s="3">
        <f t="shared" si="210"/>
        <v>0.46938182718092569</v>
      </c>
      <c r="AN292" s="3">
        <f t="shared" si="211"/>
        <v>0.37249025771237076</v>
      </c>
      <c r="AO292" s="3">
        <f t="shared" si="181"/>
        <v>-0.50591498926922995</v>
      </c>
      <c r="AP292" s="3">
        <f t="shared" si="212"/>
        <v>0.39629198636568147</v>
      </c>
      <c r="AQ292" s="3">
        <f t="shared" si="213"/>
        <v>0.31448789787466797</v>
      </c>
      <c r="AR292" s="3"/>
      <c r="AS292" s="2"/>
      <c r="AT292" s="2"/>
    </row>
    <row r="293" spans="1:46">
      <c r="A293">
        <f t="shared" si="214"/>
        <v>290</v>
      </c>
      <c r="B293" s="1">
        <f t="shared" si="172"/>
        <v>35.766570000000002</v>
      </c>
      <c r="C293" s="1">
        <f t="shared" si="173"/>
        <v>224.72798711221017</v>
      </c>
      <c r="D293" s="1">
        <f t="shared" si="174"/>
        <v>-0.99458519985432681</v>
      </c>
      <c r="E293" s="1">
        <f t="shared" si="175"/>
        <v>0.10392439670610983</v>
      </c>
      <c r="F293" s="2">
        <f t="shared" si="176"/>
        <v>-32589.573243626728</v>
      </c>
      <c r="G293" s="2">
        <f t="shared" si="177"/>
        <v>3405.2907068691006</v>
      </c>
      <c r="H293" s="2">
        <f t="shared" si="178"/>
        <v>-8147.6419572066452</v>
      </c>
      <c r="I293" s="3">
        <f t="shared" si="182"/>
        <v>0.77485710710288991</v>
      </c>
      <c r="J293" s="3">
        <f t="shared" si="183"/>
        <v>0.60040353642785937</v>
      </c>
      <c r="K293" s="3">
        <f t="shared" si="184"/>
        <v>-0.68647997510678926</v>
      </c>
      <c r="L293" s="3">
        <f t="shared" si="185"/>
        <v>0.68276282323757931</v>
      </c>
      <c r="M293" s="3">
        <f t="shared" si="186"/>
        <v>-7.1342017263798366E-2</v>
      </c>
      <c r="N293" s="3">
        <f t="shared" si="187"/>
        <v>0.40993321361331203</v>
      </c>
      <c r="O293" s="3">
        <f t="shared" si="188"/>
        <v>-4.2833999461081934E-2</v>
      </c>
      <c r="P293" s="3">
        <f t="shared" si="189"/>
        <v>0.44225565747137113</v>
      </c>
      <c r="Q293" s="3">
        <f t="shared" si="190"/>
        <v>-0.43986093147287036</v>
      </c>
      <c r="R293" s="3">
        <f t="shared" si="191"/>
        <v>4.5961152392576199E-2</v>
      </c>
      <c r="S293" s="3">
        <f t="shared" si="192"/>
        <v>-0.26409405879276371</v>
      </c>
      <c r="T293" s="3">
        <f t="shared" si="193"/>
        <v>2.7595238434802521E-2</v>
      </c>
      <c r="U293" s="3">
        <f t="shared" si="194"/>
        <v>0.99479589503569277</v>
      </c>
      <c r="V293" s="3">
        <f t="shared" si="195"/>
        <v>-0.98940927407833845</v>
      </c>
      <c r="W293" s="3">
        <f t="shared" si="196"/>
        <v>0.10338356323729893</v>
      </c>
      <c r="X293" s="3">
        <f t="shared" si="197"/>
        <v>-0.59404482713115558</v>
      </c>
      <c r="Y293" s="3">
        <f t="shared" si="198"/>
        <v>6.2071856976187514E-2</v>
      </c>
      <c r="Z293" s="3">
        <f t="shared" si="199"/>
        <v>0.25126042612844235</v>
      </c>
      <c r="AA293" s="3">
        <f t="shared" si="200"/>
        <v>-0.24989990113644014</v>
      </c>
      <c r="AB293" s="3">
        <f t="shared" si="201"/>
        <v>2.6112088201518446E-2</v>
      </c>
      <c r="AC293" s="3">
        <f t="shared" si="202"/>
        <v>-0.15004078439529109</v>
      </c>
      <c r="AD293" s="3">
        <f t="shared" si="203"/>
        <v>1.5677790099707857E-2</v>
      </c>
      <c r="AE293" s="3">
        <f t="shared" si="179"/>
        <v>-0.81963117274258568</v>
      </c>
      <c r="AF293" s="3">
        <f t="shared" si="204"/>
        <v>0.81519303374902086</v>
      </c>
      <c r="AG293" s="3">
        <f t="shared" si="205"/>
        <v>-8.5179675148794501E-2</v>
      </c>
      <c r="AH293" s="3">
        <f t="shared" si="206"/>
        <v>0.48944478033426742</v>
      </c>
      <c r="AI293" s="3">
        <f t="shared" si="207"/>
        <v>-5.114217819111247E-2</v>
      </c>
      <c r="AJ293" s="3">
        <f t="shared" si="180"/>
        <v>-0.82266145799180379</v>
      </c>
      <c r="AK293" s="3">
        <f t="shared" si="208"/>
        <v>0.81820691060923001</v>
      </c>
      <c r="AL293" s="3">
        <f t="shared" si="209"/>
        <v>-8.5494595715166918E-2</v>
      </c>
      <c r="AM293" s="3">
        <f t="shared" si="210"/>
        <v>0.49125432265949515</v>
      </c>
      <c r="AN293" s="3">
        <f t="shared" si="211"/>
        <v>-5.1331257612856333E-2</v>
      </c>
      <c r="AO293" s="3">
        <f t="shared" si="181"/>
        <v>0.24611759541270115</v>
      </c>
      <c r="AP293" s="3">
        <f t="shared" si="212"/>
        <v>-0.2447849178212077</v>
      </c>
      <c r="AQ293" s="3">
        <f t="shared" si="213"/>
        <v>2.5577622622023389E-2</v>
      </c>
      <c r="AR293" s="3"/>
      <c r="AS293" s="2"/>
      <c r="AT293" s="2"/>
    </row>
    <row r="294" spans="1:46">
      <c r="A294">
        <f t="shared" si="214"/>
        <v>291</v>
      </c>
      <c r="B294" s="1">
        <f t="shared" si="172"/>
        <v>35.889902999999997</v>
      </c>
      <c r="C294" s="1">
        <f t="shared" si="173"/>
        <v>225.50291120570054</v>
      </c>
      <c r="D294" s="1">
        <f t="shared" si="174"/>
        <v>-0.63789347524943263</v>
      </c>
      <c r="E294" s="1">
        <f t="shared" si="175"/>
        <v>0.77012460954978024</v>
      </c>
      <c r="F294" s="2">
        <f t="shared" si="176"/>
        <v>-20901.855503498158</v>
      </c>
      <c r="G294" s="2">
        <f t="shared" si="177"/>
        <v>25234.673081117649</v>
      </c>
      <c r="H294" s="2">
        <f t="shared" si="178"/>
        <v>-5225.6233492433521</v>
      </c>
      <c r="I294" s="3">
        <f t="shared" si="182"/>
        <v>0.76991809753683982</v>
      </c>
      <c r="J294" s="3">
        <f t="shared" si="183"/>
        <v>0.59277387691474681</v>
      </c>
      <c r="K294" s="3">
        <f t="shared" si="184"/>
        <v>-2.6548214557771017E-3</v>
      </c>
      <c r="L294" s="3">
        <f t="shared" si="185"/>
        <v>1.6934932845924133E-3</v>
      </c>
      <c r="M294" s="3">
        <f t="shared" si="186"/>
        <v>-2.0445433370547194E-3</v>
      </c>
      <c r="N294" s="3">
        <f t="shared" si="187"/>
        <v>1.0038585798369335E-3</v>
      </c>
      <c r="O294" s="3">
        <f t="shared" si="188"/>
        <v>-1.2119518804261402E-3</v>
      </c>
      <c r="P294" s="3">
        <f t="shared" si="189"/>
        <v>0.9378155840867678</v>
      </c>
      <c r="Q294" s="3">
        <f t="shared" si="190"/>
        <v>-0.59822644207618481</v>
      </c>
      <c r="R294" s="3">
        <f t="shared" si="191"/>
        <v>0.72223486052452113</v>
      </c>
      <c r="S294" s="3">
        <f t="shared" si="192"/>
        <v>-0.35461300734241524</v>
      </c>
      <c r="T294" s="3">
        <f t="shared" si="193"/>
        <v>0.42812195831610178</v>
      </c>
      <c r="U294" s="3">
        <f t="shared" si="194"/>
        <v>0.64907783005236641</v>
      </c>
      <c r="V294" s="3">
        <f t="shared" si="195"/>
        <v>-0.41404251271946463</v>
      </c>
      <c r="W294" s="3">
        <f t="shared" si="196"/>
        <v>0.49987081043649728</v>
      </c>
      <c r="X294" s="3">
        <f t="shared" si="197"/>
        <v>-0.24543358547224042</v>
      </c>
      <c r="Y294" s="3">
        <f t="shared" si="198"/>
        <v>0.29631035825895896</v>
      </c>
      <c r="Z294" s="3">
        <f t="shared" si="199"/>
        <v>-0.49041542265274801</v>
      </c>
      <c r="AA294" s="3">
        <f t="shared" si="200"/>
        <v>0.31283279827188076</v>
      </c>
      <c r="AB294" s="3">
        <f t="shared" si="201"/>
        <v>-0.37768098588763799</v>
      </c>
      <c r="AC294" s="3">
        <f t="shared" si="202"/>
        <v>0.18543911065771165</v>
      </c>
      <c r="AD294" s="3">
        <f t="shared" si="203"/>
        <v>-0.22387942224159896</v>
      </c>
      <c r="AE294" s="3">
        <f t="shared" si="179"/>
        <v>-0.98711423971817902</v>
      </c>
      <c r="AF294" s="3">
        <f t="shared" si="204"/>
        <v>0.62967373284203076</v>
      </c>
      <c r="AG294" s="3">
        <f t="shared" si="205"/>
        <v>-0.76020096844399077</v>
      </c>
      <c r="AH294" s="3">
        <f t="shared" si="206"/>
        <v>0.37325413980815109</v>
      </c>
      <c r="AI294" s="3">
        <f t="shared" si="207"/>
        <v>-0.45062727529888952</v>
      </c>
      <c r="AJ294" s="3">
        <f t="shared" si="180"/>
        <v>-0.18998845151459928</v>
      </c>
      <c r="AK294" s="3">
        <f t="shared" si="208"/>
        <v>0.12119239359390607</v>
      </c>
      <c r="AL294" s="3">
        <f t="shared" si="209"/>
        <v>-0.14631478204164813</v>
      </c>
      <c r="AM294" s="3">
        <f t="shared" si="210"/>
        <v>7.1839685003237633E-2</v>
      </c>
      <c r="AN294" s="3">
        <f t="shared" si="211"/>
        <v>-8.6731580600763941E-2</v>
      </c>
      <c r="AO294" s="3">
        <f t="shared" si="181"/>
        <v>0.85615788911940194</v>
      </c>
      <c r="AP294" s="3">
        <f t="shared" si="212"/>
        <v>-0.54613753125259368</v>
      </c>
      <c r="AQ294" s="3">
        <f t="shared" si="213"/>
        <v>0.65934826007104341</v>
      </c>
      <c r="AR294" s="3"/>
      <c r="AS294" s="2"/>
      <c r="AT294" s="2"/>
    </row>
    <row r="295" spans="1:46">
      <c r="A295">
        <f t="shared" si="214"/>
        <v>292</v>
      </c>
      <c r="B295" s="1">
        <f t="shared" si="172"/>
        <v>36.013235999999999</v>
      </c>
      <c r="C295" s="1">
        <f t="shared" si="173"/>
        <v>226.27783529919094</v>
      </c>
      <c r="D295" s="1">
        <f t="shared" si="174"/>
        <v>8.3068409191054376E-2</v>
      </c>
      <c r="E295" s="1">
        <f t="shared" si="175"/>
        <v>0.9965438472011493</v>
      </c>
      <c r="F295" s="2">
        <f t="shared" si="176"/>
        <v>2721.9025639632787</v>
      </c>
      <c r="G295" s="2">
        <f t="shared" si="177"/>
        <v>32653.752241240058</v>
      </c>
      <c r="H295" s="2">
        <f t="shared" si="178"/>
        <v>680.49640809311745</v>
      </c>
      <c r="I295" s="3">
        <f t="shared" si="182"/>
        <v>0.76493253157464769</v>
      </c>
      <c r="J295" s="3">
        <f t="shared" si="183"/>
        <v>0.58512177786119934</v>
      </c>
      <c r="K295" s="3">
        <f t="shared" si="184"/>
        <v>0.68260941200141434</v>
      </c>
      <c r="L295" s="3">
        <f t="shared" si="185"/>
        <v>5.6703277953798509E-2</v>
      </c>
      <c r="M295" s="3">
        <f t="shared" si="186"/>
        <v>0.68025020957160387</v>
      </c>
      <c r="N295" s="3">
        <f t="shared" si="187"/>
        <v>3.3178322806884333E-2</v>
      </c>
      <c r="O295" s="3">
        <f t="shared" si="188"/>
        <v>0.39802921201499031</v>
      </c>
      <c r="P295" s="3">
        <f t="shared" si="189"/>
        <v>0.91963041117191469</v>
      </c>
      <c r="Q295" s="3">
        <f t="shared" si="190"/>
        <v>7.6392235299766187E-2</v>
      </c>
      <c r="R295" s="3">
        <f t="shared" si="191"/>
        <v>0.91645202795243463</v>
      </c>
      <c r="S295" s="3">
        <f t="shared" si="192"/>
        <v>4.4698760533390267E-2</v>
      </c>
      <c r="T295" s="3">
        <f t="shared" si="193"/>
        <v>0.53623603992003011</v>
      </c>
      <c r="U295" s="3">
        <f t="shared" si="194"/>
        <v>-5.5958991982051884E-2</v>
      </c>
      <c r="V295" s="3">
        <f t="shared" si="195"/>
        <v>-4.6484244438840172E-3</v>
      </c>
      <c r="W295" s="3">
        <f t="shared" si="196"/>
        <v>-5.5765589155292249E-2</v>
      </c>
      <c r="X295" s="3">
        <f t="shared" si="197"/>
        <v>-2.7198943748588727E-3</v>
      </c>
      <c r="Y295" s="3">
        <f t="shared" si="198"/>
        <v>-3.2629660670021821E-2</v>
      </c>
      <c r="Z295" s="3">
        <f t="shared" si="199"/>
        <v>-0.9577617358904339</v>
      </c>
      <c r="AA295" s="3">
        <f t="shared" si="200"/>
        <v>-7.9559743784481107E-2</v>
      </c>
      <c r="AB295" s="3">
        <f t="shared" si="201"/>
        <v>-0.95445156498630412</v>
      </c>
      <c r="AC295" s="3">
        <f t="shared" si="202"/>
        <v>-4.6552138729357095E-2</v>
      </c>
      <c r="AD295" s="3">
        <f t="shared" si="203"/>
        <v>-0.55847039658719022</v>
      </c>
      <c r="AE295" s="3">
        <f t="shared" si="179"/>
        <v>-0.59667470388428745</v>
      </c>
      <c r="AF295" s="3">
        <f t="shared" si="204"/>
        <v>-4.956481845621119E-2</v>
      </c>
      <c r="AG295" s="3">
        <f t="shared" si="205"/>
        <v>-0.59461250493645434</v>
      </c>
      <c r="AH295" s="3">
        <f t="shared" si="206"/>
        <v>-2.9001454694465877E-2</v>
      </c>
      <c r="AI295" s="3">
        <f t="shared" si="207"/>
        <v>-0.34792072602691931</v>
      </c>
      <c r="AJ295" s="3">
        <f t="shared" si="180"/>
        <v>0.55117834188598258</v>
      </c>
      <c r="AK295" s="3">
        <f t="shared" si="208"/>
        <v>4.5785508041031667E-2</v>
      </c>
      <c r="AL295" s="3">
        <f t="shared" si="209"/>
        <v>0.54927338531700742</v>
      </c>
      <c r="AM295" s="3">
        <f t="shared" si="210"/>
        <v>2.6790097865246689E-2</v>
      </c>
      <c r="AN295" s="3">
        <f t="shared" si="211"/>
        <v>0.32139181974852704</v>
      </c>
      <c r="AO295" s="3">
        <f t="shared" si="181"/>
        <v>0.97225617145259757</v>
      </c>
      <c r="AP295" s="3">
        <f t="shared" si="212"/>
        <v>8.07637734887523E-2</v>
      </c>
      <c r="AQ295" s="3">
        <f t="shared" si="213"/>
        <v>0.96889590556443184</v>
      </c>
      <c r="AR295" s="3"/>
      <c r="AS295" s="2"/>
      <c r="AT295" s="2"/>
    </row>
    <row r="296" spans="1:46">
      <c r="A296">
        <f t="shared" si="214"/>
        <v>293</v>
      </c>
      <c r="B296" s="1">
        <f t="shared" si="172"/>
        <v>36.136569000000001</v>
      </c>
      <c r="C296" s="1">
        <f t="shared" si="173"/>
        <v>227.05275939268131</v>
      </c>
      <c r="D296" s="1">
        <f t="shared" si="174"/>
        <v>0.75659393651643958</v>
      </c>
      <c r="E296" s="1">
        <f t="shared" si="175"/>
        <v>0.65388501682372091</v>
      </c>
      <c r="F296" s="2">
        <f t="shared" si="176"/>
        <v>24791.313517834176</v>
      </c>
      <c r="G296" s="2">
        <f t="shared" si="177"/>
        <v>21425.850346262861</v>
      </c>
      <c r="H296" s="2">
        <f t="shared" si="178"/>
        <v>6198.017527942673</v>
      </c>
      <c r="I296" s="3">
        <f t="shared" si="182"/>
        <v>0.75990071068991794</v>
      </c>
      <c r="J296" s="3">
        <f t="shared" si="183"/>
        <v>0.57744909010704237</v>
      </c>
      <c r="K296" s="3">
        <f t="shared" si="184"/>
        <v>0.99785651371901007</v>
      </c>
      <c r="L296" s="3">
        <f t="shared" si="185"/>
        <v>0.75497218779323638</v>
      </c>
      <c r="M296" s="3">
        <f t="shared" si="186"/>
        <v>0.65248342326081443</v>
      </c>
      <c r="N296" s="3">
        <f t="shared" si="187"/>
        <v>0.43595800289732756</v>
      </c>
      <c r="O296" s="3">
        <f t="shared" si="188"/>
        <v>0.37677595907188549</v>
      </c>
      <c r="P296" s="3">
        <f t="shared" si="189"/>
        <v>0.39766216497978213</v>
      </c>
      <c r="Q296" s="3">
        <f t="shared" si="190"/>
        <v>0.30086878280570323</v>
      </c>
      <c r="R296" s="3">
        <f t="shared" si="191"/>
        <v>0.26002533143796214</v>
      </c>
      <c r="S296" s="3">
        <f t="shared" si="192"/>
        <v>0.17373640487276668</v>
      </c>
      <c r="T296" s="3">
        <f t="shared" si="193"/>
        <v>0.15015139104363334</v>
      </c>
      <c r="U296" s="3">
        <f t="shared" si="194"/>
        <v>-0.73001784109263657</v>
      </c>
      <c r="V296" s="3">
        <f t="shared" si="195"/>
        <v>-0.5523270721195106</v>
      </c>
      <c r="W296" s="3">
        <f t="shared" si="196"/>
        <v>-0.47734772830447508</v>
      </c>
      <c r="X296" s="3">
        <f t="shared" si="197"/>
        <v>-0.31894076523689813</v>
      </c>
      <c r="Y296" s="3">
        <f t="shared" si="198"/>
        <v>-0.27564401137408284</v>
      </c>
      <c r="Z296" s="3">
        <f t="shared" si="199"/>
        <v>-0.88935342145563012</v>
      </c>
      <c r="AA296" s="3">
        <f t="shared" si="200"/>
        <v>-0.6728794060934794</v>
      </c>
      <c r="AB296" s="3">
        <f t="shared" si="201"/>
        <v>-0.58153487695074846</v>
      </c>
      <c r="AC296" s="3">
        <f t="shared" si="202"/>
        <v>-0.38855360080044671</v>
      </c>
      <c r="AD296" s="3">
        <f t="shared" si="203"/>
        <v>-0.33580678556072052</v>
      </c>
      <c r="AE296" s="3">
        <f t="shared" si="179"/>
        <v>0.13100878044816136</v>
      </c>
      <c r="AF296" s="3">
        <f t="shared" si="204"/>
        <v>9.9120448917492374E-2</v>
      </c>
      <c r="AG296" s="3">
        <f t="shared" si="205"/>
        <v>8.5664678607401151E-2</v>
      </c>
      <c r="AH296" s="3">
        <f t="shared" si="206"/>
        <v>5.7237013038407544E-2</v>
      </c>
      <c r="AI296" s="3">
        <f t="shared" si="207"/>
        <v>4.9466990716156012E-2</v>
      </c>
      <c r="AJ296" s="3">
        <f t="shared" si="180"/>
        <v>0.97759218528024494</v>
      </c>
      <c r="AK296" s="3">
        <f t="shared" si="208"/>
        <v>0.73964031976888911</v>
      </c>
      <c r="AL296" s="3">
        <f t="shared" si="209"/>
        <v>0.63923288251871102</v>
      </c>
      <c r="AM296" s="3">
        <f t="shared" si="210"/>
        <v>0.42710462965702684</v>
      </c>
      <c r="AN296" s="3">
        <f t="shared" si="211"/>
        <v>0.36912444637693159</v>
      </c>
      <c r="AO296" s="3">
        <f t="shared" si="181"/>
        <v>0.5274320176314683</v>
      </c>
      <c r="AP296" s="3">
        <f t="shared" si="212"/>
        <v>0.39905186646460078</v>
      </c>
      <c r="AQ296" s="3">
        <f t="shared" si="213"/>
        <v>0.3448798937223217</v>
      </c>
      <c r="AR296" s="3"/>
      <c r="AS296" s="2"/>
      <c r="AT296" s="2"/>
    </row>
    <row r="297" spans="1:46">
      <c r="A297">
        <f t="shared" si="214"/>
        <v>294</v>
      </c>
      <c r="B297" s="1">
        <f t="shared" si="172"/>
        <v>36.259901999999997</v>
      </c>
      <c r="C297" s="1">
        <f t="shared" si="173"/>
        <v>227.82768348617168</v>
      </c>
      <c r="D297" s="1">
        <f t="shared" si="174"/>
        <v>0.99806520262259224</v>
      </c>
      <c r="E297" s="1">
        <f t="shared" si="175"/>
        <v>-6.2175970550718475E-2</v>
      </c>
      <c r="F297" s="2">
        <f t="shared" si="176"/>
        <v>32703.602494334478</v>
      </c>
      <c r="G297" s="2">
        <f t="shared" si="177"/>
        <v>-2037.3200270353923</v>
      </c>
      <c r="H297" s="2">
        <f t="shared" si="178"/>
        <v>8176.1501398842756</v>
      </c>
      <c r="I297" s="3">
        <f t="shared" si="182"/>
        <v>0.75482293915325704</v>
      </c>
      <c r="J297" s="3">
        <f t="shared" si="183"/>
        <v>0.5697576694719616</v>
      </c>
      <c r="K297" s="3">
        <f t="shared" si="184"/>
        <v>0.77220277433711615</v>
      </c>
      <c r="L297" s="3">
        <f t="shared" si="185"/>
        <v>0.77070871843450173</v>
      </c>
      <c r="M297" s="3">
        <f t="shared" si="186"/>
        <v>-4.801245695636764E-2</v>
      </c>
      <c r="N297" s="3">
        <f t="shared" si="187"/>
        <v>0.43911720325696396</v>
      </c>
      <c r="O297" s="3">
        <f t="shared" si="188"/>
        <v>-2.7355465581082896E-2</v>
      </c>
      <c r="P297" s="3">
        <f t="shared" si="189"/>
        <v>-0.34214953785085894</v>
      </c>
      <c r="Q297" s="3">
        <f t="shared" si="190"/>
        <v>-0.34148754782234381</v>
      </c>
      <c r="R297" s="3">
        <f t="shared" si="191"/>
        <v>2.1273479589356943E-2</v>
      </c>
      <c r="S297" s="3">
        <f t="shared" si="192"/>
        <v>-0.19456514940095365</v>
      </c>
      <c r="T297" s="3">
        <f t="shared" si="193"/>
        <v>1.2120728152391354E-2</v>
      </c>
      <c r="U297" s="3">
        <f t="shared" si="194"/>
        <v>-0.99995088102966623</v>
      </c>
      <c r="V297" s="3">
        <f t="shared" si="195"/>
        <v>-0.99801617868751347</v>
      </c>
      <c r="W297" s="3">
        <f t="shared" si="196"/>
        <v>6.217291653106552E-2</v>
      </c>
      <c r="X297" s="3">
        <f t="shared" si="197"/>
        <v>-0.56862737206431047</v>
      </c>
      <c r="Y297" s="3">
        <f t="shared" si="198"/>
        <v>3.5423496027014688E-2</v>
      </c>
      <c r="Z297" s="3">
        <f t="shared" si="199"/>
        <v>-0.32345685568843019</v>
      </c>
      <c r="AA297" s="3">
        <f t="shared" si="200"/>
        <v>-0.32283103221233966</v>
      </c>
      <c r="AB297" s="3">
        <f t="shared" si="201"/>
        <v>2.0111243933711831E-2</v>
      </c>
      <c r="AC297" s="3">
        <f t="shared" si="202"/>
        <v>-0.1839354565465304</v>
      </c>
      <c r="AD297" s="3">
        <f t="shared" si="203"/>
        <v>1.1458535473853778E-2</v>
      </c>
      <c r="AE297" s="3">
        <f t="shared" si="179"/>
        <v>0.78464535426354109</v>
      </c>
      <c r="AF297" s="3">
        <f t="shared" si="204"/>
        <v>0.78312722448991678</v>
      </c>
      <c r="AG297" s="3">
        <f t="shared" si="205"/>
        <v>-4.8786086439447998E-2</v>
      </c>
      <c r="AH297" s="3">
        <f t="shared" si="206"/>
        <v>0.44619274232542072</v>
      </c>
      <c r="AI297" s="3">
        <f t="shared" si="207"/>
        <v>-2.779624691239756E-2</v>
      </c>
      <c r="AJ297" s="3">
        <f t="shared" si="180"/>
        <v>0.84574747452457688</v>
      </c>
      <c r="AK297" s="3">
        <f t="shared" si="208"/>
        <v>0.84411112452891746</v>
      </c>
      <c r="AL297" s="3">
        <f t="shared" si="209"/>
        <v>-5.2585170069384617E-2</v>
      </c>
      <c r="AM297" s="3">
        <f t="shared" si="210"/>
        <v>0.48093878708695276</v>
      </c>
      <c r="AN297" s="3">
        <f t="shared" si="211"/>
        <v>-2.9960803947519328E-2</v>
      </c>
      <c r="AO297" s="3">
        <f t="shared" si="181"/>
        <v>-0.22168277575808798</v>
      </c>
      <c r="AP297" s="3">
        <f t="shared" si="212"/>
        <v>-0.22125386450493476</v>
      </c>
      <c r="AQ297" s="3">
        <f t="shared" si="213"/>
        <v>1.3783341737136405E-2</v>
      </c>
      <c r="AR297" s="3"/>
      <c r="AS297" s="2"/>
      <c r="AT297" s="2"/>
    </row>
    <row r="298" spans="1:46">
      <c r="A298">
        <f t="shared" si="214"/>
        <v>295</v>
      </c>
      <c r="B298" s="1">
        <f t="shared" si="172"/>
        <v>36.383234999999999</v>
      </c>
      <c r="C298" s="1">
        <f t="shared" si="173"/>
        <v>228.60260757966208</v>
      </c>
      <c r="D298" s="1">
        <f t="shared" si="174"/>
        <v>0.66958962808502009</v>
      </c>
      <c r="E298" s="1">
        <f t="shared" si="175"/>
        <v>-0.74273126362161734</v>
      </c>
      <c r="F298" s="2">
        <f t="shared" si="176"/>
        <v>21940.443343461855</v>
      </c>
      <c r="G298" s="2">
        <f t="shared" si="177"/>
        <v>-24337.075315089536</v>
      </c>
      <c r="H298" s="2">
        <f t="shared" si="178"/>
        <v>5485.2782332724846</v>
      </c>
      <c r="I298" s="3">
        <f t="shared" si="182"/>
        <v>0.7496995240138743</v>
      </c>
      <c r="J298" s="3">
        <f t="shared" si="183"/>
        <v>0.56204937630662966</v>
      </c>
      <c r="K298" s="3">
        <f t="shared" si="184"/>
        <v>0.12796667928007474</v>
      </c>
      <c r="L298" s="3">
        <f t="shared" si="185"/>
        <v>8.5685161186420292E-2</v>
      </c>
      <c r="M298" s="3">
        <f t="shared" si="186"/>
        <v>-9.5044853403152149E-2</v>
      </c>
      <c r="N298" s="3">
        <f t="shared" si="187"/>
        <v>4.815929140356056E-2</v>
      </c>
      <c r="O298" s="3">
        <f t="shared" si="188"/>
        <v>-5.3419900576396714E-2</v>
      </c>
      <c r="P298" s="3">
        <f t="shared" si="189"/>
        <v>-0.89452817669743312</v>
      </c>
      <c r="Q298" s="3">
        <f t="shared" si="190"/>
        <v>-0.59896678914640533</v>
      </c>
      <c r="R298" s="3">
        <f t="shared" si="191"/>
        <v>0.66439404302362592</v>
      </c>
      <c r="S298" s="3">
        <f t="shared" si="192"/>
        <v>-0.33664891026812171</v>
      </c>
      <c r="T298" s="3">
        <f t="shared" si="193"/>
        <v>0.37342225750326902</v>
      </c>
      <c r="U298" s="3">
        <f t="shared" si="194"/>
        <v>-0.71632764304737606</v>
      </c>
      <c r="V298" s="3">
        <f t="shared" si="195"/>
        <v>-0.47964556009511156</v>
      </c>
      <c r="W298" s="3">
        <f t="shared" si="196"/>
        <v>0.53203893548767245</v>
      </c>
      <c r="X298" s="3">
        <f t="shared" si="197"/>
        <v>-0.26958448789970152</v>
      </c>
      <c r="Y298" s="3">
        <f t="shared" si="198"/>
        <v>0.29903215186168947</v>
      </c>
      <c r="Z298" s="3">
        <f t="shared" si="199"/>
        <v>0.42337563682716728</v>
      </c>
      <c r="AA298" s="3">
        <f t="shared" si="200"/>
        <v>0.28348793520336146</v>
      </c>
      <c r="AB298" s="3">
        <f t="shared" si="201"/>
        <v>-0.31445432172724891</v>
      </c>
      <c r="AC298" s="3">
        <f t="shared" si="202"/>
        <v>0.15933421717150356</v>
      </c>
      <c r="AD298" s="3">
        <f t="shared" si="203"/>
        <v>-0.1767388554037245</v>
      </c>
      <c r="AE298" s="3">
        <f t="shared" si="179"/>
        <v>0.99479589503569199</v>
      </c>
      <c r="AF298" s="3">
        <f t="shared" si="204"/>
        <v>0.66610501337745365</v>
      </c>
      <c r="AG298" s="3">
        <f t="shared" si="205"/>
        <v>-0.73886601216545733</v>
      </c>
      <c r="AH298" s="3">
        <f t="shared" si="206"/>
        <v>0.37438390732351706</v>
      </c>
      <c r="AI298" s="3">
        <f t="shared" si="207"/>
        <v>-0.41527918131176195</v>
      </c>
      <c r="AJ298" s="3">
        <f t="shared" si="180"/>
        <v>0.23093474355224838</v>
      </c>
      <c r="AK298" s="3">
        <f t="shared" si="208"/>
        <v>0.1546315090470595</v>
      </c>
      <c r="AL298" s="3">
        <f t="shared" si="209"/>
        <v>-0.1715224538926956</v>
      </c>
      <c r="AM298" s="3">
        <f t="shared" si="210"/>
        <v>8.6910543217252736E-2</v>
      </c>
      <c r="AN298" s="3">
        <f t="shared" si="211"/>
        <v>-9.6404088232972196E-2</v>
      </c>
      <c r="AO298" s="3">
        <f t="shared" si="181"/>
        <v>-0.84290242558076123</v>
      </c>
      <c r="AP298" s="3">
        <f t="shared" si="212"/>
        <v>-0.56439872165658322</v>
      </c>
      <c r="AQ298" s="3">
        <f t="shared" si="213"/>
        <v>0.62604998366132503</v>
      </c>
      <c r="AR298" s="3"/>
      <c r="AS298" s="2"/>
      <c r="AT298" s="2"/>
    </row>
    <row r="299" spans="1:46">
      <c r="A299">
        <f t="shared" si="214"/>
        <v>296</v>
      </c>
      <c r="B299" s="1">
        <f t="shared" si="172"/>
        <v>36.506568000000001</v>
      </c>
      <c r="C299" s="1">
        <f t="shared" si="173"/>
        <v>229.37753167315248</v>
      </c>
      <c r="D299" s="1">
        <f t="shared" si="174"/>
        <v>-4.1256248565154564E-2</v>
      </c>
      <c r="E299" s="1">
        <f t="shared" si="175"/>
        <v>-0.99914859853493776</v>
      </c>
      <c r="F299" s="2">
        <f t="shared" si="176"/>
        <v>-1351.8434967344197</v>
      </c>
      <c r="G299" s="2">
        <f t="shared" si="177"/>
        <v>-32739.102128194307</v>
      </c>
      <c r="H299" s="2">
        <f t="shared" si="178"/>
        <v>-337.97118824574619</v>
      </c>
      <c r="I299" s="3">
        <f t="shared" si="182"/>
        <v>0.74453077508101517</v>
      </c>
      <c r="J299" s="3">
        <f t="shared" si="183"/>
        <v>0.55432607504273723</v>
      </c>
      <c r="K299" s="3">
        <f t="shared" si="184"/>
        <v>-0.58563538523621483</v>
      </c>
      <c r="L299" s="3">
        <f t="shared" si="185"/>
        <v>2.4161119021855328E-2</v>
      </c>
      <c r="M299" s="3">
        <f t="shared" si="186"/>
        <v>0.58513677441123246</v>
      </c>
      <c r="N299" s="3">
        <f t="shared" si="187"/>
        <v>1.3393138276025484E-2</v>
      </c>
      <c r="O299" s="3">
        <f t="shared" si="188"/>
        <v>0.32435657152254604</v>
      </c>
      <c r="P299" s="3">
        <f t="shared" si="189"/>
        <v>-0.95687500655296109</v>
      </c>
      <c r="Q299" s="3">
        <f t="shared" si="190"/>
        <v>3.9477073116132869E-2</v>
      </c>
      <c r="R299" s="3">
        <f t="shared" si="191"/>
        <v>0.95606032177050049</v>
      </c>
      <c r="S299" s="3">
        <f t="shared" si="192"/>
        <v>2.1883170994641092E-2</v>
      </c>
      <c r="T299" s="3">
        <f t="shared" si="193"/>
        <v>0.52996916567113794</v>
      </c>
      <c r="U299" s="3">
        <f t="shared" si="194"/>
        <v>-3.6157263221779409E-2</v>
      </c>
      <c r="V299" s="3">
        <f t="shared" si="195"/>
        <v>1.4917130389134527E-3</v>
      </c>
      <c r="W299" s="3">
        <f t="shared" si="196"/>
        <v>3.6126478874899746E-2</v>
      </c>
      <c r="X299" s="3">
        <f t="shared" si="197"/>
        <v>8.2689543395096817E-4</v>
      </c>
      <c r="Y299" s="3">
        <f t="shared" si="198"/>
        <v>2.0025849239837537E-2</v>
      </c>
      <c r="Z299" s="3">
        <f t="shared" si="199"/>
        <v>0.93337943993695738</v>
      </c>
      <c r="AA299" s="3">
        <f t="shared" si="200"/>
        <v>-3.8507734179643871E-2</v>
      </c>
      <c r="AB299" s="3">
        <f t="shared" si="201"/>
        <v>-0.93258475931433604</v>
      </c>
      <c r="AC299" s="3">
        <f t="shared" si="202"/>
        <v>-2.1345841146591046E-2</v>
      </c>
      <c r="AD299" s="3">
        <f t="shared" si="203"/>
        <v>-0.51695604927539174</v>
      </c>
      <c r="AE299" s="3">
        <f t="shared" si="179"/>
        <v>0.64268211756542915</v>
      </c>
      <c r="AF299" s="3">
        <f t="shared" si="204"/>
        <v>-2.6514653190659234E-2</v>
      </c>
      <c r="AG299" s="3">
        <f t="shared" si="205"/>
        <v>-0.64213493706896463</v>
      </c>
      <c r="AH299" s="3">
        <f t="shared" si="206"/>
        <v>-1.4697763634297522E-2</v>
      </c>
      <c r="AI299" s="3">
        <f t="shared" si="207"/>
        <v>-0.35595213931325426</v>
      </c>
      <c r="AJ299" s="3">
        <f t="shared" si="180"/>
        <v>-0.51575434443239909</v>
      </c>
      <c r="AK299" s="3">
        <f t="shared" si="208"/>
        <v>2.1278089432461397E-2</v>
      </c>
      <c r="AL299" s="3">
        <f t="shared" si="209"/>
        <v>0.51531523042793714</v>
      </c>
      <c r="AM299" s="3">
        <f t="shared" si="210"/>
        <v>1.1794999799504671E-2</v>
      </c>
      <c r="AN299" s="3">
        <f t="shared" si="211"/>
        <v>0.28565266909286213</v>
      </c>
      <c r="AO299" s="3">
        <f t="shared" si="181"/>
        <v>-0.97782752065585299</v>
      </c>
      <c r="AP299" s="3">
        <f t="shared" si="212"/>
        <v>4.0341495246026683E-2</v>
      </c>
      <c r="AQ299" s="3">
        <f t="shared" si="213"/>
        <v>0.97699499687218838</v>
      </c>
      <c r="AR299" s="3"/>
      <c r="AS299" s="2"/>
      <c r="AT299" s="2"/>
    </row>
    <row r="300" spans="1:46">
      <c r="A300">
        <f t="shared" si="214"/>
        <v>297</v>
      </c>
      <c r="B300" s="1">
        <f t="shared" si="172"/>
        <v>36.629900999999997</v>
      </c>
      <c r="C300" s="1">
        <f t="shared" si="173"/>
        <v>230.15245576664282</v>
      </c>
      <c r="D300" s="1">
        <f t="shared" si="174"/>
        <v>-0.72854267392419625</v>
      </c>
      <c r="E300" s="1">
        <f t="shared" si="175"/>
        <v>-0.68500041771621001</v>
      </c>
      <c r="F300" s="2">
        <f t="shared" si="176"/>
        <v>-23872.157796474137</v>
      </c>
      <c r="G300" s="2">
        <f t="shared" si="177"/>
        <v>-22445.408687307052</v>
      </c>
      <c r="H300" s="2">
        <f t="shared" si="178"/>
        <v>-5968.2215847870157</v>
      </c>
      <c r="I300" s="3">
        <f t="shared" si="182"/>
        <v>0.73931700490522712</v>
      </c>
      <c r="J300" s="3">
        <f t="shared" si="183"/>
        <v>0.54658963374203562</v>
      </c>
      <c r="K300" s="3">
        <f t="shared" si="184"/>
        <v>-0.98178632517013942</v>
      </c>
      <c r="L300" s="3">
        <f t="shared" si="185"/>
        <v>0.71527323456166381</v>
      </c>
      <c r="M300" s="3">
        <f t="shared" si="186"/>
        <v>0.67252404284960832</v>
      </c>
      <c r="N300" s="3">
        <f t="shared" si="187"/>
        <v>0.3909609353045409</v>
      </c>
      <c r="O300" s="3">
        <f t="shared" si="188"/>
        <v>0.36759467026388043</v>
      </c>
      <c r="P300" s="3">
        <f t="shared" si="189"/>
        <v>-0.49503578765750683</v>
      </c>
      <c r="Q300" s="3">
        <f t="shared" si="190"/>
        <v>0.36065469642817066</v>
      </c>
      <c r="R300" s="3">
        <f t="shared" si="191"/>
        <v>0.33909972132986521</v>
      </c>
      <c r="S300" s="3">
        <f t="shared" si="192"/>
        <v>0.19713011842801884</v>
      </c>
      <c r="T300" s="3">
        <f t="shared" si="193"/>
        <v>0.18534839248371737</v>
      </c>
      <c r="U300" s="3">
        <f t="shared" si="194"/>
        <v>0.66402917982102916</v>
      </c>
      <c r="V300" s="3">
        <f t="shared" si="195"/>
        <v>-0.48377359423050353</v>
      </c>
      <c r="W300" s="3">
        <f t="shared" si="196"/>
        <v>-0.45486026555315728</v>
      </c>
      <c r="X300" s="3">
        <f t="shared" si="197"/>
        <v>-0.2644256316845191</v>
      </c>
      <c r="Y300" s="3">
        <f t="shared" si="198"/>
        <v>-0.24862190595250533</v>
      </c>
      <c r="Z300" s="3">
        <f t="shared" si="199"/>
        <v>0.92126763163566938</v>
      </c>
      <c r="AA300" s="3">
        <f t="shared" si="200"/>
        <v>-0.67118278375166207</v>
      </c>
      <c r="AB300" s="3">
        <f t="shared" si="201"/>
        <v>-0.63106871249885699</v>
      </c>
      <c r="AC300" s="3">
        <f t="shared" si="202"/>
        <v>-0.36686155194478087</v>
      </c>
      <c r="AD300" s="3">
        <f t="shared" si="203"/>
        <v>-0.34493561643080828</v>
      </c>
      <c r="AE300" s="3">
        <f t="shared" si="179"/>
        <v>-7.2679261229649905E-2</v>
      </c>
      <c r="AF300" s="3">
        <f t="shared" si="204"/>
        <v>5.2949943315084312E-2</v>
      </c>
      <c r="AG300" s="3">
        <f t="shared" si="205"/>
        <v>4.9785324301615731E-2</v>
      </c>
      <c r="AH300" s="3">
        <f t="shared" si="206"/>
        <v>2.8941890123253478E-2</v>
      </c>
      <c r="AI300" s="3">
        <f t="shared" si="207"/>
        <v>2.7212142175748608E-2</v>
      </c>
      <c r="AJ300" s="3">
        <f t="shared" si="180"/>
        <v>-0.9679195205499993</v>
      </c>
      <c r="AK300" s="3">
        <f t="shared" si="208"/>
        <v>0.70517067564492253</v>
      </c>
      <c r="AL300" s="3">
        <f t="shared" si="209"/>
        <v>0.66302527589242322</v>
      </c>
      <c r="AM300" s="3">
        <f t="shared" si="210"/>
        <v>0.38543898132638199</v>
      </c>
      <c r="AN300" s="3">
        <f t="shared" si="211"/>
        <v>0.36240274271175171</v>
      </c>
      <c r="AO300" s="3">
        <f t="shared" si="181"/>
        <v>-0.54861590862668552</v>
      </c>
      <c r="AP300" s="3">
        <f t="shared" si="212"/>
        <v>0.39969010102823799</v>
      </c>
      <c r="AQ300" s="3">
        <f t="shared" si="213"/>
        <v>0.3758021265750377</v>
      </c>
      <c r="AR300" s="3"/>
      <c r="AS300" s="2"/>
      <c r="AT300" s="2"/>
    </row>
    <row r="301" spans="1:46">
      <c r="A301">
        <f t="shared" si="214"/>
        <v>298</v>
      </c>
      <c r="B301" s="1">
        <f t="shared" si="172"/>
        <v>36.753233999999999</v>
      </c>
      <c r="C301" s="1">
        <f t="shared" si="173"/>
        <v>230.92737986013321</v>
      </c>
      <c r="D301" s="1">
        <f t="shared" si="174"/>
        <v>-0.99979355953484039</v>
      </c>
      <c r="E301" s="1">
        <f t="shared" si="175"/>
        <v>2.0318422986380653E-2</v>
      </c>
      <c r="F301" s="2">
        <f t="shared" si="176"/>
        <v>-32760.235565278115</v>
      </c>
      <c r="G301" s="2">
        <f t="shared" si="177"/>
        <v>665.77376599473484</v>
      </c>
      <c r="H301" s="2">
        <f t="shared" si="178"/>
        <v>-8190.3088397094125</v>
      </c>
      <c r="I301" s="3">
        <f t="shared" si="182"/>
        <v>0.73405852875946032</v>
      </c>
      <c r="J301" s="3">
        <f t="shared" si="183"/>
        <v>0.53884192364450345</v>
      </c>
      <c r="K301" s="3">
        <f t="shared" si="184"/>
        <v>-0.84574747452458632</v>
      </c>
      <c r="L301" s="3">
        <f t="shared" si="185"/>
        <v>0.84557287802253789</v>
      </c>
      <c r="M301" s="3">
        <f t="shared" si="186"/>
        <v>-1.7184254927053742E-2</v>
      </c>
      <c r="N301" s="3">
        <f t="shared" si="187"/>
        <v>0.45563011617528343</v>
      </c>
      <c r="O301" s="3">
        <f t="shared" si="188"/>
        <v>-9.2595969812911752E-3</v>
      </c>
      <c r="P301" s="3">
        <f t="shared" si="189"/>
        <v>0.23798916787592328</v>
      </c>
      <c r="Q301" s="3">
        <f t="shared" si="190"/>
        <v>-0.23794003728140403</v>
      </c>
      <c r="R301" s="3">
        <f t="shared" si="191"/>
        <v>4.8355645790797638E-3</v>
      </c>
      <c r="S301" s="3">
        <f t="shared" si="192"/>
        <v>-0.12821206740075661</v>
      </c>
      <c r="T301" s="3">
        <f t="shared" si="193"/>
        <v>2.6056049196985635E-3</v>
      </c>
      <c r="U301" s="3">
        <f t="shared" si="194"/>
        <v>0.99662004573605545</v>
      </c>
      <c r="V301" s="3">
        <f t="shared" si="195"/>
        <v>-0.99641430303022627</v>
      </c>
      <c r="W301" s="3">
        <f t="shared" si="196"/>
        <v>2.0249747645971206E-2</v>
      </c>
      <c r="X301" s="3">
        <f t="shared" si="197"/>
        <v>-0.53690979979170439</v>
      </c>
      <c r="Y301" s="3">
        <f t="shared" si="198"/>
        <v>1.0911412974870881E-2</v>
      </c>
      <c r="Z301" s="3">
        <f t="shared" si="199"/>
        <v>0.39381533887159287</v>
      </c>
      <c r="AA301" s="3">
        <f t="shared" si="200"/>
        <v>-0.39373403944984925</v>
      </c>
      <c r="AB301" s="3">
        <f t="shared" si="201"/>
        <v>8.0017066337178585E-3</v>
      </c>
      <c r="AC301" s="3">
        <f t="shared" si="202"/>
        <v>-0.21216040722147758</v>
      </c>
      <c r="AD301" s="3">
        <f t="shared" si="203"/>
        <v>4.3116549949515151E-3</v>
      </c>
      <c r="AE301" s="3">
        <f t="shared" si="179"/>
        <v>-0.74696190671917628</v>
      </c>
      <c r="AF301" s="3">
        <f t="shared" si="204"/>
        <v>0.7468077035556967</v>
      </c>
      <c r="AG301" s="3">
        <f t="shared" si="205"/>
        <v>-1.5177087975433632E-2</v>
      </c>
      <c r="AH301" s="3">
        <f t="shared" si="206"/>
        <v>0.40241129957648569</v>
      </c>
      <c r="AI301" s="3">
        <f t="shared" si="207"/>
        <v>-8.1780512800045217E-3</v>
      </c>
      <c r="AJ301" s="3">
        <f t="shared" si="180"/>
        <v>-0.86734976260012553</v>
      </c>
      <c r="AK301" s="3">
        <f t="shared" si="208"/>
        <v>0.86717070651167827</v>
      </c>
      <c r="AL301" s="3">
        <f t="shared" si="209"/>
        <v>-1.7623179353646195E-2</v>
      </c>
      <c r="AM301" s="3">
        <f t="shared" si="210"/>
        <v>0.46726793162491587</v>
      </c>
      <c r="AN301" s="3">
        <f t="shared" si="211"/>
        <v>-9.4961078636508107E-3</v>
      </c>
      <c r="AO301" s="3">
        <f t="shared" si="181"/>
        <v>0.19710793651086259</v>
      </c>
      <c r="AP301" s="3">
        <f t="shared" si="212"/>
        <v>-0.19706724545676263</v>
      </c>
      <c r="AQ301" s="3">
        <f t="shared" si="213"/>
        <v>4.0049224280003688E-3</v>
      </c>
      <c r="AR301" s="3"/>
      <c r="AS301" s="2"/>
      <c r="AT301" s="2"/>
    </row>
    <row r="302" spans="1:46">
      <c r="A302">
        <f t="shared" si="214"/>
        <v>299</v>
      </c>
      <c r="B302" s="1">
        <f t="shared" si="172"/>
        <v>36.876567000000001</v>
      </c>
      <c r="C302" s="1">
        <f t="shared" si="173"/>
        <v>231.70230395362361</v>
      </c>
      <c r="D302" s="1">
        <f t="shared" si="174"/>
        <v>-0.70011062333152085</v>
      </c>
      <c r="E302" s="1">
        <f t="shared" si="175"/>
        <v>0.71403439349820497</v>
      </c>
      <c r="F302" s="2">
        <f t="shared" si="176"/>
        <v>-22940.524794703942</v>
      </c>
      <c r="G302" s="2">
        <f t="shared" si="177"/>
        <v>23396.764971755681</v>
      </c>
      <c r="H302" s="2">
        <f t="shared" si="178"/>
        <v>-5735.3062263318188</v>
      </c>
      <c r="I302" s="3">
        <f t="shared" si="182"/>
        <v>0.72875566462000174</v>
      </c>
      <c r="J302" s="3">
        <f t="shared" si="183"/>
        <v>0.53108481871574043</v>
      </c>
      <c r="K302" s="3">
        <f t="shared" si="184"/>
        <v>-0.25126042612845279</v>
      </c>
      <c r="L302" s="3">
        <f t="shared" si="185"/>
        <v>0.17591009355533463</v>
      </c>
      <c r="M302" s="3">
        <f t="shared" si="186"/>
        <v>-0.17940858598073031</v>
      </c>
      <c r="N302" s="3">
        <f t="shared" si="187"/>
        <v>9.3423180146103832E-2</v>
      </c>
      <c r="O302" s="3">
        <f t="shared" si="188"/>
        <v>-9.528117636162349E-2</v>
      </c>
      <c r="P302" s="3">
        <f t="shared" si="189"/>
        <v>0.8406411899539874</v>
      </c>
      <c r="Q302" s="3">
        <f t="shared" si="190"/>
        <v>-0.58854182749683759</v>
      </c>
      <c r="R302" s="3">
        <f t="shared" si="191"/>
        <v>0.60024672221840469</v>
      </c>
      <c r="S302" s="3">
        <f t="shared" si="192"/>
        <v>-0.31256562976278857</v>
      </c>
      <c r="T302" s="3">
        <f t="shared" si="193"/>
        <v>0.31878192165407887</v>
      </c>
      <c r="U302" s="3">
        <f t="shared" si="194"/>
        <v>0.77749852908951633</v>
      </c>
      <c r="V302" s="3">
        <f t="shared" si="195"/>
        <v>-0.54433497984020185</v>
      </c>
      <c r="W302" s="3">
        <f t="shared" si="196"/>
        <v>0.55516069066417928</v>
      </c>
      <c r="X302" s="3">
        <f t="shared" si="197"/>
        <v>-0.28908804408906985</v>
      </c>
      <c r="Y302" s="3">
        <f t="shared" si="198"/>
        <v>0.29483741475949093</v>
      </c>
      <c r="Z302" s="3">
        <f t="shared" si="199"/>
        <v>-0.35393014617865631</v>
      </c>
      <c r="AA302" s="3">
        <f t="shared" si="200"/>
        <v>0.24779025525695536</v>
      </c>
      <c r="AB302" s="3">
        <f t="shared" si="201"/>
        <v>-0.25271829726740791</v>
      </c>
      <c r="AC302" s="3">
        <f t="shared" si="202"/>
        <v>0.1315976427926672</v>
      </c>
      <c r="AD302" s="3">
        <f t="shared" si="203"/>
        <v>-0.13421485109041192</v>
      </c>
      <c r="AE302" s="3">
        <f t="shared" si="179"/>
        <v>-0.99905741881744425</v>
      </c>
      <c r="AF302" s="3">
        <f t="shared" si="204"/>
        <v>0.69945071223226118</v>
      </c>
      <c r="AG302" s="3">
        <f t="shared" si="205"/>
        <v>-0.71336135811519596</v>
      </c>
      <c r="AH302" s="3">
        <f t="shared" si="206"/>
        <v>0.37146765470646598</v>
      </c>
      <c r="AI302" s="3">
        <f t="shared" si="207"/>
        <v>-0.37885538755342324</v>
      </c>
      <c r="AJ302" s="3">
        <f t="shared" si="180"/>
        <v>-0.27147589757758117</v>
      </c>
      <c r="AK302" s="3">
        <f t="shared" si="208"/>
        <v>0.19006315987252448</v>
      </c>
      <c r="AL302" s="3">
        <f t="shared" si="209"/>
        <v>-0.19384312787618899</v>
      </c>
      <c r="AM302" s="3">
        <f t="shared" si="210"/>
        <v>0.10093965880544045</v>
      </c>
      <c r="AN302" s="3">
        <f t="shared" si="211"/>
        <v>-0.10294714242741791</v>
      </c>
      <c r="AO302" s="3">
        <f t="shared" si="181"/>
        <v>0.82911456680387374</v>
      </c>
      <c r="AP302" s="3">
        <f t="shared" si="212"/>
        <v>-0.58047191617830396</v>
      </c>
      <c r="AQ302" s="3">
        <f t="shared" si="213"/>
        <v>0.59201631684833089</v>
      </c>
      <c r="AR302" s="3"/>
      <c r="AS302" s="2"/>
      <c r="AT302" s="2"/>
    </row>
    <row r="303" spans="1:46">
      <c r="A303">
        <f t="shared" si="214"/>
        <v>300</v>
      </c>
      <c r="B303" s="1">
        <f t="shared" si="172"/>
        <v>36.999899999999997</v>
      </c>
      <c r="C303" s="1">
        <f t="shared" si="173"/>
        <v>232.47722804711395</v>
      </c>
      <c r="D303" s="1">
        <f t="shared" si="174"/>
        <v>-6.2831848940411359E-4</v>
      </c>
      <c r="E303" s="1">
        <f t="shared" si="175"/>
        <v>0.99999980260791843</v>
      </c>
      <c r="F303" s="2">
        <f t="shared" si="176"/>
        <v>-20.58811194230459</v>
      </c>
      <c r="G303" s="2">
        <f t="shared" si="177"/>
        <v>32766.993532053664</v>
      </c>
      <c r="H303" s="2">
        <f t="shared" si="178"/>
        <v>-5.1471850651984985</v>
      </c>
      <c r="I303" s="3">
        <f t="shared" si="182"/>
        <v>0.72340873314724985</v>
      </c>
      <c r="J303" s="3">
        <f t="shared" si="183"/>
        <v>0.52332019519370898</v>
      </c>
      <c r="K303" s="3">
        <f t="shared" si="184"/>
        <v>0.47942553860419523</v>
      </c>
      <c r="L303" s="3">
        <f t="shared" si="185"/>
        <v>-3.012319301975415E-4</v>
      </c>
      <c r="M303" s="3">
        <f t="shared" si="186"/>
        <v>0.47942544396939019</v>
      </c>
      <c r="N303" s="3">
        <f t="shared" si="187"/>
        <v>-1.5764075250955515E-4</v>
      </c>
      <c r="O303" s="3">
        <f t="shared" si="188"/>
        <v>0.25089301691889188</v>
      </c>
      <c r="P303" s="3">
        <f t="shared" si="189"/>
        <v>0.9827812530388953</v>
      </c>
      <c r="Q303" s="3">
        <f t="shared" si="190"/>
        <v>-6.1749963232408066E-4</v>
      </c>
      <c r="R303" s="3">
        <f t="shared" si="191"/>
        <v>0.98278105904565805</v>
      </c>
      <c r="S303" s="3">
        <f t="shared" si="192"/>
        <v>-3.2315002811988139E-4</v>
      </c>
      <c r="T303" s="3">
        <f t="shared" si="193"/>
        <v>0.51430917565245371</v>
      </c>
      <c r="U303" s="3">
        <f t="shared" si="194"/>
        <v>0.12796667928006794</v>
      </c>
      <c r="V303" s="3">
        <f t="shared" si="195"/>
        <v>-8.0403830619312964E-5</v>
      </c>
      <c r="W303" s="3">
        <f t="shared" si="196"/>
        <v>0.12796665402045876</v>
      </c>
      <c r="X303" s="3">
        <f t="shared" si="197"/>
        <v>-4.2076948334020777E-5</v>
      </c>
      <c r="Y303" s="3">
        <f t="shared" si="198"/>
        <v>6.6967534360272293E-2</v>
      </c>
      <c r="Z303" s="3">
        <f t="shared" si="199"/>
        <v>-0.90369349581637559</v>
      </c>
      <c r="AA303" s="3">
        <f t="shared" si="200"/>
        <v>5.6780733217566776E-4</v>
      </c>
      <c r="AB303" s="3">
        <f t="shared" si="201"/>
        <v>-0.90369331743443537</v>
      </c>
      <c r="AC303" s="3">
        <f t="shared" si="202"/>
        <v>2.9714504390658959E-4</v>
      </c>
      <c r="AD303" s="3">
        <f t="shared" si="203"/>
        <v>-0.47292096327503907</v>
      </c>
      <c r="AE303" s="3">
        <f t="shared" si="179"/>
        <v>-0.68647997510679992</v>
      </c>
      <c r="AF303" s="3">
        <f t="shared" si="204"/>
        <v>4.3132806096527805E-4</v>
      </c>
      <c r="AG303" s="3">
        <f t="shared" si="205"/>
        <v>-0.68647983960108871</v>
      </c>
      <c r="AH303" s="3">
        <f t="shared" si="206"/>
        <v>2.2572268505687329E-4</v>
      </c>
      <c r="AI303" s="3">
        <f t="shared" si="207"/>
        <v>-0.35924876365658776</v>
      </c>
      <c r="AJ303" s="3">
        <f t="shared" si="180"/>
        <v>0.47942553860420128</v>
      </c>
      <c r="AK303" s="3">
        <f t="shared" si="208"/>
        <v>-3.012319301975453E-4</v>
      </c>
      <c r="AL303" s="3">
        <f t="shared" si="209"/>
        <v>0.47942544396939624</v>
      </c>
      <c r="AM303" s="3">
        <f t="shared" si="210"/>
        <v>-1.5764075250955712E-4</v>
      </c>
      <c r="AN303" s="3">
        <f t="shared" si="211"/>
        <v>0.25089301691889504</v>
      </c>
      <c r="AO303" s="3">
        <f t="shared" si="181"/>
        <v>0.98278125303889408</v>
      </c>
      <c r="AP303" s="3">
        <f t="shared" si="212"/>
        <v>-6.1749963232407979E-4</v>
      </c>
      <c r="AQ303" s="3">
        <f t="shared" si="213"/>
        <v>0.98278105904565682</v>
      </c>
      <c r="AR303" s="3"/>
      <c r="AS303" s="2"/>
      <c r="AT303" s="2"/>
    </row>
    <row r="304" spans="1:46">
      <c r="A304">
        <f t="shared" si="214"/>
        <v>301</v>
      </c>
      <c r="B304" s="1">
        <f t="shared" si="172"/>
        <v>37.123232999999999</v>
      </c>
      <c r="C304" s="1">
        <f t="shared" si="173"/>
        <v>233.25215214060435</v>
      </c>
      <c r="D304" s="1">
        <f t="shared" si="174"/>
        <v>0.69921278870054859</v>
      </c>
      <c r="E304" s="1">
        <f t="shared" si="175"/>
        <v>0.71491361444415225</v>
      </c>
      <c r="F304" s="2">
        <f t="shared" si="176"/>
        <v>22911.105447350878</v>
      </c>
      <c r="G304" s="2">
        <f t="shared" si="177"/>
        <v>23425.574404491537</v>
      </c>
      <c r="H304" s="2">
        <f t="shared" si="178"/>
        <v>5727.9511650348941</v>
      </c>
      <c r="I304" s="3">
        <f t="shared" si="182"/>
        <v>0.71801805766632265</v>
      </c>
      <c r="J304" s="3">
        <f t="shared" si="183"/>
        <v>0.51554993113491865</v>
      </c>
      <c r="K304" s="3">
        <f t="shared" si="184"/>
        <v>0.95023277978260723</v>
      </c>
      <c r="L304" s="3">
        <f t="shared" si="185"/>
        <v>0.66441491186647106</v>
      </c>
      <c r="M304" s="3">
        <f t="shared" si="186"/>
        <v>0.67933435115769791</v>
      </c>
      <c r="N304" s="3">
        <f t="shared" si="187"/>
        <v>0.34253906205777218</v>
      </c>
      <c r="O304" s="3">
        <f t="shared" si="188"/>
        <v>0.3502307779569358</v>
      </c>
      <c r="P304" s="3">
        <f t="shared" si="189"/>
        <v>0.58654355697129545</v>
      </c>
      <c r="Q304" s="3">
        <f t="shared" si="190"/>
        <v>0.4101187561642386</v>
      </c>
      <c r="R304" s="3">
        <f t="shared" si="191"/>
        <v>0.41932797434327834</v>
      </c>
      <c r="S304" s="3">
        <f t="shared" si="192"/>
        <v>0.21143669649761168</v>
      </c>
      <c r="T304" s="3">
        <f t="shared" si="193"/>
        <v>0.21618450829562208</v>
      </c>
      <c r="U304" s="3">
        <f t="shared" si="194"/>
        <v>-0.59240540880891024</v>
      </c>
      <c r="V304" s="3">
        <f t="shared" si="195"/>
        <v>-0.41421743793456667</v>
      </c>
      <c r="W304" s="3">
        <f t="shared" si="196"/>
        <v>-0.42351869202784365</v>
      </c>
      <c r="X304" s="3">
        <f t="shared" si="197"/>
        <v>-0.21354977160204827</v>
      </c>
      <c r="Y304" s="3">
        <f t="shared" si="198"/>
        <v>-0.21834503250930562</v>
      </c>
      <c r="Z304" s="3">
        <f t="shared" si="199"/>
        <v>-0.94794701535940684</v>
      </c>
      <c r="AA304" s="3">
        <f t="shared" si="200"/>
        <v>-0.66281667614981266</v>
      </c>
      <c r="AB304" s="3">
        <f t="shared" si="201"/>
        <v>-0.67770022705213984</v>
      </c>
      <c r="AC304" s="3">
        <f t="shared" si="202"/>
        <v>-0.34171509174411158</v>
      </c>
      <c r="AD304" s="3">
        <f t="shared" si="203"/>
        <v>-0.34938830538684945</v>
      </c>
      <c r="AE304" s="3">
        <f t="shared" si="179"/>
        <v>1.4099869012469644E-2</v>
      </c>
      <c r="AF304" s="3">
        <f t="shared" si="204"/>
        <v>9.858808732521351E-3</v>
      </c>
      <c r="AG304" s="3">
        <f t="shared" si="205"/>
        <v>1.0080188318893773E-2</v>
      </c>
      <c r="AH304" s="3">
        <f t="shared" si="206"/>
        <v>5.0827081631237168E-3</v>
      </c>
      <c r="AI304" s="3">
        <f t="shared" si="207"/>
        <v>5.1968403936326962E-3</v>
      </c>
      <c r="AJ304" s="3">
        <f t="shared" si="180"/>
        <v>0.95654879607944021</v>
      </c>
      <c r="AK304" s="3">
        <f t="shared" si="208"/>
        <v>0.66883115123485781</v>
      </c>
      <c r="AL304" s="3">
        <f t="shared" si="209"/>
        <v>0.68384975719735497</v>
      </c>
      <c r="AM304" s="3">
        <f t="shared" si="210"/>
        <v>0.34481585396001929</v>
      </c>
      <c r="AN304" s="3">
        <f t="shared" si="211"/>
        <v>0.35255869522972716</v>
      </c>
      <c r="AO304" s="3">
        <f t="shared" si="181"/>
        <v>0.56945328205538082</v>
      </c>
      <c r="AP304" s="3">
        <f t="shared" si="212"/>
        <v>0.39816901738062288</v>
      </c>
      <c r="AQ304" s="3">
        <f t="shared" si="213"/>
        <v>0.40710990413129761</v>
      </c>
      <c r="AR304" s="3"/>
      <c r="AS304" s="2"/>
      <c r="AT304" s="2"/>
    </row>
    <row r="305" spans="1:46">
      <c r="A305">
        <f t="shared" si="214"/>
        <v>302</v>
      </c>
      <c r="B305" s="1">
        <f t="shared" si="172"/>
        <v>37.246566000000001</v>
      </c>
      <c r="C305" s="1">
        <f t="shared" si="173"/>
        <v>234.02707623409475</v>
      </c>
      <c r="D305" s="1">
        <f t="shared" si="174"/>
        <v>0.99976723725295646</v>
      </c>
      <c r="E305" s="1">
        <f t="shared" si="175"/>
        <v>2.1574784253628982E-2</v>
      </c>
      <c r="F305" s="2">
        <f t="shared" si="176"/>
        <v>32759.373063067625</v>
      </c>
      <c r="G305" s="2">
        <f t="shared" si="177"/>
        <v>706.94095563866085</v>
      </c>
      <c r="H305" s="2">
        <f t="shared" si="178"/>
        <v>8190.0932075762194</v>
      </c>
      <c r="I305" s="3">
        <f t="shared" si="182"/>
        <v>0.71258396414750702</v>
      </c>
      <c r="J305" s="3">
        <f t="shared" si="183"/>
        <v>0.50777590596017552</v>
      </c>
      <c r="K305" s="3">
        <f t="shared" si="184"/>
        <v>0.90595423181372392</v>
      </c>
      <c r="L305" s="3">
        <f t="shared" si="185"/>
        <v>0.90574335941803119</v>
      </c>
      <c r="M305" s="3">
        <f t="shared" si="186"/>
        <v>1.954576709504327E-2</v>
      </c>
      <c r="N305" s="3">
        <f t="shared" si="187"/>
        <v>0.45991465489590366</v>
      </c>
      <c r="O305" s="3">
        <f t="shared" si="188"/>
        <v>9.9248695943721845E-3</v>
      </c>
      <c r="P305" s="3">
        <f t="shared" si="189"/>
        <v>-0.13100878044815065</v>
      </c>
      <c r="Q305" s="3">
        <f t="shared" si="190"/>
        <v>-0.13097828648452672</v>
      </c>
      <c r="R305" s="3">
        <f t="shared" si="191"/>
        <v>-2.8264861734998972E-3</v>
      </c>
      <c r="S305" s="3">
        <f t="shared" si="192"/>
        <v>-6.6507618080791961E-2</v>
      </c>
      <c r="T305" s="3">
        <f t="shared" si="193"/>
        <v>-1.4352215774328199E-3</v>
      </c>
      <c r="U305" s="3">
        <f t="shared" si="194"/>
        <v>-0.98483165541630779</v>
      </c>
      <c r="V305" s="3">
        <f t="shared" si="195"/>
        <v>-0.98460242329481762</v>
      </c>
      <c r="W305" s="3">
        <f t="shared" si="196"/>
        <v>-2.124753049175112E-2</v>
      </c>
      <c r="X305" s="3">
        <f t="shared" si="197"/>
        <v>-0.49995738749911023</v>
      </c>
      <c r="Y305" s="3">
        <f t="shared" si="198"/>
        <v>-1.0788984044865379E-2</v>
      </c>
      <c r="Z305" s="3">
        <f t="shared" si="199"/>
        <v>-0.46193608474151254</v>
      </c>
      <c r="AA305" s="3">
        <f t="shared" si="200"/>
        <v>-0.46182856322946958</v>
      </c>
      <c r="AB305" s="3">
        <f t="shared" si="201"/>
        <v>-9.966171367264208E-3</v>
      </c>
      <c r="AC305" s="3">
        <f t="shared" si="202"/>
        <v>-0.23450541709213013</v>
      </c>
      <c r="AD305" s="3">
        <f t="shared" si="203"/>
        <v>-5.060581694966944E-3</v>
      </c>
      <c r="AE305" s="3">
        <f t="shared" si="179"/>
        <v>0.70671038668280051</v>
      </c>
      <c r="AF305" s="3">
        <f t="shared" si="204"/>
        <v>0.70654589083183206</v>
      </c>
      <c r="AG305" s="3">
        <f t="shared" si="205"/>
        <v>1.5247124122480133E-2</v>
      </c>
      <c r="AH305" s="3">
        <f t="shared" si="206"/>
        <v>0.35876697981957278</v>
      </c>
      <c r="AI305" s="3">
        <f t="shared" si="207"/>
        <v>7.7421222645795967E-3</v>
      </c>
      <c r="AJ305" s="3">
        <f t="shared" si="180"/>
        <v>0.88743042446461606</v>
      </c>
      <c r="AK305" s="3">
        <f t="shared" si="208"/>
        <v>0.88722386372120765</v>
      </c>
      <c r="AL305" s="3">
        <f t="shared" si="209"/>
        <v>1.9146119947930484E-2</v>
      </c>
      <c r="AM305" s="3">
        <f t="shared" si="210"/>
        <v>0.45051090119052351</v>
      </c>
      <c r="AN305" s="3">
        <f t="shared" si="211"/>
        <v>9.7219384021825887E-3</v>
      </c>
      <c r="AO305" s="3">
        <f t="shared" si="181"/>
        <v>-0.17240859966627142</v>
      </c>
      <c r="AP305" s="3">
        <f t="shared" si="212"/>
        <v>-0.17236846936699918</v>
      </c>
      <c r="AQ305" s="3">
        <f t="shared" si="213"/>
        <v>-3.7196783412700956E-3</v>
      </c>
      <c r="AR305" s="3"/>
      <c r="AS305" s="2"/>
      <c r="AT305" s="2"/>
    </row>
    <row r="306" spans="1:46">
      <c r="A306">
        <f t="shared" si="214"/>
        <v>303</v>
      </c>
      <c r="B306" s="1">
        <f t="shared" si="172"/>
        <v>37.369898999999997</v>
      </c>
      <c r="C306" s="1">
        <f t="shared" si="173"/>
        <v>234.80200032758509</v>
      </c>
      <c r="D306" s="1">
        <f t="shared" si="174"/>
        <v>0.72940289537552028</v>
      </c>
      <c r="E306" s="1">
        <f t="shared" si="175"/>
        <v>-0.68408436337765233</v>
      </c>
      <c r="F306" s="2">
        <f t="shared" si="176"/>
        <v>23900.344672769672</v>
      </c>
      <c r="G306" s="2">
        <f t="shared" si="177"/>
        <v>-22415.392334795535</v>
      </c>
      <c r="H306" s="2">
        <f t="shared" si="178"/>
        <v>5975.2685189162621</v>
      </c>
      <c r="I306" s="3">
        <f t="shared" si="182"/>
        <v>0.70710678118654757</v>
      </c>
      <c r="J306" s="3">
        <f t="shared" si="183"/>
        <v>0.50000000000000011</v>
      </c>
      <c r="K306" s="3">
        <f t="shared" si="184"/>
        <v>0.37059164596113725</v>
      </c>
      <c r="L306" s="3">
        <f t="shared" si="185"/>
        <v>0.27031061956603325</v>
      </c>
      <c r="M306" s="3">
        <f t="shared" si="186"/>
        <v>-0.25351595020040091</v>
      </c>
      <c r="N306" s="3">
        <f t="shared" si="187"/>
        <v>0.13515530978301665</v>
      </c>
      <c r="O306" s="3">
        <f t="shared" si="188"/>
        <v>-0.12675797510020045</v>
      </c>
      <c r="P306" s="3">
        <f t="shared" si="189"/>
        <v>-0.77679314973749836</v>
      </c>
      <c r="Q306" s="3">
        <f t="shared" si="190"/>
        <v>-0.56659517252640135</v>
      </c>
      <c r="R306" s="3">
        <f t="shared" si="191"/>
        <v>0.5313920473142979</v>
      </c>
      <c r="S306" s="3">
        <f t="shared" si="192"/>
        <v>-0.28329758626320078</v>
      </c>
      <c r="T306" s="3">
        <f t="shared" si="193"/>
        <v>0.26569602365714906</v>
      </c>
      <c r="U306" s="3">
        <f t="shared" si="194"/>
        <v>-0.83207137747359405</v>
      </c>
      <c r="V306" s="3">
        <f t="shared" si="195"/>
        <v>-0.60691527188833694</v>
      </c>
      <c r="W306" s="3">
        <f t="shared" si="196"/>
        <v>0.56920701854378986</v>
      </c>
      <c r="X306" s="3">
        <f t="shared" si="197"/>
        <v>-0.30345763594416858</v>
      </c>
      <c r="Y306" s="3">
        <f t="shared" si="198"/>
        <v>0.28460350927189498</v>
      </c>
      <c r="Z306" s="3">
        <f t="shared" si="199"/>
        <v>0.28247355383803346</v>
      </c>
      <c r="AA306" s="3">
        <f t="shared" si="200"/>
        <v>0.20603702803647453</v>
      </c>
      <c r="AB306" s="3">
        <f t="shared" si="201"/>
        <v>-0.19323574124831414</v>
      </c>
      <c r="AC306" s="3">
        <f t="shared" si="202"/>
        <v>0.10301851401823728</v>
      </c>
      <c r="AD306" s="3">
        <f t="shared" si="203"/>
        <v>-9.6617870624157082E-2</v>
      </c>
      <c r="AE306" s="3">
        <f t="shared" si="179"/>
        <v>0.99988415984507251</v>
      </c>
      <c r="AF306" s="3">
        <f t="shared" si="204"/>
        <v>0.72931840123111547</v>
      </c>
      <c r="AG306" s="3">
        <f t="shared" si="205"/>
        <v>-0.68400511893901517</v>
      </c>
      <c r="AH306" s="3">
        <f t="shared" si="206"/>
        <v>0.36465920061555779</v>
      </c>
      <c r="AI306" s="3">
        <f t="shared" si="207"/>
        <v>-0.34200255946950769</v>
      </c>
      <c r="AJ306" s="3">
        <f t="shared" si="180"/>
        <v>0.31154079063040552</v>
      </c>
      <c r="AK306" s="3">
        <f t="shared" si="208"/>
        <v>0.22723875471339655</v>
      </c>
      <c r="AL306" s="3">
        <f t="shared" si="209"/>
        <v>-0.21312018342457142</v>
      </c>
      <c r="AM306" s="3">
        <f t="shared" si="210"/>
        <v>0.11361937735669829</v>
      </c>
      <c r="AN306" s="3">
        <f t="shared" si="211"/>
        <v>-0.10656009171228574</v>
      </c>
      <c r="AO306" s="3">
        <f t="shared" si="181"/>
        <v>-0.81480302149586536</v>
      </c>
      <c r="AP306" s="3">
        <f t="shared" si="212"/>
        <v>-0.59431968303980653</v>
      </c>
      <c r="AQ306" s="3">
        <f t="shared" si="213"/>
        <v>0.55739400623818658</v>
      </c>
      <c r="AR306" s="3"/>
      <c r="AS306" s="2"/>
      <c r="AT306" s="2"/>
    </row>
    <row r="307" spans="1:46">
      <c r="A307">
        <f t="shared" si="214"/>
        <v>304</v>
      </c>
      <c r="B307" s="1">
        <f t="shared" si="172"/>
        <v>37.493231999999999</v>
      </c>
      <c r="C307" s="1">
        <f t="shared" si="173"/>
        <v>235.57692442107549</v>
      </c>
      <c r="D307" s="1">
        <f t="shared" si="174"/>
        <v>4.2511782818878283E-2</v>
      </c>
      <c r="E307" s="1">
        <f t="shared" si="175"/>
        <v>-0.99909596552161117</v>
      </c>
      <c r="F307" s="2">
        <f t="shared" si="176"/>
        <v>1392.9835876261848</v>
      </c>
      <c r="G307" s="2">
        <f t="shared" si="177"/>
        <v>-32737.377502246633</v>
      </c>
      <c r="H307" s="2">
        <f t="shared" si="178"/>
        <v>348.25652485225089</v>
      </c>
      <c r="I307" s="3">
        <f t="shared" si="182"/>
        <v>0.70158683998477667</v>
      </c>
      <c r="J307" s="3">
        <f t="shared" si="183"/>
        <v>0.49222409403982464</v>
      </c>
      <c r="K307" s="3">
        <f t="shared" si="184"/>
        <v>-0.36565486483345078</v>
      </c>
      <c r="L307" s="3">
        <f t="shared" si="185"/>
        <v>-1.5544640200465953E-2</v>
      </c>
      <c r="M307" s="3">
        <f t="shared" si="186"/>
        <v>0.36532430022845075</v>
      </c>
      <c r="N307" s="3">
        <f t="shared" si="187"/>
        <v>-7.6514464398493914E-3</v>
      </c>
      <c r="O307" s="3">
        <f t="shared" si="188"/>
        <v>0.17982142271068205</v>
      </c>
      <c r="P307" s="3">
        <f t="shared" si="189"/>
        <v>-0.99704217839277753</v>
      </c>
      <c r="Q307" s="3">
        <f t="shared" si="190"/>
        <v>-4.2386040549095054E-2</v>
      </c>
      <c r="R307" s="3">
        <f t="shared" si="191"/>
        <v>0.99614081788710251</v>
      </c>
      <c r="S307" s="3">
        <f t="shared" si="192"/>
        <v>-2.0863430409213585E-2</v>
      </c>
      <c r="T307" s="3">
        <f t="shared" si="193"/>
        <v>0.490324511620569</v>
      </c>
      <c r="U307" s="3">
        <f t="shared" si="194"/>
        <v>-0.21869013962613801</v>
      </c>
      <c r="V307" s="3">
        <f t="shared" si="195"/>
        <v>-9.296907720416546E-3</v>
      </c>
      <c r="W307" s="3">
        <f t="shared" si="196"/>
        <v>0.2184924361998323</v>
      </c>
      <c r="X307" s="3">
        <f t="shared" si="197"/>
        <v>-4.5761619800538857E-3</v>
      </c>
      <c r="Y307" s="3">
        <f t="shared" si="198"/>
        <v>0.10754724146301664</v>
      </c>
      <c r="Z307" s="3">
        <f t="shared" si="199"/>
        <v>0.86887258498488318</v>
      </c>
      <c r="AA307" s="3">
        <f t="shared" si="200"/>
        <v>3.6937322630154715E-2</v>
      </c>
      <c r="AB307" s="3">
        <f t="shared" si="201"/>
        <v>-0.86808709421073005</v>
      </c>
      <c r="AC307" s="3">
        <f t="shared" si="202"/>
        <v>1.818144016788462E-2</v>
      </c>
      <c r="AD307" s="3">
        <f t="shared" si="203"/>
        <v>-0.42729338349554047</v>
      </c>
      <c r="AE307" s="3">
        <f t="shared" si="179"/>
        <v>0.72791769845047849</v>
      </c>
      <c r="AF307" s="3">
        <f t="shared" si="204"/>
        <v>3.0945079106544475E-2</v>
      </c>
      <c r="AG307" s="3">
        <f t="shared" si="205"/>
        <v>-0.72725963575364982</v>
      </c>
      <c r="AH307" s="3">
        <f t="shared" si="206"/>
        <v>1.5231913528209559E-2</v>
      </c>
      <c r="AI307" s="3">
        <f t="shared" si="207"/>
        <v>-0.35797471534057312</v>
      </c>
      <c r="AJ307" s="3">
        <f t="shared" si="180"/>
        <v>-0.4422556574713738</v>
      </c>
      <c r="AK307" s="3">
        <f t="shared" si="208"/>
        <v>-1.8801076460843266E-2</v>
      </c>
      <c r="AL307" s="3">
        <f t="shared" si="209"/>
        <v>0.44185584310875714</v>
      </c>
      <c r="AM307" s="3">
        <f t="shared" si="210"/>
        <v>-9.2543428279120502E-3</v>
      </c>
      <c r="AN307" s="3">
        <f t="shared" si="211"/>
        <v>0.2174920920704109</v>
      </c>
      <c r="AO307" s="3">
        <f t="shared" si="181"/>
        <v>-0.9871142397181768</v>
      </c>
      <c r="AP307" s="3">
        <f t="shared" si="212"/>
        <v>-4.1963986176321286E-2</v>
      </c>
      <c r="AQ307" s="3">
        <f t="shared" si="213"/>
        <v>0.98622185441136301</v>
      </c>
      <c r="AR307" s="3"/>
      <c r="AS307" s="2"/>
      <c r="AT307" s="2"/>
    </row>
    <row r="308" spans="1:46">
      <c r="A308">
        <f t="shared" si="214"/>
        <v>305</v>
      </c>
      <c r="B308" s="1">
        <f t="shared" si="172"/>
        <v>37.616565000000001</v>
      </c>
      <c r="C308" s="1">
        <f t="shared" si="173"/>
        <v>236.35184851456589</v>
      </c>
      <c r="D308" s="1">
        <f t="shared" si="174"/>
        <v>-0.66865575601140337</v>
      </c>
      <c r="E308" s="1">
        <f t="shared" si="175"/>
        <v>-0.74357210810574281</v>
      </c>
      <c r="F308" s="2">
        <f t="shared" si="176"/>
        <v>-21909.843157225656</v>
      </c>
      <c r="G308" s="2">
        <f t="shared" si="177"/>
        <v>-24364.627266300875</v>
      </c>
      <c r="H308" s="2">
        <f t="shared" si="178"/>
        <v>-5477.6279532454164</v>
      </c>
      <c r="I308" s="3">
        <f t="shared" si="182"/>
        <v>0.69602447432908676</v>
      </c>
      <c r="J308" s="3">
        <f t="shared" si="183"/>
        <v>0.48445006886508157</v>
      </c>
      <c r="K308" s="3">
        <f t="shared" si="184"/>
        <v>-0.90369349581637559</v>
      </c>
      <c r="L308" s="3">
        <f t="shared" si="185"/>
        <v>0.60425985764768664</v>
      </c>
      <c r="M308" s="3">
        <f t="shared" si="186"/>
        <v>0.67196127776563064</v>
      </c>
      <c r="N308" s="3">
        <f t="shared" si="187"/>
        <v>0.29273372964982619</v>
      </c>
      <c r="O308" s="3">
        <f t="shared" si="188"/>
        <v>0.32553168728822801</v>
      </c>
      <c r="P308" s="3">
        <f t="shared" si="189"/>
        <v>-0.67110116514012819</v>
      </c>
      <c r="Q308" s="3">
        <f t="shared" si="190"/>
        <v>0.44873565693690609</v>
      </c>
      <c r="R308" s="3">
        <f t="shared" si="191"/>
        <v>0.49901210811546537</v>
      </c>
      <c r="S308" s="3">
        <f t="shared" si="192"/>
        <v>0.21739001990530177</v>
      </c>
      <c r="T308" s="3">
        <f t="shared" si="193"/>
        <v>0.2417464501410467</v>
      </c>
      <c r="U308" s="3">
        <f t="shared" si="194"/>
        <v>0.51575434443241419</v>
      </c>
      <c r="V308" s="3">
        <f t="shared" si="195"/>
        <v>-0.34486211109262166</v>
      </c>
      <c r="W308" s="3">
        <f t="shared" si="196"/>
        <v>-0.38350054515430559</v>
      </c>
      <c r="X308" s="3">
        <f t="shared" si="197"/>
        <v>-0.16706847346777798</v>
      </c>
      <c r="Y308" s="3">
        <f t="shared" si="198"/>
        <v>-0.18578686550979967</v>
      </c>
      <c r="Z308" s="3">
        <f t="shared" si="199"/>
        <v>0.96923997504656667</v>
      </c>
      <c r="AA308" s="3">
        <f t="shared" si="200"/>
        <v>-0.64808788827123576</v>
      </c>
      <c r="AB308" s="3">
        <f t="shared" si="201"/>
        <v>-0.72069981150573315</v>
      </c>
      <c r="AC308" s="3">
        <f t="shared" si="202"/>
        <v>-0.31396622210362546</v>
      </c>
      <c r="AD308" s="3">
        <f t="shared" si="203"/>
        <v>-0.34914307331500372</v>
      </c>
      <c r="AE308" s="3">
        <f t="shared" si="179"/>
        <v>4.4527998883836288E-2</v>
      </c>
      <c r="AF308" s="3">
        <f t="shared" si="204"/>
        <v>-2.9773902757346479E-2</v>
      </c>
      <c r="AG308" s="3">
        <f t="shared" si="205"/>
        <v>-3.3109777999784311E-2</v>
      </c>
      <c r="AH308" s="3">
        <f t="shared" si="206"/>
        <v>-1.4423969241178744E-2</v>
      </c>
      <c r="AI308" s="3">
        <f t="shared" si="207"/>
        <v>-1.6040034232103071E-2</v>
      </c>
      <c r="AJ308" s="3">
        <f t="shared" si="180"/>
        <v>-0.94349995998309333</v>
      </c>
      <c r="AK308" s="3">
        <f t="shared" si="208"/>
        <v>0.63087667903922406</v>
      </c>
      <c r="AL308" s="3">
        <f t="shared" si="209"/>
        <v>0.70156025424231272</v>
      </c>
      <c r="AM308" s="3">
        <f t="shared" si="210"/>
        <v>0.30562825060592608</v>
      </c>
      <c r="AN308" s="3">
        <f t="shared" si="211"/>
        <v>0.33987091348069254</v>
      </c>
      <c r="AO308" s="3">
        <f t="shared" si="181"/>
        <v>-0.58993097658573979</v>
      </c>
      <c r="AP308" s="3">
        <f t="shared" si="212"/>
        <v>0.39446074314348334</v>
      </c>
      <c r="AQ308" s="3">
        <f t="shared" si="213"/>
        <v>0.43865621989673814</v>
      </c>
      <c r="AR308" s="3"/>
      <c r="AS308" s="2"/>
      <c r="AT308" s="2"/>
    </row>
    <row r="309" spans="1:46">
      <c r="A309">
        <f t="shared" si="214"/>
        <v>306</v>
      </c>
      <c r="B309" s="1">
        <f t="shared" si="172"/>
        <v>37.739897999999997</v>
      </c>
      <c r="C309" s="1">
        <f t="shared" si="173"/>
        <v>237.12677260805623</v>
      </c>
      <c r="D309" s="1">
        <f t="shared" si="174"/>
        <v>-0.99798628197363404</v>
      </c>
      <c r="E309" s="1">
        <f t="shared" si="175"/>
        <v>-6.3430126851853341E-2</v>
      </c>
      <c r="F309" s="2">
        <f t="shared" si="176"/>
        <v>-32701.016501430066</v>
      </c>
      <c r="G309" s="2">
        <f t="shared" si="177"/>
        <v>-2078.4149665546784</v>
      </c>
      <c r="H309" s="2">
        <f t="shared" si="178"/>
        <v>-8175.50362192801</v>
      </c>
      <c r="I309" s="3">
        <f t="shared" si="182"/>
        <v>0.69042002057174678</v>
      </c>
      <c r="J309" s="3">
        <f t="shared" si="183"/>
        <v>0.47667980480629124</v>
      </c>
      <c r="K309" s="3">
        <f t="shared" si="184"/>
        <v>-0.95187354967636006</v>
      </c>
      <c r="L309" s="3">
        <f t="shared" si="185"/>
        <v>0.9499567447505558</v>
      </c>
      <c r="M309" s="3">
        <f t="shared" si="186"/>
        <v>6.0377460002895442E-2</v>
      </c>
      <c r="N309" s="3">
        <f t="shared" si="187"/>
        <v>0.45282519566211477</v>
      </c>
      <c r="O309" s="3">
        <f t="shared" si="188"/>
        <v>2.8780715848879857E-2</v>
      </c>
      <c r="P309" s="3">
        <f t="shared" si="189"/>
        <v>2.2476023849017149E-2</v>
      </c>
      <c r="Q309" s="3">
        <f t="shared" si="190"/>
        <v>-2.2430763474631351E-2</v>
      </c>
      <c r="R309" s="3">
        <f t="shared" si="191"/>
        <v>-1.4256570438684387E-3</v>
      </c>
      <c r="S309" s="3">
        <f t="shared" si="192"/>
        <v>-1.069229195474336E-2</v>
      </c>
      <c r="T309" s="3">
        <f t="shared" si="193"/>
        <v>-6.7958192139192159E-4</v>
      </c>
      <c r="U309" s="3">
        <f t="shared" si="194"/>
        <v>0.96468574915777683</v>
      </c>
      <c r="V309" s="3">
        <f t="shared" si="195"/>
        <v>-0.96274314407491945</v>
      </c>
      <c r="W309" s="3">
        <f t="shared" si="196"/>
        <v>-6.1190139441252955E-2</v>
      </c>
      <c r="X309" s="3">
        <f t="shared" si="197"/>
        <v>-0.45892021399622773</v>
      </c>
      <c r="Y309" s="3">
        <f t="shared" si="198"/>
        <v>-2.9168103724926203E-2</v>
      </c>
      <c r="Z309" s="3">
        <f t="shared" si="199"/>
        <v>0.52743201763146241</v>
      </c>
      <c r="AA309" s="3">
        <f t="shared" si="200"/>
        <v>-0.52636991826987534</v>
      </c>
      <c r="AB309" s="3">
        <f t="shared" si="201"/>
        <v>-3.3455079784092609E-2</v>
      </c>
      <c r="AC309" s="3">
        <f t="shared" si="202"/>
        <v>-0.25090990989678763</v>
      </c>
      <c r="AD309" s="3">
        <f t="shared" si="203"/>
        <v>-1.5947360901260164E-2</v>
      </c>
      <c r="AE309" s="3">
        <f t="shared" si="179"/>
        <v>-0.66402917982102627</v>
      </c>
      <c r="AF309" s="3">
        <f t="shared" si="204"/>
        <v>0.6626920122915877</v>
      </c>
      <c r="AG309" s="3">
        <f t="shared" si="205"/>
        <v>4.2119455109379832E-2</v>
      </c>
      <c r="AH309" s="3">
        <f t="shared" si="206"/>
        <v>0.31589189906584236</v>
      </c>
      <c r="AI309" s="3">
        <f t="shared" si="207"/>
        <v>2.0077493640086524E-2</v>
      </c>
      <c r="AJ309" s="3">
        <f t="shared" si="180"/>
        <v>-0.90595423181372559</v>
      </c>
      <c r="AK309" s="3">
        <f t="shared" si="208"/>
        <v>0.90412989544605971</v>
      </c>
      <c r="AL309" s="3">
        <f t="shared" si="209"/>
        <v>5.7464791845917962E-2</v>
      </c>
      <c r="AM309" s="3">
        <f t="shared" si="210"/>
        <v>0.4309804620807603</v>
      </c>
      <c r="AN309" s="3">
        <f t="shared" si="211"/>
        <v>2.7392305760346333E-2</v>
      </c>
      <c r="AO309" s="3">
        <f t="shared" si="181"/>
        <v>0.14760036585482864</v>
      </c>
      <c r="AP309" s="3">
        <f t="shared" si="212"/>
        <v>-0.14730314033740854</v>
      </c>
      <c r="AQ309" s="3">
        <f t="shared" si="213"/>
        <v>-9.3623099295517421E-3</v>
      </c>
      <c r="AR309" s="3"/>
      <c r="AS309" s="2"/>
      <c r="AT309" s="2"/>
    </row>
    <row r="310" spans="1:46">
      <c r="A310">
        <f t="shared" si="214"/>
        <v>307</v>
      </c>
      <c r="B310" s="1">
        <f t="shared" si="172"/>
        <v>37.863230999999999</v>
      </c>
      <c r="C310" s="1">
        <f t="shared" si="173"/>
        <v>237.90169670154663</v>
      </c>
      <c r="D310" s="1">
        <f t="shared" si="174"/>
        <v>-0.757415035063705</v>
      </c>
      <c r="E310" s="1">
        <f t="shared" si="175"/>
        <v>0.65293373680599975</v>
      </c>
      <c r="F310" s="2">
        <f t="shared" si="176"/>
        <v>-24818.218453932423</v>
      </c>
      <c r="G310" s="2">
        <f t="shared" si="177"/>
        <v>21394.679753922195</v>
      </c>
      <c r="H310" s="2">
        <f t="shared" si="178"/>
        <v>-6204.7439672418714</v>
      </c>
      <c r="I310" s="3">
        <f t="shared" si="182"/>
        <v>0.68477381761006284</v>
      </c>
      <c r="J310" s="3">
        <f t="shared" si="183"/>
        <v>0.46891518128425963</v>
      </c>
      <c r="K310" s="3">
        <f t="shared" si="184"/>
        <v>-0.48407841415626957</v>
      </c>
      <c r="L310" s="3">
        <f t="shared" si="185"/>
        <v>0.36664826903175363</v>
      </c>
      <c r="M310" s="3">
        <f t="shared" si="186"/>
        <v>-0.31607112786217545</v>
      </c>
      <c r="N310" s="3">
        <f t="shared" si="187"/>
        <v>0.17192693954058474</v>
      </c>
      <c r="O310" s="3">
        <f t="shared" si="188"/>
        <v>-0.1482105502202124</v>
      </c>
      <c r="P310" s="3">
        <f t="shared" si="189"/>
        <v>0.70374061395916021</v>
      </c>
      <c r="Q310" s="3">
        <f t="shared" si="190"/>
        <v>-0.53302372179763058</v>
      </c>
      <c r="R310" s="3">
        <f t="shared" si="191"/>
        <v>0.45949598881450299</v>
      </c>
      <c r="S310" s="3">
        <f t="shared" si="192"/>
        <v>-0.24994291513554673</v>
      </c>
      <c r="T310" s="3">
        <f t="shared" si="193"/>
        <v>0.2154646448943428</v>
      </c>
      <c r="U310" s="3">
        <f t="shared" si="194"/>
        <v>0.87958307001325953</v>
      </c>
      <c r="V310" s="3">
        <f t="shared" si="195"/>
        <v>-0.66620944181553421</v>
      </c>
      <c r="W310" s="3">
        <f t="shared" si="196"/>
        <v>0.57430946073505085</v>
      </c>
      <c r="X310" s="3">
        <f t="shared" si="197"/>
        <v>-0.31239572118221665</v>
      </c>
      <c r="Y310" s="3">
        <f t="shared" si="198"/>
        <v>0.26930242489384176</v>
      </c>
      <c r="Z310" s="3">
        <f t="shared" si="199"/>
        <v>-0.20941189041699773</v>
      </c>
      <c r="AA310" s="3">
        <f t="shared" si="200"/>
        <v>0.15861171432294707</v>
      </c>
      <c r="AB310" s="3">
        <f t="shared" si="201"/>
        <v>-0.13673208814157886</v>
      </c>
      <c r="AC310" s="3">
        <f t="shared" si="202"/>
        <v>7.4375440775551929E-2</v>
      </c>
      <c r="AD310" s="3">
        <f t="shared" si="203"/>
        <v>-6.4115751898283821E-2</v>
      </c>
      <c r="AE310" s="3">
        <f t="shared" si="179"/>
        <v>-0.99727327576360547</v>
      </c>
      <c r="AF310" s="3">
        <f t="shared" si="204"/>
        <v>0.75534977313058715</v>
      </c>
      <c r="AG310" s="3">
        <f t="shared" si="205"/>
        <v>-0.65115336656109124</v>
      </c>
      <c r="AH310" s="3">
        <f t="shared" si="206"/>
        <v>0.35419497580055365</v>
      </c>
      <c r="AI310" s="3">
        <f t="shared" si="207"/>
        <v>-0.30533569892485002</v>
      </c>
      <c r="AJ310" s="3">
        <f t="shared" si="180"/>
        <v>-0.35105913527416566</v>
      </c>
      <c r="AK310" s="3">
        <f t="shared" si="208"/>
        <v>0.26589746725311614</v>
      </c>
      <c r="AL310" s="3">
        <f t="shared" si="209"/>
        <v>-0.22921835303444393</v>
      </c>
      <c r="AM310" s="3">
        <f t="shared" si="210"/>
        <v>0.12468335906002044</v>
      </c>
      <c r="AN310" s="3">
        <f t="shared" si="211"/>
        <v>-0.10748396556682571</v>
      </c>
      <c r="AO310" s="3">
        <f t="shared" si="181"/>
        <v>0.79997682913543144</v>
      </c>
      <c r="AP310" s="3">
        <f t="shared" si="212"/>
        <v>-0.6059144780897644</v>
      </c>
      <c r="AQ310" s="3">
        <f t="shared" si="213"/>
        <v>0.52233186040561208</v>
      </c>
      <c r="AR310" s="3"/>
      <c r="AS310" s="2"/>
      <c r="AT310" s="2"/>
    </row>
    <row r="311" spans="1:46">
      <c r="A311">
        <f t="shared" si="214"/>
        <v>308</v>
      </c>
      <c r="B311" s="1">
        <f t="shared" si="172"/>
        <v>37.986564000000001</v>
      </c>
      <c r="C311" s="1">
        <f t="shared" si="173"/>
        <v>238.67662079503702</v>
      </c>
      <c r="D311" s="1">
        <f t="shared" si="174"/>
        <v>-8.4320637205023294E-2</v>
      </c>
      <c r="E311" s="1">
        <f t="shared" si="175"/>
        <v>0.99643867354761917</v>
      </c>
      <c r="F311" s="2">
        <f t="shared" si="176"/>
        <v>-2762.9343192969982</v>
      </c>
      <c r="G311" s="2">
        <f t="shared" si="177"/>
        <v>32650.306016134837</v>
      </c>
      <c r="H311" s="2">
        <f t="shared" si="178"/>
        <v>-690.75465998355082</v>
      </c>
      <c r="I311" s="3">
        <f t="shared" si="182"/>
        <v>0.67908620686588594</v>
      </c>
      <c r="J311" s="3">
        <f t="shared" si="183"/>
        <v>0.46115807635549683</v>
      </c>
      <c r="K311" s="3">
        <f t="shared" si="184"/>
        <v>0.24611759541268025</v>
      </c>
      <c r="L311" s="3">
        <f t="shared" si="185"/>
        <v>-2.0752792472565316E-2</v>
      </c>
      <c r="M311" s="3">
        <f t="shared" si="186"/>
        <v>0.2452410903097407</v>
      </c>
      <c r="N311" s="3">
        <f t="shared" si="187"/>
        <v>-9.5703178556530554E-3</v>
      </c>
      <c r="O311" s="3">
        <f t="shared" si="188"/>
        <v>0.1130949094505647</v>
      </c>
      <c r="P311" s="3">
        <f t="shared" si="189"/>
        <v>0.99948879988842687</v>
      </c>
      <c r="Q311" s="3">
        <f t="shared" si="190"/>
        <v>-8.4277532485876175E-2</v>
      </c>
      <c r="R311" s="3">
        <f t="shared" si="191"/>
        <v>0.99592929398652585</v>
      </c>
      <c r="S311" s="3">
        <f t="shared" si="192"/>
        <v>-3.8865264761174551E-2</v>
      </c>
      <c r="T311" s="3">
        <f t="shared" si="193"/>
        <v>0.45928083740091435</v>
      </c>
      <c r="U311" s="3">
        <f t="shared" si="194"/>
        <v>0.30755774337230146</v>
      </c>
      <c r="V311" s="3">
        <f t="shared" si="195"/>
        <v>-2.5933464898491489E-2</v>
      </c>
      <c r="W311" s="3">
        <f t="shared" si="196"/>
        <v>0.30646242984519512</v>
      </c>
      <c r="X311" s="3">
        <f t="shared" si="197"/>
        <v>-1.1959426785821134E-2</v>
      </c>
      <c r="Y311" s="3">
        <f t="shared" si="198"/>
        <v>0.14132762462264159</v>
      </c>
      <c r="Z311" s="3">
        <f t="shared" si="199"/>
        <v>-0.82911456680388362</v>
      </c>
      <c r="AA311" s="3">
        <f t="shared" si="200"/>
        <v>6.9911468588870318E-2</v>
      </c>
      <c r="AB311" s="3">
        <f t="shared" si="201"/>
        <v>-0.8261618191650707</v>
      </c>
      <c r="AC311" s="3">
        <f t="shared" si="202"/>
        <v>3.2240238369631177E-2</v>
      </c>
      <c r="AD311" s="3">
        <f t="shared" si="203"/>
        <v>-0.3809911952845218</v>
      </c>
      <c r="AE311" s="3">
        <f t="shared" si="179"/>
        <v>-0.76685282373528252</v>
      </c>
      <c r="AF311" s="3">
        <f t="shared" si="204"/>
        <v>6.4661518739830434E-2</v>
      </c>
      <c r="AG311" s="3">
        <f t="shared" si="205"/>
        <v>-0.76412181048903116</v>
      </c>
      <c r="AH311" s="3">
        <f t="shared" si="206"/>
        <v>2.9819181596285112E-2</v>
      </c>
      <c r="AI311" s="3">
        <f t="shared" si="207"/>
        <v>-0.35238094422640109</v>
      </c>
      <c r="AJ311" s="3">
        <f t="shared" si="180"/>
        <v>0.40430990963588448</v>
      </c>
      <c r="AK311" s="3">
        <f t="shared" si="208"/>
        <v>-3.4091669208803167E-2</v>
      </c>
      <c r="AL311" s="3">
        <f t="shared" si="209"/>
        <v>0.40287003005973848</v>
      </c>
      <c r="AM311" s="3">
        <f t="shared" si="210"/>
        <v>-1.5721648592079591E-2</v>
      </c>
      <c r="AN311" s="3">
        <f t="shared" si="211"/>
        <v>0.18578676808363018</v>
      </c>
      <c r="AO311" s="3">
        <f t="shared" si="181"/>
        <v>0.99082374388643413</v>
      </c>
      <c r="AP311" s="3">
        <f t="shared" si="212"/>
        <v>-8.3546889442370931E-2</v>
      </c>
      <c r="AQ311" s="3">
        <f t="shared" si="213"/>
        <v>0.98729509707768437</v>
      </c>
      <c r="AR311" s="3"/>
      <c r="AS311" s="2"/>
      <c r="AT311" s="2"/>
    </row>
    <row r="312" spans="1:46">
      <c r="A312">
        <f t="shared" si="214"/>
        <v>309</v>
      </c>
      <c r="B312" s="1">
        <f t="shared" si="172"/>
        <v>38.109896999999997</v>
      </c>
      <c r="C312" s="1">
        <f t="shared" si="173"/>
        <v>239.45154488852737</v>
      </c>
      <c r="D312" s="1">
        <f t="shared" si="174"/>
        <v>0.63692520471737779</v>
      </c>
      <c r="E312" s="1">
        <f t="shared" si="175"/>
        <v>0.77092560185515069</v>
      </c>
      <c r="F312" s="2">
        <f t="shared" si="176"/>
        <v>20870.128182974317</v>
      </c>
      <c r="G312" s="2">
        <f t="shared" si="177"/>
        <v>25260.919195987724</v>
      </c>
      <c r="H312" s="2">
        <f t="shared" si="178"/>
        <v>5217.6912770447589</v>
      </c>
      <c r="I312" s="3">
        <f t="shared" si="182"/>
        <v>0.67335753226496586</v>
      </c>
      <c r="J312" s="3">
        <f t="shared" si="183"/>
        <v>0.45341036625796455</v>
      </c>
      <c r="K312" s="3">
        <f t="shared" si="184"/>
        <v>0.84290242558075534</v>
      </c>
      <c r="L312" s="3">
        <f t="shared" si="185"/>
        <v>0.53686579996979689</v>
      </c>
      <c r="M312" s="3">
        <f t="shared" si="186"/>
        <v>0.64981505974601017</v>
      </c>
      <c r="N312" s="3">
        <f t="shared" si="187"/>
        <v>0.24342051899568076</v>
      </c>
      <c r="O312" s="3">
        <f t="shared" si="188"/>
        <v>0.29463288423937961</v>
      </c>
      <c r="P312" s="3">
        <f t="shared" si="189"/>
        <v>0.74770665928973101</v>
      </c>
      <c r="Q312" s="3">
        <f t="shared" si="190"/>
        <v>0.47623321703665855</v>
      </c>
      <c r="R312" s="3">
        <f t="shared" si="191"/>
        <v>0.57642620632403996</v>
      </c>
      <c r="S312" s="3">
        <f t="shared" si="192"/>
        <v>0.21592907736080008</v>
      </c>
      <c r="T312" s="3">
        <f t="shared" si="193"/>
        <v>0.26135761733007201</v>
      </c>
      <c r="U312" s="3">
        <f t="shared" si="194"/>
        <v>-0.43472646587609098</v>
      </c>
      <c r="V312" s="3">
        <f t="shared" si="195"/>
        <v>-0.27688824327419143</v>
      </c>
      <c r="W312" s="3">
        <f t="shared" si="196"/>
        <v>-0.33514176234788806</v>
      </c>
      <c r="X312" s="3">
        <f t="shared" si="197"/>
        <v>-0.12554399979547551</v>
      </c>
      <c r="Y312" s="3">
        <f t="shared" si="198"/>
        <v>-0.15195674921449565</v>
      </c>
      <c r="Z312" s="3">
        <f t="shared" si="199"/>
        <v>-0.98502551985271791</v>
      </c>
      <c r="AA312" s="3">
        <f t="shared" si="200"/>
        <v>-0.62738758088403379</v>
      </c>
      <c r="AB312" s="3">
        <f t="shared" si="201"/>
        <v>-0.75938139173513919</v>
      </c>
      <c r="AC312" s="3">
        <f t="shared" si="202"/>
        <v>-0.28446403283432814</v>
      </c>
      <c r="AD312" s="3">
        <f t="shared" si="203"/>
        <v>-0.34431139495611235</v>
      </c>
      <c r="AE312" s="3">
        <f t="shared" si="179"/>
        <v>-0.10300277847937732</v>
      </c>
      <c r="AF312" s="3">
        <f t="shared" si="204"/>
        <v>-6.5605065769436116E-2</v>
      </c>
      <c r="AG312" s="3">
        <f t="shared" si="205"/>
        <v>-7.9407478991966721E-2</v>
      </c>
      <c r="AH312" s="3">
        <f t="shared" si="206"/>
        <v>-2.974601689889788E-2</v>
      </c>
      <c r="AI312" s="3">
        <f t="shared" si="207"/>
        <v>-3.600417413336926E-2</v>
      </c>
      <c r="AJ312" s="3">
        <f t="shared" si="180"/>
        <v>0.92879590435348536</v>
      </c>
      <c r="AK312" s="3">
        <f t="shared" si="208"/>
        <v>0.59157352152100573</v>
      </c>
      <c r="AL312" s="3">
        <f t="shared" si="209"/>
        <v>0.71603254156430962</v>
      </c>
      <c r="AM312" s="3">
        <f t="shared" si="210"/>
        <v>0.26822556706135309</v>
      </c>
      <c r="AN312" s="3">
        <f t="shared" si="211"/>
        <v>0.32465657692329486</v>
      </c>
      <c r="AO312" s="3">
        <f t="shared" si="181"/>
        <v>0.61003605806708394</v>
      </c>
      <c r="AP312" s="3">
        <f t="shared" si="212"/>
        <v>0.38854734116935963</v>
      </c>
      <c r="AQ312" s="3">
        <f t="shared" si="213"/>
        <v>0.47029241521871035</v>
      </c>
      <c r="AR312" s="3"/>
      <c r="AS312" s="2"/>
      <c r="AT312" s="2"/>
    </row>
    <row r="313" spans="1:46">
      <c r="A313">
        <f t="shared" si="214"/>
        <v>310</v>
      </c>
      <c r="B313" s="1">
        <f t="shared" si="172"/>
        <v>38.233229999999999</v>
      </c>
      <c r="C313" s="1">
        <f t="shared" si="173"/>
        <v>240.22646898201776</v>
      </c>
      <c r="D313" s="1">
        <f t="shared" si="174"/>
        <v>0.99445381934731303</v>
      </c>
      <c r="E313" s="1">
        <f t="shared" si="175"/>
        <v>0.10517414694468298</v>
      </c>
      <c r="F313" s="2">
        <f t="shared" si="176"/>
        <v>32585.268298553405</v>
      </c>
      <c r="G313" s="2">
        <f t="shared" si="177"/>
        <v>3446.2412729364273</v>
      </c>
      <c r="H313" s="2">
        <f t="shared" si="178"/>
        <v>8146.5656880931883</v>
      </c>
      <c r="I313" s="3">
        <f t="shared" si="182"/>
        <v>0.66758814021615376</v>
      </c>
      <c r="J313" s="3">
        <f t="shared" si="183"/>
        <v>0.44567392495726299</v>
      </c>
      <c r="K313" s="3">
        <f t="shared" si="184"/>
        <v>0.98278125303889408</v>
      </c>
      <c r="L313" s="3">
        <f t="shared" si="185"/>
        <v>0.97733057066746631</v>
      </c>
      <c r="M313" s="3">
        <f t="shared" si="186"/>
        <v>0.10336317992159232</v>
      </c>
      <c r="N313" s="3">
        <f t="shared" si="187"/>
        <v>0.43557075141009138</v>
      </c>
      <c r="O313" s="3">
        <f t="shared" si="188"/>
        <v>4.606627409171981E-2</v>
      </c>
      <c r="P313" s="3">
        <f t="shared" si="189"/>
        <v>8.6323059071140434E-2</v>
      </c>
      <c r="Q313" s="3">
        <f t="shared" si="190"/>
        <v>8.5844295791039318E-2</v>
      </c>
      <c r="R313" s="3">
        <f t="shared" si="191"/>
        <v>9.0789540994626727E-3</v>
      </c>
      <c r="S313" s="3">
        <f t="shared" si="192"/>
        <v>3.8258564240384749E-2</v>
      </c>
      <c r="T313" s="3">
        <f t="shared" si="193"/>
        <v>4.0462531080143627E-3</v>
      </c>
      <c r="U313" s="3">
        <f t="shared" si="194"/>
        <v>-0.93635328991815825</v>
      </c>
      <c r="V313" s="3">
        <f t="shared" si="195"/>
        <v>-0.93116010541753436</v>
      </c>
      <c r="W313" s="3">
        <f t="shared" si="196"/>
        <v>-9.8480158505989721E-2</v>
      </c>
      <c r="X313" s="3">
        <f t="shared" si="197"/>
        <v>-0.41499377894505129</v>
      </c>
      <c r="Y313" s="3">
        <f t="shared" si="198"/>
        <v>-4.3890038771777828E-2</v>
      </c>
      <c r="Z313" s="3">
        <f t="shared" si="199"/>
        <v>-0.58993097658573979</v>
      </c>
      <c r="AA313" s="3">
        <f t="shared" si="200"/>
        <v>-0.58665911281697924</v>
      </c>
      <c r="AB313" s="3">
        <f t="shared" si="201"/>
        <v>-6.2045487218648929E-2</v>
      </c>
      <c r="AC313" s="3">
        <f t="shared" si="202"/>
        <v>-0.26145866942108892</v>
      </c>
      <c r="AD313" s="3">
        <f t="shared" si="203"/>
        <v>-2.7652055814620966E-2</v>
      </c>
      <c r="AE313" s="3">
        <f t="shared" si="179"/>
        <v>0.61906502512047357</v>
      </c>
      <c r="AF313" s="3">
        <f t="shared" si="204"/>
        <v>0.6156315786553952</v>
      </c>
      <c r="AG313" s="3">
        <f t="shared" si="205"/>
        <v>6.5109635920334544E-2</v>
      </c>
      <c r="AH313" s="3">
        <f t="shared" si="206"/>
        <v>0.27437094198698597</v>
      </c>
      <c r="AI313" s="3">
        <f t="shared" si="207"/>
        <v>2.9017666993153897E-2</v>
      </c>
      <c r="AJ313" s="3">
        <f t="shared" si="180"/>
        <v>0.92288868759492881</v>
      </c>
      <c r="AK313" s="3">
        <f t="shared" si="208"/>
        <v>0.91777018021120615</v>
      </c>
      <c r="AL313" s="3">
        <f t="shared" si="209"/>
        <v>9.7064030442694668E-2</v>
      </c>
      <c r="AM313" s="3">
        <f t="shared" si="210"/>
        <v>0.40902623842346281</v>
      </c>
      <c r="AN313" s="3">
        <f t="shared" si="211"/>
        <v>4.3258907419566991E-2</v>
      </c>
      <c r="AO313" s="3">
        <f t="shared" si="181"/>
        <v>-0.12269890448870605</v>
      </c>
      <c r="AP313" s="3">
        <f t="shared" si="212"/>
        <v>-0.12201839419852489</v>
      </c>
      <c r="AQ313" s="3">
        <f t="shared" si="213"/>
        <v>-1.2904752610646792E-2</v>
      </c>
      <c r="AR313" s="3"/>
      <c r="AS313" s="2"/>
      <c r="AT313" s="2"/>
    </row>
    <row r="314" spans="1:46">
      <c r="A314">
        <f t="shared" si="214"/>
        <v>311</v>
      </c>
      <c r="B314" s="1">
        <f t="shared" si="172"/>
        <v>38.356563000000001</v>
      </c>
      <c r="C314" s="1">
        <f t="shared" si="173"/>
        <v>241.00139307550816</v>
      </c>
      <c r="D314" s="1">
        <f t="shared" si="174"/>
        <v>0.78409787992829882</v>
      </c>
      <c r="E314" s="1">
        <f t="shared" si="175"/>
        <v>-0.62063718442576987</v>
      </c>
      <c r="F314" s="2">
        <f t="shared" si="176"/>
        <v>25692.535231610567</v>
      </c>
      <c r="G314" s="2">
        <f t="shared" si="177"/>
        <v>-20336.4186220792</v>
      </c>
      <c r="H314" s="2">
        <f t="shared" si="178"/>
        <v>6423.329832372624</v>
      </c>
      <c r="I314" s="3">
        <f t="shared" si="182"/>
        <v>0.66177837959045671</v>
      </c>
      <c r="J314" s="3">
        <f t="shared" si="183"/>
        <v>0.43795062369337062</v>
      </c>
      <c r="K314" s="3">
        <f t="shared" si="184"/>
        <v>0.589930976585754</v>
      </c>
      <c r="L314" s="3">
        <f t="shared" si="185"/>
        <v>0.46256362804492063</v>
      </c>
      <c r="M314" s="3">
        <f t="shared" si="186"/>
        <v>-0.36613310031372714</v>
      </c>
      <c r="N314" s="3">
        <f t="shared" si="187"/>
        <v>0.2025800294001413</v>
      </c>
      <c r="O314" s="3">
        <f t="shared" si="188"/>
        <v>-0.16034821963718424</v>
      </c>
      <c r="P314" s="3">
        <f t="shared" si="189"/>
        <v>-0.62234920783923087</v>
      </c>
      <c r="Q314" s="3">
        <f t="shared" si="190"/>
        <v>-0.48798269444179715</v>
      </c>
      <c r="R314" s="3">
        <f t="shared" si="191"/>
        <v>0.38625306008294852</v>
      </c>
      <c r="S314" s="3">
        <f t="shared" si="192"/>
        <v>-0.21371232538235657</v>
      </c>
      <c r="T314" s="3">
        <f t="shared" si="193"/>
        <v>0.16915976856680026</v>
      </c>
      <c r="U314" s="3">
        <f t="shared" si="194"/>
        <v>-0.91963041117191358</v>
      </c>
      <c r="V314" s="3">
        <f t="shared" si="195"/>
        <v>-0.72108025571748713</v>
      </c>
      <c r="W314" s="3">
        <f t="shared" si="196"/>
        <v>0.5707568291020495</v>
      </c>
      <c r="X314" s="3">
        <f t="shared" si="197"/>
        <v>-0.31579754772444868</v>
      </c>
      <c r="Y314" s="3">
        <f t="shared" si="198"/>
        <v>0.24996330928249313</v>
      </c>
      <c r="Z314" s="3">
        <f t="shared" si="199"/>
        <v>0.13516030686141339</v>
      </c>
      <c r="AA314" s="3">
        <f t="shared" si="200"/>
        <v>0.10597891006049254</v>
      </c>
      <c r="AB314" s="3">
        <f t="shared" si="201"/>
        <v>-8.3885512296590678E-2</v>
      </c>
      <c r="AC314" s="3">
        <f t="shared" si="202"/>
        <v>4.6413529759336339E-2</v>
      </c>
      <c r="AD314" s="3">
        <f t="shared" si="203"/>
        <v>-3.67377124291298E-2</v>
      </c>
      <c r="AE314" s="3">
        <f t="shared" si="179"/>
        <v>0.99123374285352861</v>
      </c>
      <c r="AF314" s="3">
        <f t="shared" si="204"/>
        <v>0.77722427628484436</v>
      </c>
      <c r="AG314" s="3">
        <f t="shared" si="205"/>
        <v>-0.61519651927243157</v>
      </c>
      <c r="AH314" s="3">
        <f t="shared" si="206"/>
        <v>0.34038585654857617</v>
      </c>
      <c r="AI314" s="3">
        <f t="shared" si="207"/>
        <v>-0.26942569930935212</v>
      </c>
      <c r="AJ314" s="3">
        <f t="shared" si="180"/>
        <v>0.3899616029039864</v>
      </c>
      <c r="AK314" s="3">
        <f t="shared" si="208"/>
        <v>0.30576806609045687</v>
      </c>
      <c r="AL314" s="3">
        <f t="shared" si="209"/>
        <v>-0.24202467126049024</v>
      </c>
      <c r="AM314" s="3">
        <f t="shared" si="210"/>
        <v>0.13391131524983135</v>
      </c>
      <c r="AN314" s="3">
        <f t="shared" si="211"/>
        <v>-0.10599485572771469</v>
      </c>
      <c r="AO314" s="3">
        <f t="shared" si="181"/>
        <v>-0.78464535426354287</v>
      </c>
      <c r="AP314" s="3">
        <f t="shared" si="212"/>
        <v>-0.61523875877363299</v>
      </c>
      <c r="AQ314" s="3">
        <f t="shared" si="213"/>
        <v>0.48698008344288601</v>
      </c>
      <c r="AR314" s="3"/>
      <c r="AS314" s="2"/>
      <c r="AT314" s="2"/>
    </row>
    <row r="315" spans="1:46">
      <c r="A315">
        <f t="shared" si="214"/>
        <v>312</v>
      </c>
      <c r="B315" s="1">
        <f t="shared" si="172"/>
        <v>38.479895999999997</v>
      </c>
      <c r="C315" s="1">
        <f t="shared" si="173"/>
        <v>241.7763171689985</v>
      </c>
      <c r="D315" s="1">
        <f t="shared" si="174"/>
        <v>0.12598150537314137</v>
      </c>
      <c r="E315" s="1">
        <f t="shared" si="175"/>
        <v>-0.99203259034364244</v>
      </c>
      <c r="F315" s="2">
        <f t="shared" si="176"/>
        <v>4128.0359865617238</v>
      </c>
      <c r="G315" s="2">
        <f t="shared" si="177"/>
        <v>-32505.931887790131</v>
      </c>
      <c r="H315" s="2">
        <f t="shared" si="178"/>
        <v>1032.0404920167741</v>
      </c>
      <c r="I315" s="3">
        <f t="shared" si="182"/>
        <v>0.65592860169994005</v>
      </c>
      <c r="J315" s="3">
        <f t="shared" si="183"/>
        <v>0.43024233052803862</v>
      </c>
      <c r="K315" s="3">
        <f t="shared" si="184"/>
        <v>-0.12269890448869925</v>
      </c>
      <c r="L315" s="3">
        <f t="shared" si="185"/>
        <v>-1.5457792695121625E-2</v>
      </c>
      <c r="M315" s="3">
        <f t="shared" si="186"/>
        <v>0.12172131205225149</v>
      </c>
      <c r="N315" s="3">
        <f t="shared" si="187"/>
        <v>-6.6505967539684189E-3</v>
      </c>
      <c r="O315" s="3">
        <f t="shared" si="188"/>
        <v>5.2369660972291315E-2</v>
      </c>
      <c r="P315" s="3">
        <f t="shared" si="189"/>
        <v>-0.99009212664621338</v>
      </c>
      <c r="Q315" s="3">
        <f t="shared" si="190"/>
        <v>-0.1247332965729849</v>
      </c>
      <c r="R315" s="3">
        <f t="shared" si="191"/>
        <v>0.9822036570756888</v>
      </c>
      <c r="S315" s="3">
        <f t="shared" si="192"/>
        <v>-5.3665544212006033E-2</v>
      </c>
      <c r="T315" s="3">
        <f t="shared" si="193"/>
        <v>0.42258559047340677</v>
      </c>
      <c r="U315" s="3">
        <f t="shared" si="194"/>
        <v>-0.39381533887159648</v>
      </c>
      <c r="V315" s="3">
        <f t="shared" si="195"/>
        <v>-4.9613449230077523E-2</v>
      </c>
      <c r="W315" s="3">
        <f t="shared" si="196"/>
        <v>0.39067765073784921</v>
      </c>
      <c r="X315" s="3">
        <f t="shared" si="197"/>
        <v>-2.1345806022283077E-2</v>
      </c>
      <c r="Y315" s="3">
        <f t="shared" si="198"/>
        <v>0.16808606293867134</v>
      </c>
      <c r="Z315" s="3">
        <f t="shared" si="199"/>
        <v>0.78464535426353199</v>
      </c>
      <c r="AA315" s="3">
        <f t="shared" si="200"/>
        <v>9.8850802914161567E-2</v>
      </c>
      <c r="AB315" s="3">
        <f t="shared" si="201"/>
        <v>-0.77839376329115662</v>
      </c>
      <c r="AC315" s="3">
        <f t="shared" si="202"/>
        <v>4.2529799820356706E-2</v>
      </c>
      <c r="AD315" s="3">
        <f t="shared" si="203"/>
        <v>-0.33489794678687768</v>
      </c>
      <c r="AE315" s="3">
        <f t="shared" si="179"/>
        <v>0.80315149109055561</v>
      </c>
      <c r="AF315" s="3">
        <f t="shared" si="204"/>
        <v>0.10118223389027134</v>
      </c>
      <c r="AG315" s="3">
        <f t="shared" si="205"/>
        <v>-0.79675245414492279</v>
      </c>
      <c r="AH315" s="3">
        <f t="shared" si="206"/>
        <v>4.3532880116983433E-2</v>
      </c>
      <c r="AI315" s="3">
        <f t="shared" si="207"/>
        <v>-0.3427966327252458</v>
      </c>
      <c r="AJ315" s="3">
        <f t="shared" si="180"/>
        <v>-0.36565486483343707</v>
      </c>
      <c r="AK315" s="3">
        <f t="shared" si="208"/>
        <v>-4.6065750318728935E-2</v>
      </c>
      <c r="AL315" s="3">
        <f t="shared" si="209"/>
        <v>0.362741542732469</v>
      </c>
      <c r="AM315" s="3">
        <f t="shared" si="210"/>
        <v>-1.9819435774652672E-2</v>
      </c>
      <c r="AN315" s="3">
        <f t="shared" si="211"/>
        <v>0.15606676672455358</v>
      </c>
      <c r="AO315" s="3">
        <f t="shared" si="181"/>
        <v>-0.99390742254133135</v>
      </c>
      <c r="AP315" s="3">
        <f t="shared" si="212"/>
        <v>-0.12521395329329582</v>
      </c>
      <c r="AQ315" s="3">
        <f t="shared" si="213"/>
        <v>0.98598855494545012</v>
      </c>
      <c r="AR315" s="3"/>
      <c r="AS315" s="2"/>
      <c r="AT315" s="2"/>
    </row>
    <row r="316" spans="1:46">
      <c r="A316">
        <f t="shared" si="214"/>
        <v>313</v>
      </c>
      <c r="B316" s="1">
        <f t="shared" si="172"/>
        <v>38.603228999999999</v>
      </c>
      <c r="C316" s="1">
        <f t="shared" si="173"/>
        <v>242.5512412624889</v>
      </c>
      <c r="D316" s="1">
        <f t="shared" si="174"/>
        <v>-0.60407682325307832</v>
      </c>
      <c r="E316" s="1">
        <f t="shared" si="175"/>
        <v>-0.79692608917544494</v>
      </c>
      <c r="F316" s="2">
        <f t="shared" si="176"/>
        <v>-19793.785267533618</v>
      </c>
      <c r="G316" s="2">
        <f t="shared" si="177"/>
        <v>-26112.877164011803</v>
      </c>
      <c r="H316" s="2">
        <f t="shared" si="178"/>
        <v>-4948.5973360892176</v>
      </c>
      <c r="I316" s="3">
        <f t="shared" si="182"/>
        <v>0.65003916027648501</v>
      </c>
      <c r="J316" s="3">
        <f t="shared" si="183"/>
        <v>0.42255090989295774</v>
      </c>
      <c r="K316" s="3">
        <f t="shared" si="184"/>
        <v>-0.7688182805682694</v>
      </c>
      <c r="L316" s="3">
        <f t="shared" si="185"/>
        <v>0.46442530458457404</v>
      </c>
      <c r="M316" s="3">
        <f t="shared" si="186"/>
        <v>0.61269134561986094</v>
      </c>
      <c r="N316" s="3">
        <f t="shared" si="187"/>
        <v>0.19624333502952582</v>
      </c>
      <c r="O316" s="3">
        <f t="shared" si="188"/>
        <v>0.25889328557521291</v>
      </c>
      <c r="P316" s="3">
        <f t="shared" si="189"/>
        <v>-0.81545231394494666</v>
      </c>
      <c r="Q316" s="3">
        <f t="shared" si="190"/>
        <v>0.49259584332223527</v>
      </c>
      <c r="R316" s="3">
        <f t="shared" si="191"/>
        <v>0.64985522346121349</v>
      </c>
      <c r="S316" s="3">
        <f t="shared" si="192"/>
        <v>0.20814682180529939</v>
      </c>
      <c r="T316" s="3">
        <f t="shared" si="193"/>
        <v>0.27459691597222718</v>
      </c>
      <c r="U316" s="3">
        <f t="shared" si="194"/>
        <v>0.35000939501210926</v>
      </c>
      <c r="V316" s="3">
        <f t="shared" si="195"/>
        <v>-0.2114325634476468</v>
      </c>
      <c r="W316" s="3">
        <f t="shared" si="196"/>
        <v>-0.27893161834166369</v>
      </c>
      <c r="X316" s="3">
        <f t="shared" si="197"/>
        <v>-8.9341022065803674E-2</v>
      </c>
      <c r="Y316" s="3">
        <f t="shared" si="198"/>
        <v>-0.11786280912818523</v>
      </c>
      <c r="Z316" s="3">
        <f t="shared" si="199"/>
        <v>0.99521395316337902</v>
      </c>
      <c r="AA316" s="3">
        <f t="shared" si="200"/>
        <v>-0.60118568328407185</v>
      </c>
      <c r="AB316" s="3">
        <f t="shared" si="201"/>
        <v>-0.79311196358732605</v>
      </c>
      <c r="AC316" s="3">
        <f t="shared" si="202"/>
        <v>-0.25403155748630407</v>
      </c>
      <c r="AD316" s="3">
        <f t="shared" si="203"/>
        <v>-0.335130181860815</v>
      </c>
      <c r="AE316" s="3">
        <f t="shared" si="179"/>
        <v>0.16112343211533309</v>
      </c>
      <c r="AF316" s="3">
        <f t="shared" si="204"/>
        <v>-9.7330931023863435E-2</v>
      </c>
      <c r="AG316" s="3">
        <f t="shared" si="205"/>
        <v>-0.12840346663019769</v>
      </c>
      <c r="AH316" s="3">
        <f t="shared" si="206"/>
        <v>-4.1127273464862196E-2</v>
      </c>
      <c r="AI316" s="3">
        <f t="shared" si="207"/>
        <v>-5.4257001658000063E-2</v>
      </c>
      <c r="AJ316" s="3">
        <f t="shared" si="180"/>
        <v>-0.91246242510068221</v>
      </c>
      <c r="AK316" s="3">
        <f t="shared" si="208"/>
        <v>0.55119740309262</v>
      </c>
      <c r="AL316" s="3">
        <f t="shared" si="209"/>
        <v>0.72716511195502898</v>
      </c>
      <c r="AM316" s="3">
        <f t="shared" si="210"/>
        <v>0.23290896420742199</v>
      </c>
      <c r="AN316" s="3">
        <f t="shared" si="211"/>
        <v>0.30726427969901199</v>
      </c>
      <c r="AO316" s="3">
        <f t="shared" si="181"/>
        <v>-0.62975582769902838</v>
      </c>
      <c r="AP316" s="3">
        <f t="shared" si="212"/>
        <v>0.38042089982154204</v>
      </c>
      <c r="AQ316" s="3">
        <f t="shared" si="213"/>
        <v>0.50186884890363204</v>
      </c>
      <c r="AR316" s="3"/>
      <c r="AS316" s="2"/>
      <c r="AT316" s="2"/>
    </row>
    <row r="317" spans="1:46">
      <c r="A317">
        <f t="shared" si="214"/>
        <v>314</v>
      </c>
      <c r="B317" s="1">
        <f t="shared" si="172"/>
        <v>38.726562000000001</v>
      </c>
      <c r="C317" s="1">
        <f t="shared" si="173"/>
        <v>243.3261653559793</v>
      </c>
      <c r="D317" s="1">
        <f t="shared" si="174"/>
        <v>-0.98917604899251865</v>
      </c>
      <c r="E317" s="1">
        <f t="shared" si="175"/>
        <v>-0.14673358204429632</v>
      </c>
      <c r="F317" s="2">
        <f t="shared" si="176"/>
        <v>-32412.331597337859</v>
      </c>
      <c r="G317" s="2">
        <f t="shared" si="177"/>
        <v>-4808.0192828454574</v>
      </c>
      <c r="H317" s="2">
        <f t="shared" si="178"/>
        <v>-8103.3301933467128</v>
      </c>
      <c r="I317" s="3">
        <f t="shared" si="182"/>
        <v>0.64411041145039782</v>
      </c>
      <c r="J317" s="3">
        <f t="shared" si="183"/>
        <v>0.41487822213880077</v>
      </c>
      <c r="K317" s="3">
        <f t="shared" si="184"/>
        <v>-0.99818990895594573</v>
      </c>
      <c r="L317" s="3">
        <f t="shared" si="185"/>
        <v>0.98738555028524433</v>
      </c>
      <c r="M317" s="3">
        <f t="shared" si="186"/>
        <v>0.14646798090157592</v>
      </c>
      <c r="N317" s="3">
        <f t="shared" si="187"/>
        <v>0.40964476166788361</v>
      </c>
      <c r="O317" s="3">
        <f t="shared" si="188"/>
        <v>6.0766375516705648E-2</v>
      </c>
      <c r="P317" s="3">
        <f t="shared" si="189"/>
        <v>-0.19409926966762678</v>
      </c>
      <c r="Q317" s="3">
        <f t="shared" si="190"/>
        <v>0.19199834868215648</v>
      </c>
      <c r="R317" s="3">
        <f t="shared" si="191"/>
        <v>2.848088111051271E-2</v>
      </c>
      <c r="S317" s="3">
        <f t="shared" si="192"/>
        <v>7.9655933554838645E-2</v>
      </c>
      <c r="T317" s="3">
        <f t="shared" si="193"/>
        <v>1.1816097320076066E-2</v>
      </c>
      <c r="U317" s="3">
        <f t="shared" si="194"/>
        <v>0.9000747136931585</v>
      </c>
      <c r="V317" s="3">
        <f t="shared" si="195"/>
        <v>-0.890332349089071</v>
      </c>
      <c r="W317" s="3">
        <f t="shared" si="196"/>
        <v>-0.13207118684769159</v>
      </c>
      <c r="X317" s="3">
        <f t="shared" si="197"/>
        <v>-0.3693795021027359</v>
      </c>
      <c r="Y317" s="3">
        <f t="shared" si="198"/>
        <v>-5.479345919513165E-2</v>
      </c>
      <c r="Z317" s="3">
        <f t="shared" si="199"/>
        <v>0.64907783005237241</v>
      </c>
      <c r="AA317" s="3">
        <f t="shared" si="200"/>
        <v>-0.64205224341984324</v>
      </c>
      <c r="AB317" s="3">
        <f t="shared" si="201"/>
        <v>-9.5241515029123605E-2</v>
      </c>
      <c r="AC317" s="3">
        <f t="shared" si="202"/>
        <v>-0.26637349327025311</v>
      </c>
      <c r="AD317" s="3">
        <f t="shared" si="203"/>
        <v>-3.9513630429088675E-2</v>
      </c>
      <c r="AE317" s="3">
        <f t="shared" si="179"/>
        <v>-0.5719725103958937</v>
      </c>
      <c r="AF317" s="3">
        <f t="shared" si="204"/>
        <v>0.56578150796574245</v>
      </c>
      <c r="AG317" s="3">
        <f t="shared" si="205"/>
        <v>8.3927575281257993E-2</v>
      </c>
      <c r="AH317" s="3">
        <f t="shared" si="206"/>
        <v>0.23473042614383696</v>
      </c>
      <c r="AI317" s="3">
        <f t="shared" si="207"/>
        <v>3.4819723221108677E-2</v>
      </c>
      <c r="AJ317" s="3">
        <f t="shared" si="180"/>
        <v>-0.93820408301839564</v>
      </c>
      <c r="AK317" s="3">
        <f t="shared" si="208"/>
        <v>0.92804900798878553</v>
      </c>
      <c r="AL317" s="3">
        <f t="shared" si="209"/>
        <v>0.13766604578987354</v>
      </c>
      <c r="AM317" s="3">
        <f t="shared" si="210"/>
        <v>0.38502732249206506</v>
      </c>
      <c r="AN317" s="3">
        <f t="shared" si="211"/>
        <v>5.7114644326181477E-2</v>
      </c>
      <c r="AO317" s="3">
        <f t="shared" si="181"/>
        <v>9.7719943864681844E-2</v>
      </c>
      <c r="AP317" s="3">
        <f t="shared" si="212"/>
        <v>-9.6662227979836701E-2</v>
      </c>
      <c r="AQ317" s="3">
        <f t="shared" si="213"/>
        <v>-1.4338797400432323E-2</v>
      </c>
      <c r="AR317" s="3"/>
      <c r="AS317" s="2"/>
      <c r="AT317" s="2"/>
    </row>
    <row r="318" spans="1:46">
      <c r="A318">
        <f t="shared" si="214"/>
        <v>315</v>
      </c>
      <c r="B318" s="1">
        <f t="shared" si="172"/>
        <v>38.849894999999997</v>
      </c>
      <c r="C318" s="1">
        <f t="shared" si="173"/>
        <v>244.10108944946964</v>
      </c>
      <c r="D318" s="1">
        <f t="shared" si="174"/>
        <v>-0.80940460046910734</v>
      </c>
      <c r="E318" s="1">
        <f t="shared" si="175"/>
        <v>0.58725138802683541</v>
      </c>
      <c r="F318" s="2">
        <f t="shared" si="176"/>
        <v>-26521.760543571239</v>
      </c>
      <c r="G318" s="2">
        <f t="shared" si="177"/>
        <v>19242.466231475315</v>
      </c>
      <c r="H318" s="2">
        <f t="shared" si="178"/>
        <v>-6630.6424870429273</v>
      </c>
      <c r="I318" s="3">
        <f t="shared" si="182"/>
        <v>0.63814271372887543</v>
      </c>
      <c r="J318" s="3">
        <f t="shared" si="183"/>
        <v>0.40722612308525347</v>
      </c>
      <c r="K318" s="3">
        <f t="shared" si="184"/>
        <v>-0.68647997510679493</v>
      </c>
      <c r="L318" s="3">
        <f t="shared" si="185"/>
        <v>0.55564004998135808</v>
      </c>
      <c r="M318" s="3">
        <f t="shared" si="186"/>
        <v>-0.40313631823409274</v>
      </c>
      <c r="N318" s="3">
        <f t="shared" si="187"/>
        <v>0.22627114338480492</v>
      </c>
      <c r="O318" s="3">
        <f t="shared" si="188"/>
        <v>-0.16416763994933256</v>
      </c>
      <c r="P318" s="3">
        <f t="shared" si="189"/>
        <v>0.53358336680905982</v>
      </c>
      <c r="Q318" s="3">
        <f t="shared" si="190"/>
        <v>-0.43188483182904819</v>
      </c>
      <c r="R318" s="3">
        <f t="shared" si="191"/>
        <v>0.31334757278665243</v>
      </c>
      <c r="S318" s="3">
        <f t="shared" si="192"/>
        <v>-0.17587478568506998</v>
      </c>
      <c r="T318" s="3">
        <f t="shared" si="193"/>
        <v>0.12760331724408275</v>
      </c>
      <c r="U318" s="3">
        <f t="shared" si="194"/>
        <v>0.95187354967636117</v>
      </c>
      <c r="V318" s="3">
        <f t="shared" si="195"/>
        <v>-0.77045083017290616</v>
      </c>
      <c r="W318" s="3">
        <f t="shared" si="196"/>
        <v>0.55898906327347397</v>
      </c>
      <c r="X318" s="3">
        <f t="shared" si="197"/>
        <v>-0.31374770459912754</v>
      </c>
      <c r="Y318" s="3">
        <f t="shared" si="198"/>
        <v>0.22763494908391424</v>
      </c>
      <c r="Z318" s="3">
        <f t="shared" si="199"/>
        <v>-6.0140715480630616E-2</v>
      </c>
      <c r="AA318" s="3">
        <f t="shared" si="200"/>
        <v>4.8678171785526081E-2</v>
      </c>
      <c r="AB318" s="3">
        <f t="shared" si="201"/>
        <v>-3.531771864292732E-2</v>
      </c>
      <c r="AC318" s="3">
        <f t="shared" si="202"/>
        <v>1.9823023175097758E-2</v>
      </c>
      <c r="AD318" s="3">
        <f t="shared" si="203"/>
        <v>-1.4382297639175071E-2</v>
      </c>
      <c r="AE318" s="3">
        <f t="shared" si="179"/>
        <v>-0.98178632517013797</v>
      </c>
      <c r="AF318" s="3">
        <f t="shared" si="204"/>
        <v>0.79466236827036862</v>
      </c>
      <c r="AG318" s="3">
        <f t="shared" si="205"/>
        <v>-0.57655538220192948</v>
      </c>
      <c r="AH318" s="3">
        <f t="shared" si="206"/>
        <v>0.32360727539248818</v>
      </c>
      <c r="AI318" s="3">
        <f t="shared" si="207"/>
        <v>-0.2347884130380283</v>
      </c>
      <c r="AJ318" s="3">
        <f t="shared" si="180"/>
        <v>-0.42817994537249632</v>
      </c>
      <c r="AK318" s="3">
        <f t="shared" si="208"/>
        <v>0.34657081761310959</v>
      </c>
      <c r="AL318" s="3">
        <f t="shared" si="209"/>
        <v>-0.25144926724525302</v>
      </c>
      <c r="AM318" s="3">
        <f t="shared" si="210"/>
        <v>0.1411326904310731</v>
      </c>
      <c r="AN318" s="3">
        <f t="shared" si="211"/>
        <v>-0.10239671025291219</v>
      </c>
      <c r="AO318" s="3">
        <f t="shared" si="181"/>
        <v>0.76881828056826684</v>
      </c>
      <c r="AP318" s="3">
        <f t="shared" si="212"/>
        <v>-0.62228505321670413</v>
      </c>
      <c r="AQ318" s="3">
        <f t="shared" si="213"/>
        <v>0.45148960240411967</v>
      </c>
      <c r="AR318" s="3"/>
      <c r="AS318" s="2"/>
      <c r="AT318" s="2"/>
    </row>
    <row r="319" spans="1:46">
      <c r="A319">
        <f t="shared" si="214"/>
        <v>316</v>
      </c>
      <c r="B319" s="1">
        <f t="shared" si="172"/>
        <v>38.973227999999999</v>
      </c>
      <c r="C319" s="1">
        <f t="shared" si="173"/>
        <v>244.87601354296004</v>
      </c>
      <c r="D319" s="1">
        <f t="shared" si="174"/>
        <v>-0.16742127077032026</v>
      </c>
      <c r="E319" s="1">
        <f t="shared" si="175"/>
        <v>0.98588544876859352</v>
      </c>
      <c r="F319" s="2">
        <f t="shared" si="176"/>
        <v>-5485.8927793310841</v>
      </c>
      <c r="G319" s="2">
        <f t="shared" si="177"/>
        <v>32304.508499800504</v>
      </c>
      <c r="H319" s="2">
        <f t="shared" si="178"/>
        <v>-1371.5150501504636</v>
      </c>
      <c r="I319" s="3">
        <f t="shared" si="182"/>
        <v>0.63213642797432645</v>
      </c>
      <c r="J319" s="3">
        <f t="shared" si="183"/>
        <v>0.39959646357214079</v>
      </c>
      <c r="K319" s="3">
        <f t="shared" si="184"/>
        <v>-2.6548214557849423E-3</v>
      </c>
      <c r="L319" s="3">
        <f t="shared" si="185"/>
        <v>4.4447358179582666E-4</v>
      </c>
      <c r="M319" s="3">
        <f t="shared" si="186"/>
        <v>-2.6173498423370284E-3</v>
      </c>
      <c r="N319" s="3">
        <f t="shared" si="187"/>
        <v>1.77610071436855E-4</v>
      </c>
      <c r="O319" s="3">
        <f t="shared" si="188"/>
        <v>-1.0458837409289769E-3</v>
      </c>
      <c r="P319" s="3">
        <f t="shared" si="189"/>
        <v>0.96896350315622082</v>
      </c>
      <c r="Q319" s="3">
        <f t="shared" si="190"/>
        <v>-0.1622251010284757</v>
      </c>
      <c r="R319" s="3">
        <f t="shared" si="191"/>
        <v>0.9552870181495593</v>
      </c>
      <c r="S319" s="3">
        <f t="shared" si="192"/>
        <v>-6.4824576673612161E-2</v>
      </c>
      <c r="T319" s="3">
        <f t="shared" si="193"/>
        <v>0.38172931414893935</v>
      </c>
      <c r="U319" s="3">
        <f t="shared" si="194"/>
        <v>0.47673092362884428</v>
      </c>
      <c r="V319" s="3">
        <f t="shared" si="195"/>
        <v>-7.9814897049449607E-2</v>
      </c>
      <c r="W319" s="3">
        <f t="shared" si="196"/>
        <v>0.47000208058368925</v>
      </c>
      <c r="X319" s="3">
        <f t="shared" si="197"/>
        <v>-3.1893750601334557E-2</v>
      </c>
      <c r="Y319" s="3">
        <f t="shared" si="198"/>
        <v>0.18781116927279054</v>
      </c>
      <c r="Z319" s="3">
        <f t="shared" si="199"/>
        <v>-0.73571763030017989</v>
      </c>
      <c r="AA319" s="3">
        <f t="shared" si="200"/>
        <v>0.1231747805929848</v>
      </c>
      <c r="AB319" s="3">
        <f t="shared" si="201"/>
        <v>-0.72533330611545899</v>
      </c>
      <c r="AC319" s="3">
        <f t="shared" si="202"/>
        <v>4.9220206726231085E-2</v>
      </c>
      <c r="AD319" s="3">
        <f t="shared" si="203"/>
        <v>-0.28984062403482647</v>
      </c>
      <c r="AE319" s="3">
        <f t="shared" si="179"/>
        <v>-0.8366889048495858</v>
      </c>
      <c r="AF319" s="3">
        <f t="shared" si="204"/>
        <v>0.14007951968934523</v>
      </c>
      <c r="AG319" s="3">
        <f t="shared" si="205"/>
        <v>-0.82487941643733698</v>
      </c>
      <c r="AH319" s="3">
        <f t="shared" si="206"/>
        <v>5.5975280686746419E-2</v>
      </c>
      <c r="AI319" s="3">
        <f t="shared" si="207"/>
        <v>-0.32961889768181107</v>
      </c>
      <c r="AJ319" s="3">
        <f t="shared" si="180"/>
        <v>0.32635833714779378</v>
      </c>
      <c r="AK319" s="3">
        <f t="shared" si="208"/>
        <v>-5.4639327531772253E-2</v>
      </c>
      <c r="AL319" s="3">
        <f t="shared" si="209"/>
        <v>0.32175193567832461</v>
      </c>
      <c r="AM319" s="3">
        <f t="shared" si="210"/>
        <v>-2.18336820536561E-2</v>
      </c>
      <c r="AN319" s="3">
        <f t="shared" si="211"/>
        <v>0.12857093564454944</v>
      </c>
      <c r="AO319" s="3">
        <f t="shared" si="181"/>
        <v>0.99636332796533877</v>
      </c>
      <c r="AP319" s="3">
        <f t="shared" si="212"/>
        <v>-0.1668124145169024</v>
      </c>
      <c r="AQ319" s="3">
        <f t="shared" si="213"/>
        <v>0.98230010672767731</v>
      </c>
      <c r="AR319" s="3"/>
      <c r="AS319" s="2"/>
      <c r="AT319" s="2"/>
    </row>
    <row r="320" spans="1:46">
      <c r="A320">
        <f t="shared" si="214"/>
        <v>317</v>
      </c>
      <c r="B320" s="1">
        <f t="shared" si="172"/>
        <v>39.096561000000001</v>
      </c>
      <c r="C320" s="1">
        <f t="shared" si="173"/>
        <v>245.65093763645044</v>
      </c>
      <c r="D320" s="1">
        <f t="shared" si="174"/>
        <v>0.57016826189132797</v>
      </c>
      <c r="E320" s="1">
        <f t="shared" si="175"/>
        <v>0.82152793813224756</v>
      </c>
      <c r="F320" s="2">
        <f t="shared" si="176"/>
        <v>18682.703437393142</v>
      </c>
      <c r="G320" s="2">
        <f t="shared" si="177"/>
        <v>26919.005948779355</v>
      </c>
      <c r="H320" s="2">
        <f t="shared" si="178"/>
        <v>4670.8184014137587</v>
      </c>
      <c r="I320" s="3">
        <f t="shared" si="182"/>
        <v>0.62609191738255032</v>
      </c>
      <c r="J320" s="3">
        <f t="shared" si="183"/>
        <v>0.39199108901175822</v>
      </c>
      <c r="K320" s="3">
        <f t="shared" si="184"/>
        <v>0.68260941200140868</v>
      </c>
      <c r="L320" s="3">
        <f t="shared" si="185"/>
        <v>0.38920222199150456</v>
      </c>
      <c r="M320" s="3">
        <f t="shared" si="186"/>
        <v>0.56078270279118314</v>
      </c>
      <c r="N320" s="3">
        <f t="shared" si="187"/>
        <v>0.15256380284424595</v>
      </c>
      <c r="O320" s="3">
        <f t="shared" si="188"/>
        <v>0.21982182236607303</v>
      </c>
      <c r="P320" s="3">
        <f t="shared" si="189"/>
        <v>0.87353538698864552</v>
      </c>
      <c r="Q320" s="3">
        <f t="shared" si="190"/>
        <v>0.49806215329988457</v>
      </c>
      <c r="R320" s="3">
        <f t="shared" si="191"/>
        <v>0.71763372535833692</v>
      </c>
      <c r="S320" s="3">
        <f t="shared" si="192"/>
        <v>0.19523592586756303</v>
      </c>
      <c r="T320" s="3">
        <f t="shared" si="193"/>
        <v>0.28130602551477951</v>
      </c>
      <c r="U320" s="3">
        <f t="shared" si="194"/>
        <v>-0.26232206107676354</v>
      </c>
      <c r="V320" s="3">
        <f t="shared" si="195"/>
        <v>-0.14956771361988905</v>
      </c>
      <c r="W320" s="3">
        <f t="shared" si="196"/>
        <v>-0.21550490196299507</v>
      </c>
      <c r="X320" s="3">
        <f t="shared" si="197"/>
        <v>-5.862921094285909E-2</v>
      </c>
      <c r="Y320" s="3">
        <f t="shared" si="198"/>
        <v>-8.4476001207846624E-2</v>
      </c>
      <c r="Z320" s="3">
        <f t="shared" si="199"/>
        <v>-0.99974738226811022</v>
      </c>
      <c r="AA320" s="3">
        <f t="shared" si="200"/>
        <v>-0.57002422727821345</v>
      </c>
      <c r="AB320" s="3">
        <f t="shared" si="201"/>
        <v>-0.82132040560783248</v>
      </c>
      <c r="AC320" s="3">
        <f t="shared" si="202"/>
        <v>-0.22344441761387288</v>
      </c>
      <c r="AD320" s="3">
        <f t="shared" si="203"/>
        <v>-0.32195028022179323</v>
      </c>
      <c r="AE320" s="3">
        <f t="shared" si="179"/>
        <v>-0.21869013962615236</v>
      </c>
      <c r="AF320" s="3">
        <f t="shared" si="204"/>
        <v>-0.12469017680341511</v>
      </c>
      <c r="AG320" s="3">
        <f t="shared" si="205"/>
        <v>-0.17966005949692626</v>
      </c>
      <c r="AH320" s="3">
        <f t="shared" si="206"/>
        <v>-4.887743819423937E-2</v>
      </c>
      <c r="AI320" s="3">
        <f t="shared" si="207"/>
        <v>-7.0425142374117414E-2</v>
      </c>
      <c r="AJ320" s="3">
        <f t="shared" si="180"/>
        <v>0.89452817669742479</v>
      </c>
      <c r="AK320" s="3">
        <f t="shared" si="208"/>
        <v>0.51003157572038937</v>
      </c>
      <c r="AL320" s="3">
        <f t="shared" si="209"/>
        <v>0.73487988860343423</v>
      </c>
      <c r="AM320" s="3">
        <f t="shared" si="210"/>
        <v>0.19992783279701848</v>
      </c>
      <c r="AN320" s="3">
        <f t="shared" si="211"/>
        <v>0.28806636782649975</v>
      </c>
      <c r="AO320" s="3">
        <f t="shared" si="181"/>
        <v>0.64907783005236719</v>
      </c>
      <c r="AP320" s="3">
        <f t="shared" si="212"/>
        <v>0.37008357819315296</v>
      </c>
      <c r="AQ320" s="3">
        <f t="shared" si="213"/>
        <v>0.53323557141027456</v>
      </c>
      <c r="AR320" s="3"/>
      <c r="AS320" s="2"/>
      <c r="AT320" s="2"/>
    </row>
    <row r="321" spans="1:46">
      <c r="A321">
        <f t="shared" si="214"/>
        <v>318</v>
      </c>
      <c r="B321" s="1">
        <f t="shared" si="172"/>
        <v>39.219893999999996</v>
      </c>
      <c r="C321" s="1">
        <f t="shared" si="173"/>
        <v>246.42586172994078</v>
      </c>
      <c r="D321" s="1">
        <f t="shared" si="174"/>
        <v>0.98216223361527077</v>
      </c>
      <c r="E321" s="1">
        <f t="shared" si="175"/>
        <v>0.18803549361719524</v>
      </c>
      <c r="F321" s="2">
        <f t="shared" si="176"/>
        <v>32182.509908871576</v>
      </c>
      <c r="G321" s="2">
        <f t="shared" si="177"/>
        <v>6161.3590193546361</v>
      </c>
      <c r="H321" s="2">
        <f t="shared" si="178"/>
        <v>8045.8730177762982</v>
      </c>
      <c r="I321" s="3">
        <f t="shared" si="182"/>
        <v>0.62000954746077508</v>
      </c>
      <c r="J321" s="3">
        <f t="shared" si="183"/>
        <v>0.38441183894251513</v>
      </c>
      <c r="K321" s="3">
        <f t="shared" si="184"/>
        <v>0.99785651371900952</v>
      </c>
      <c r="L321" s="3">
        <f t="shared" si="185"/>
        <v>0.98005698234180949</v>
      </c>
      <c r="M321" s="3">
        <f t="shared" si="186"/>
        <v>0.18763244211628752</v>
      </c>
      <c r="N321" s="3">
        <f t="shared" si="187"/>
        <v>0.37674550685046704</v>
      </c>
      <c r="O321" s="3">
        <f t="shared" si="188"/>
        <v>7.2128132119197108E-2</v>
      </c>
      <c r="P321" s="3">
        <f t="shared" si="189"/>
        <v>0.29957552967000772</v>
      </c>
      <c r="Q321" s="3">
        <f t="shared" si="190"/>
        <v>0.2942317713571726</v>
      </c>
      <c r="R321" s="3">
        <f t="shared" si="191"/>
        <v>5.6330832597132618E-2</v>
      </c>
      <c r="S321" s="3">
        <f t="shared" si="192"/>
        <v>0.11310617630272436</v>
      </c>
      <c r="T321" s="3">
        <f t="shared" si="193"/>
        <v>2.1654238947826726E-2</v>
      </c>
      <c r="U321" s="3">
        <f t="shared" si="194"/>
        <v>-0.85615788911940338</v>
      </c>
      <c r="V321" s="3">
        <f t="shared" si="195"/>
        <v>-0.84088594470484856</v>
      </c>
      <c r="W321" s="3">
        <f t="shared" si="196"/>
        <v>-0.16098807129482293</v>
      </c>
      <c r="X321" s="3">
        <f t="shared" si="197"/>
        <v>-0.32324651234490492</v>
      </c>
      <c r="Y321" s="3">
        <f t="shared" si="198"/>
        <v>-6.1885720534251613E-2</v>
      </c>
      <c r="Z321" s="3">
        <f t="shared" si="199"/>
        <v>-0.70453649381137673</v>
      </c>
      <c r="AA321" s="3">
        <f t="shared" si="200"/>
        <v>-0.69196913642525315</v>
      </c>
      <c r="AB321" s="3">
        <f t="shared" si="201"/>
        <v>-0.13247786738515024</v>
      </c>
      <c r="AC321" s="3">
        <f t="shared" si="202"/>
        <v>-0.26600112822469568</v>
      </c>
      <c r="AD321" s="3">
        <f t="shared" si="203"/>
        <v>-5.0926060620708251E-2</v>
      </c>
      <c r="AE321" s="3">
        <f t="shared" si="179"/>
        <v>0.52291354081340702</v>
      </c>
      <c r="AF321" s="3">
        <f t="shared" si="204"/>
        <v>0.51358593123296592</v>
      </c>
      <c r="AG321" s="3">
        <f t="shared" si="205"/>
        <v>9.832630576596435E-2</v>
      </c>
      <c r="AH321" s="3">
        <f t="shared" si="206"/>
        <v>0.19742851228026853</v>
      </c>
      <c r="AI321" s="3">
        <f t="shared" si="207"/>
        <v>3.7797796015918386E-2</v>
      </c>
      <c r="AJ321" s="3">
        <f t="shared" si="180"/>
        <v>0.95187354967635907</v>
      </c>
      <c r="AK321" s="3">
        <f t="shared" si="208"/>
        <v>0.93489425166942919</v>
      </c>
      <c r="AL321" s="3">
        <f t="shared" si="209"/>
        <v>0.17898601277454598</v>
      </c>
      <c r="AM321" s="3">
        <f t="shared" si="210"/>
        <v>0.35938441850103181</v>
      </c>
      <c r="AN321" s="3">
        <f t="shared" si="211"/>
        <v>6.8804342315651731E-2</v>
      </c>
      <c r="AO321" s="3">
        <f t="shared" si="181"/>
        <v>-7.2679261229670444E-2</v>
      </c>
      <c r="AP321" s="3">
        <f t="shared" si="212"/>
        <v>-7.1382825546840875E-2</v>
      </c>
      <c r="AQ321" s="3">
        <f t="shared" si="213"/>
        <v>-1.3666280761054162E-2</v>
      </c>
      <c r="AR321" s="3"/>
      <c r="AS321" s="2"/>
      <c r="AT321" s="2"/>
    </row>
    <row r="322" spans="1:46">
      <c r="A322">
        <f t="shared" si="214"/>
        <v>319</v>
      </c>
      <c r="B322" s="1">
        <f t="shared" si="172"/>
        <v>39.343226999999999</v>
      </c>
      <c r="C322" s="1">
        <f t="shared" si="173"/>
        <v>247.20078582343118</v>
      </c>
      <c r="D322" s="1">
        <f t="shared" si="174"/>
        <v>0.83329078234113896</v>
      </c>
      <c r="E322" s="1">
        <f t="shared" si="175"/>
        <v>-0.55283494106766851</v>
      </c>
      <c r="F322" s="2">
        <f t="shared" si="176"/>
        <v>27304.439064972099</v>
      </c>
      <c r="G322" s="2">
        <f t="shared" si="177"/>
        <v>-18114.742513964295</v>
      </c>
      <c r="H322" s="2">
        <f t="shared" si="178"/>
        <v>6826.3180889386103</v>
      </c>
      <c r="I322" s="3">
        <f t="shared" si="182"/>
        <v>0.61388968600555527</v>
      </c>
      <c r="J322" s="3">
        <f t="shared" si="183"/>
        <v>0.37686054658399926</v>
      </c>
      <c r="K322" s="3">
        <f t="shared" si="184"/>
        <v>0.77220277433710305</v>
      </c>
      <c r="L322" s="3">
        <f t="shared" si="185"/>
        <v>0.64346945395336264</v>
      </c>
      <c r="M322" s="3">
        <f t="shared" si="186"/>
        <v>-0.42690067524294251</v>
      </c>
      <c r="N322" s="3">
        <f t="shared" si="187"/>
        <v>0.24249825012697174</v>
      </c>
      <c r="O322" s="3">
        <f t="shared" si="188"/>
        <v>-0.16088202180913366</v>
      </c>
      <c r="P322" s="3">
        <f t="shared" si="189"/>
        <v>-0.4384949085759306</v>
      </c>
      <c r="Q322" s="3">
        <f t="shared" si="190"/>
        <v>-0.36539376541984342</v>
      </c>
      <c r="R322" s="3">
        <f t="shared" si="191"/>
        <v>0.24241530694104729</v>
      </c>
      <c r="S322" s="3">
        <f t="shared" si="192"/>
        <v>-0.1377024941545078</v>
      </c>
      <c r="T322" s="3">
        <f t="shared" si="193"/>
        <v>9.1356765074131027E-2</v>
      </c>
      <c r="U322" s="3">
        <f t="shared" si="194"/>
        <v>-0.97603886257539207</v>
      </c>
      <c r="V322" s="3">
        <f t="shared" si="195"/>
        <v>-0.81332418739080392</v>
      </c>
      <c r="W322" s="3">
        <f t="shared" si="196"/>
        <v>0.53958838707162105</v>
      </c>
      <c r="X322" s="3">
        <f t="shared" si="197"/>
        <v>-0.30650979781008536</v>
      </c>
      <c r="Y322" s="3">
        <f t="shared" si="198"/>
        <v>0.20334957448218965</v>
      </c>
      <c r="Z322" s="3">
        <f t="shared" si="199"/>
        <v>-1.5220607442337532E-2</v>
      </c>
      <c r="AA322" s="3">
        <f t="shared" si="200"/>
        <v>-1.2683191883332804E-2</v>
      </c>
      <c r="AB322" s="3">
        <f t="shared" si="201"/>
        <v>8.4144836183987857E-3</v>
      </c>
      <c r="AC322" s="3">
        <f t="shared" si="202"/>
        <v>-4.7797946255825428E-3</v>
      </c>
      <c r="AD322" s="3">
        <f t="shared" si="203"/>
        <v>3.1710868956518739E-3</v>
      </c>
      <c r="AE322" s="3">
        <f t="shared" si="179"/>
        <v>0.96896350315622248</v>
      </c>
      <c r="AF322" s="3">
        <f t="shared" si="204"/>
        <v>0.80742835560505932</v>
      </c>
      <c r="AG322" s="3">
        <f t="shared" si="205"/>
        <v>-0.53567688116409184</v>
      </c>
      <c r="AH322" s="3">
        <f t="shared" si="206"/>
        <v>0.30428789142074236</v>
      </c>
      <c r="AI322" s="3">
        <f t="shared" si="207"/>
        <v>-0.20187548222791168</v>
      </c>
      <c r="AJ322" s="3">
        <f t="shared" si="180"/>
        <v>0.46564711472027387</v>
      </c>
      <c r="AK322" s="3">
        <f t="shared" si="208"/>
        <v>0.38801944852015108</v>
      </c>
      <c r="AL322" s="3">
        <f t="shared" si="209"/>
        <v>-0.25742599522471249</v>
      </c>
      <c r="AM322" s="3">
        <f t="shared" si="210"/>
        <v>0.1462292214545261</v>
      </c>
      <c r="AN322" s="3">
        <f t="shared" si="211"/>
        <v>-9.7013701265315125E-2</v>
      </c>
      <c r="AO322" s="3">
        <f t="shared" si="181"/>
        <v>-0.75250560476857564</v>
      </c>
      <c r="AP322" s="3">
        <f t="shared" si="212"/>
        <v>-0.62705598411369834</v>
      </c>
      <c r="AQ322" s="3">
        <f t="shared" si="213"/>
        <v>0.41601139166532575</v>
      </c>
      <c r="AR322" s="3"/>
      <c r="AS322" s="2"/>
      <c r="AT322" s="2"/>
    </row>
    <row r="323" spans="1:46">
      <c r="A323">
        <f t="shared" si="214"/>
        <v>320</v>
      </c>
      <c r="B323" s="1">
        <f t="shared" ref="B323:B386" si="215">A323*0.123333</f>
        <v>39.466560000000001</v>
      </c>
      <c r="C323" s="1">
        <f t="shared" ref="C323:C386" si="216">2*PI() * B323</f>
        <v>247.97570991692157</v>
      </c>
      <c r="D323" s="1">
        <f t="shared" ref="D323:D386" si="217">SIN(C323)</f>
        <v>0.20856720488835737</v>
      </c>
      <c r="E323" s="1">
        <f t="shared" ref="E323:E386" si="218">COS(C323)</f>
        <v>-0.97800803731107344</v>
      </c>
      <c r="F323" s="2">
        <f t="shared" ref="F323:F386" si="219">32767*D323</f>
        <v>6834.1216025768063</v>
      </c>
      <c r="G323" s="2">
        <f t="shared" ref="G323:G386" si="220">32767*E323</f>
        <v>-32046.389358571945</v>
      </c>
      <c r="H323" s="2">
        <f t="shared" ref="H323:H386" si="221">8192*SIN(C323)</f>
        <v>1708.5825424454235</v>
      </c>
      <c r="I323" s="3">
        <f t="shared" si="182"/>
        <v>0.60773270308053196</v>
      </c>
      <c r="J323" s="3">
        <f t="shared" si="183"/>
        <v>0.36933903839357002</v>
      </c>
      <c r="K323" s="3">
        <f t="shared" si="184"/>
        <v>0.12796667928005434</v>
      </c>
      <c r="L323" s="3">
        <f t="shared" si="185"/>
        <v>2.6689652616285808E-2</v>
      </c>
      <c r="M323" s="3">
        <f t="shared" si="186"/>
        <v>-0.12515244084390156</v>
      </c>
      <c r="N323" s="3">
        <f t="shared" si="187"/>
        <v>9.8575306323574318E-3</v>
      </c>
      <c r="O323" s="3">
        <f t="shared" si="188"/>
        <v>-4.622368215389476E-2</v>
      </c>
      <c r="P323" s="3">
        <f t="shared" si="189"/>
        <v>-0.93635328991816069</v>
      </c>
      <c r="Q323" s="3">
        <f t="shared" si="190"/>
        <v>-0.1952925884662485</v>
      </c>
      <c r="R323" s="3">
        <f t="shared" si="191"/>
        <v>0.91576104330262686</v>
      </c>
      <c r="S323" s="3">
        <f t="shared" si="192"/>
        <v>-7.2129176829515418E-2</v>
      </c>
      <c r="T323" s="3">
        <f t="shared" si="193"/>
        <v>0.33822630313168461</v>
      </c>
      <c r="U323" s="3">
        <f t="shared" si="194"/>
        <v>-0.55560085624762057</v>
      </c>
      <c r="V323" s="3">
        <f t="shared" si="195"/>
        <v>-0.11588011762114427</v>
      </c>
      <c r="W323" s="3">
        <f t="shared" si="196"/>
        <v>0.54338210294708722</v>
      </c>
      <c r="X323" s="3">
        <f t="shared" si="197"/>
        <v>-4.2799051211127218E-2</v>
      </c>
      <c r="Y323" s="3">
        <f t="shared" si="198"/>
        <v>0.20069222338275308</v>
      </c>
      <c r="Z323" s="3">
        <f t="shared" si="199"/>
        <v>0.68260941200141367</v>
      </c>
      <c r="AA323" s="3">
        <f t="shared" si="200"/>
        <v>0.14236993709161999</v>
      </c>
      <c r="AB323" s="3">
        <f t="shared" si="201"/>
        <v>-0.66759749128156853</v>
      </c>
      <c r="AC323" s="3">
        <f t="shared" si="202"/>
        <v>5.258277566157199E-2</v>
      </c>
      <c r="AD323" s="3">
        <f t="shared" si="203"/>
        <v>-0.24656981546389425</v>
      </c>
      <c r="AE323" s="3">
        <f t="shared" ref="AE323:AE386" si="222">SIN(0.5+A323*92/750*2*PI())</f>
        <v>0.86734976260012409</v>
      </c>
      <c r="AF323" s="3">
        <f t="shared" si="204"/>
        <v>0.1809007156460882</v>
      </c>
      <c r="AG323" s="3">
        <f t="shared" si="205"/>
        <v>-0.8482750389827729</v>
      </c>
      <c r="AH323" s="3">
        <f t="shared" si="206"/>
        <v>6.681369636143486E-2</v>
      </c>
      <c r="AI323" s="3">
        <f t="shared" si="207"/>
        <v>-0.31330108719116545</v>
      </c>
      <c r="AJ323" s="3">
        <f t="shared" ref="AJ323:AJ386" si="223">SIN(0.5+A323*92.5/750*2*PI())</f>
        <v>-0.28648926604140518</v>
      </c>
      <c r="AK323" s="3">
        <f t="shared" si="208"/>
        <v>-5.9752265448772879E-2</v>
      </c>
      <c r="AL323" s="3">
        <f t="shared" si="209"/>
        <v>0.28018880479184466</v>
      </c>
      <c r="AM323" s="3">
        <f t="shared" si="210"/>
        <v>-2.2068844262687112E-2</v>
      </c>
      <c r="AN323" s="3">
        <f t="shared" si="211"/>
        <v>0.10348466373046361</v>
      </c>
      <c r="AO323" s="3">
        <f t="shared" ref="AO323:AO386" si="224">SIN(0.5+A323*93/750*2*PI())</f>
        <v>-0.99818990895594495</v>
      </c>
      <c r="AP323" s="3">
        <f t="shared" si="212"/>
        <v>-0.20818967925870535</v>
      </c>
      <c r="AQ323" s="3">
        <f t="shared" si="213"/>
        <v>0.97623775372172283</v>
      </c>
      <c r="AR323" s="3"/>
      <c r="AS323" s="2"/>
      <c r="AT323" s="2"/>
    </row>
    <row r="324" spans="1:46">
      <c r="A324">
        <f t="shared" si="214"/>
        <v>321</v>
      </c>
      <c r="B324" s="1">
        <f t="shared" si="215"/>
        <v>39.589892999999996</v>
      </c>
      <c r="C324" s="1">
        <f t="shared" si="216"/>
        <v>248.75063401041191</v>
      </c>
      <c r="D324" s="1">
        <f t="shared" si="217"/>
        <v>-0.53525903156466792</v>
      </c>
      <c r="E324" s="1">
        <f t="shared" si="218"/>
        <v>-0.84468797145955254</v>
      </c>
      <c r="F324" s="2">
        <f t="shared" si="219"/>
        <v>-17538.832687279475</v>
      </c>
      <c r="G324" s="2">
        <f t="shared" si="220"/>
        <v>-27677.890760815157</v>
      </c>
      <c r="H324" s="2">
        <f t="shared" si="221"/>
        <v>-4384.8419865777596</v>
      </c>
      <c r="I324" s="3">
        <f t="shared" ref="I324:I387" si="225">SIN(PI()*A324/404)</f>
        <v>0.60153897099405385</v>
      </c>
      <c r="J324" s="3">
        <f t="shared" ref="J324:J387" si="226">I324*I324</f>
        <v>0.36184913362458515</v>
      </c>
      <c r="K324" s="3">
        <f t="shared" ref="K324:K387" si="227">SIN(0.5+A324*90/750*2*PI())</f>
        <v>-0.58563538523620851</v>
      </c>
      <c r="L324" s="3">
        <f t="shared" ref="L324:L387" si="228">K324*D324</f>
        <v>0.31346662915153417</v>
      </c>
      <c r="M324" s="3">
        <f t="shared" ref="M324:M387" si="229">K324*E324</f>
        <v>0.49467916557010655</v>
      </c>
      <c r="N324" s="3">
        <f t="shared" ref="N324:N387" si="230">K324*J324*D324</f>
        <v>0.11342762817870178</v>
      </c>
      <c r="O324" s="3">
        <f t="shared" ref="O324:O387" si="231">K324*J324*E324</f>
        <v>0.17899922748367578</v>
      </c>
      <c r="P324" s="3">
        <f t="shared" ref="P324:P387" si="232">SIN(0.5+A324*90.5/750*2*PI())</f>
        <v>-0.92126763163566816</v>
      </c>
      <c r="Q324" s="3">
        <f t="shared" ref="Q324:Q387" si="233">P324*D324</f>
        <v>0.49311682032118298</v>
      </c>
      <c r="R324" s="3">
        <f t="shared" ref="R324:R387" si="234">P324*E324</f>
        <v>0.77818368693767881</v>
      </c>
      <c r="S324" s="3">
        <f t="shared" ref="S324:S387" si="235">P324*J324*D324</f>
        <v>0.17843389420893027</v>
      </c>
      <c r="T324" s="3">
        <f t="shared" ref="T324:T387" si="236">P324*J324*E324</f>
        <v>0.28158509291918449</v>
      </c>
      <c r="U324" s="3">
        <f t="shared" ref="U324:U387" si="237">SIN(0.5+A324*91/750*2*PI())</f>
        <v>0.17240859966626756</v>
      </c>
      <c r="V324" s="3">
        <f t="shared" ref="V324:V387" si="238">U324*D324</f>
        <v>-9.2283260090786912E-2</v>
      </c>
      <c r="W324" s="3">
        <f t="shared" ref="W324:W387" si="239">U324*E324</f>
        <v>-0.14563147031428164</v>
      </c>
      <c r="X324" s="3">
        <f t="shared" ref="X324:X387" si="240">U324*J324*D324</f>
        <v>-3.3392617711903494E-2</v>
      </c>
      <c r="Y324" s="3">
        <f t="shared" ref="Y324:Y387" si="241">U324*J324*E324</f>
        <v>-5.2696621361697303E-2</v>
      </c>
      <c r="Z324" s="3">
        <f t="shared" ref="Z324:Z387" si="242">SIN(0.5+A324*91.5/750*2*PI())</f>
        <v>0.99860004731841212</v>
      </c>
      <c r="AA324" s="3">
        <f t="shared" ref="AA324:AA387" si="243">Z324*D324</f>
        <v>-0.53450969424808481</v>
      </c>
      <c r="AB324" s="3">
        <f t="shared" ref="AB324:AB387" si="244">Z324*E324</f>
        <v>-0.84350544826880269</v>
      </c>
      <c r="AC324" s="3">
        <f t="shared" ref="AC324:AC387" si="245">Z324*J324*D324</f>
        <v>-0.19341186977761141</v>
      </c>
      <c r="AD324" s="3">
        <f t="shared" ref="AD324:AD387" si="246">Z324*J324*E324</f>
        <v>-0.30522171566368361</v>
      </c>
      <c r="AE324" s="3">
        <f t="shared" si="222"/>
        <v>0.27550498532611989</v>
      </c>
      <c r="AF324" s="3">
        <f t="shared" ref="AF324:AF387" si="247">AE324*D324</f>
        <v>-0.14746653163689699</v>
      </c>
      <c r="AG324" s="3">
        <f t="shared" ref="AG324:AG387" si="248">AE324*E324</f>
        <v>-0.23271574718211399</v>
      </c>
      <c r="AH324" s="3">
        <f t="shared" ref="AH324:AH387" si="249">AE324*J324*D324</f>
        <v>-5.3360636711433644E-2</v>
      </c>
      <c r="AI324" s="3">
        <f t="shared" ref="AI324:AI387" si="250">AE324*J324*E324</f>
        <v>-8.420799149864594E-2</v>
      </c>
      <c r="AJ324" s="3">
        <f t="shared" si="223"/>
        <v>-0.87502462190954899</v>
      </c>
      <c r="AK324" s="3">
        <f t="shared" ref="AK324:AK387" si="251">AJ324*D324</f>
        <v>0.46836483171854487</v>
      </c>
      <c r="AL324" s="3">
        <f t="shared" ref="AL324:AL387" si="252">AJ324*E324</f>
        <v>0.73912277285793893</v>
      </c>
      <c r="AM324" s="3">
        <f t="shared" ref="AM324:AM387" si="253">AJ324*J324*D324</f>
        <v>0.16947740857758006</v>
      </c>
      <c r="AN324" s="3">
        <f t="shared" ref="AN324:AN387" si="254">AJ324*J324*E324</f>
        <v>0.26745093500084621</v>
      </c>
      <c r="AO324" s="3">
        <f t="shared" si="224"/>
        <v>-0.66798986093630019</v>
      </c>
      <c r="AP324" s="3">
        <f t="shared" ref="AP324:AP387" si="255">AO324*D324</f>
        <v>0.35754760605978125</v>
      </c>
      <c r="AQ324" s="3">
        <f t="shared" ref="AQ324:AQ387" si="256">AO324*E324</f>
        <v>0.56424300058983201</v>
      </c>
      <c r="AR324" s="3"/>
      <c r="AS324" s="2"/>
      <c r="AT324" s="2"/>
    </row>
    <row r="325" spans="1:46">
      <c r="A325">
        <f t="shared" ref="A325:A388" si="257">A324+1</f>
        <v>322</v>
      </c>
      <c r="B325" s="1">
        <f t="shared" si="215"/>
        <v>39.713225999999999</v>
      </c>
      <c r="C325" s="1">
        <f t="shared" si="216"/>
        <v>249.52555810390231</v>
      </c>
      <c r="D325" s="1">
        <f t="shared" si="217"/>
        <v>-0.97342468275268879</v>
      </c>
      <c r="E325" s="1">
        <f t="shared" si="218"/>
        <v>-0.22900739509419177</v>
      </c>
      <c r="F325" s="2">
        <f t="shared" si="219"/>
        <v>-31896.206579757352</v>
      </c>
      <c r="G325" s="2">
        <f t="shared" si="220"/>
        <v>-7503.8853150513814</v>
      </c>
      <c r="H325" s="2">
        <f t="shared" si="221"/>
        <v>-7974.2950011100265</v>
      </c>
      <c r="I325" s="3">
        <f t="shared" si="225"/>
        <v>0.59530886427666618</v>
      </c>
      <c r="J325" s="3">
        <f t="shared" si="226"/>
        <v>0.35439264388637415</v>
      </c>
      <c r="K325" s="3">
        <f t="shared" si="227"/>
        <v>-0.98178632517013797</v>
      </c>
      <c r="L325" s="3">
        <f t="shared" si="228"/>
        <v>0.95569504210966971</v>
      </c>
      <c r="M325" s="3">
        <f t="shared" si="229"/>
        <v>0.22483632886631241</v>
      </c>
      <c r="N325" s="3">
        <f t="shared" si="230"/>
        <v>0.33869129272234549</v>
      </c>
      <c r="O325" s="3">
        <f t="shared" si="231"/>
        <v>7.968034102863876E-2</v>
      </c>
      <c r="P325" s="3">
        <f t="shared" si="232"/>
        <v>-0.40150201373239996</v>
      </c>
      <c r="Q325" s="3">
        <f t="shared" si="233"/>
        <v>0.39083197034202716</v>
      </c>
      <c r="R325" s="3">
        <f t="shared" si="234"/>
        <v>9.1946930289929327E-2</v>
      </c>
      <c r="S325" s="3">
        <f t="shared" si="235"/>
        <v>0.13850797528483197</v>
      </c>
      <c r="T325" s="3">
        <f t="shared" si="236"/>
        <v>3.2585315722684194E-2</v>
      </c>
      <c r="U325" s="3">
        <f t="shared" si="237"/>
        <v>0.804975504827799</v>
      </c>
      <c r="V325" s="3">
        <f t="shared" si="238"/>
        <v>-0.7835830254106857</v>
      </c>
      <c r="W325" s="3">
        <f t="shared" si="239"/>
        <v>-0.18434534347524623</v>
      </c>
      <c r="X325" s="3">
        <f t="shared" si="240"/>
        <v>-0.27769606007977682</v>
      </c>
      <c r="Y325" s="3">
        <f t="shared" si="241"/>
        <v>-6.533063366233427E-2</v>
      </c>
      <c r="Z325" s="3">
        <f t="shared" si="242"/>
        <v>0.75599184067248948</v>
      </c>
      <c r="AA325" s="3">
        <f t="shared" si="243"/>
        <v>-0.73590111767023936</v>
      </c>
      <c r="AB325" s="3">
        <f t="shared" si="244"/>
        <v>-0.17312772214487007</v>
      </c>
      <c r="AC325" s="3">
        <f t="shared" si="245"/>
        <v>-0.26079794273009382</v>
      </c>
      <c r="AD325" s="3">
        <f t="shared" si="246"/>
        <v>-6.1355191180946067E-2</v>
      </c>
      <c r="AE325" s="3">
        <f t="shared" si="222"/>
        <v>-0.47205678225695591</v>
      </c>
      <c r="AF325" s="3">
        <f t="shared" si="247"/>
        <v>0.45951172350973241</v>
      </c>
      <c r="AG325" s="3">
        <f t="shared" si="248"/>
        <v>0.10810449404121156</v>
      </c>
      <c r="AH325" s="3">
        <f t="shared" si="249"/>
        <v>0.16284757459139859</v>
      </c>
      <c r="AI325" s="3">
        <f t="shared" si="250"/>
        <v>3.8311437459263742E-2</v>
      </c>
      <c r="AJ325" s="3">
        <f t="shared" si="223"/>
        <v>-0.96387310667939263</v>
      </c>
      <c r="AK325" s="3">
        <f t="shared" si="251"/>
        <v>0.93825787308323638</v>
      </c>
      <c r="AL325" s="3">
        <f t="shared" si="252"/>
        <v>0.22073406936199372</v>
      </c>
      <c r="AM325" s="3">
        <f t="shared" si="253"/>
        <v>0.33251168828917421</v>
      </c>
      <c r="AN325" s="3">
        <f t="shared" si="254"/>
        <v>7.8226530436995262E-2</v>
      </c>
      <c r="AO325" s="3">
        <f t="shared" si="224"/>
        <v>4.7592672815417639E-2</v>
      </c>
      <c r="AP325" s="3">
        <f t="shared" si="255"/>
        <v>-4.6327882436700434E-2</v>
      </c>
      <c r="AQ325" s="3">
        <f t="shared" si="256"/>
        <v>-1.0899074027028947E-2</v>
      </c>
      <c r="AR325" s="3"/>
      <c r="AS325" s="2"/>
      <c r="AT325" s="2"/>
    </row>
    <row r="326" spans="1:46">
      <c r="A326">
        <f t="shared" si="257"/>
        <v>323</v>
      </c>
      <c r="B326" s="1">
        <f t="shared" si="215"/>
        <v>39.836559000000001</v>
      </c>
      <c r="C326" s="1">
        <f t="shared" si="216"/>
        <v>250.30048219739271</v>
      </c>
      <c r="D326" s="1">
        <f t="shared" si="217"/>
        <v>-0.85571450430383067</v>
      </c>
      <c r="E326" s="1">
        <f t="shared" si="218"/>
        <v>0.51744824584111737</v>
      </c>
      <c r="F326" s="2">
        <f t="shared" si="219"/>
        <v>-28039.197162523618</v>
      </c>
      <c r="G326" s="2">
        <f t="shared" si="220"/>
        <v>16955.226671475892</v>
      </c>
      <c r="H326" s="2">
        <f t="shared" si="221"/>
        <v>-7010.0132192569808</v>
      </c>
      <c r="I326" s="3">
        <f t="shared" si="225"/>
        <v>0.58904275965846187</v>
      </c>
      <c r="J326" s="3">
        <f t="shared" si="226"/>
        <v>0.34697137270605649</v>
      </c>
      <c r="K326" s="3">
        <f t="shared" si="227"/>
        <v>-0.84574747452457533</v>
      </c>
      <c r="L326" s="3">
        <f t="shared" si="228"/>
        <v>0.72371838092901364</v>
      </c>
      <c r="M326" s="3">
        <f t="shared" si="229"/>
        <v>-0.4376305471172966</v>
      </c>
      <c r="N326" s="3">
        <f t="shared" si="230"/>
        <v>0.25110956008354451</v>
      </c>
      <c r="O326" s="3">
        <f t="shared" si="231"/>
        <v>-0.15184527167139092</v>
      </c>
      <c r="P326" s="3">
        <f t="shared" si="232"/>
        <v>0.33821056976472819</v>
      </c>
      <c r="Q326" s="3">
        <f t="shared" si="233"/>
        <v>-0.28941169005654049</v>
      </c>
      <c r="R326" s="3">
        <f t="shared" si="234"/>
        <v>0.17500646604968345</v>
      </c>
      <c r="S326" s="3">
        <f t="shared" si="235"/>
        <v>-0.10041757137609762</v>
      </c>
      <c r="T326" s="3">
        <f t="shared" si="236"/>
        <v>6.072223375769454E-2</v>
      </c>
      <c r="U326" s="3">
        <f t="shared" si="237"/>
        <v>0.99192127726944623</v>
      </c>
      <c r="V326" s="3">
        <f t="shared" si="238"/>
        <v>-0.84880142408704673</v>
      </c>
      <c r="W326" s="3">
        <f t="shared" si="239"/>
        <v>0.51326792493555551</v>
      </c>
      <c r="X326" s="3">
        <f t="shared" si="240"/>
        <v>-0.29450979527033821</v>
      </c>
      <c r="Y326" s="3">
        <f t="shared" si="241"/>
        <v>0.17808927648087886</v>
      </c>
      <c r="Z326" s="3">
        <f t="shared" si="242"/>
        <v>9.0495443837601885E-2</v>
      </c>
      <c r="AA326" s="3">
        <f t="shared" si="243"/>
        <v>-7.7438263865248644E-2</v>
      </c>
      <c r="AB326" s="3">
        <f t="shared" si="244"/>
        <v>4.6826708670380447E-2</v>
      </c>
      <c r="AC326" s="3">
        <f t="shared" si="245"/>
        <v>-2.6868860713299133E-2</v>
      </c>
      <c r="AD326" s="3">
        <f t="shared" si="246"/>
        <v>1.62475273866685E-2</v>
      </c>
      <c r="AE326" s="3">
        <f t="shared" si="222"/>
        <v>-0.95280936197351762</v>
      </c>
      <c r="AF326" s="3">
        <f t="shared" si="247"/>
        <v>0.81533279087721777</v>
      </c>
      <c r="AG326" s="3">
        <f t="shared" si="248"/>
        <v>-0.49302953297419094</v>
      </c>
      <c r="AH326" s="3">
        <f t="shared" si="249"/>
        <v>0.28289713766292834</v>
      </c>
      <c r="AI326" s="3">
        <f t="shared" si="250"/>
        <v>-0.17106713384068098</v>
      </c>
      <c r="AJ326" s="3">
        <f t="shared" si="223"/>
        <v>-0.50229738080090403</v>
      </c>
      <c r="AK326" s="3">
        <f t="shared" si="251"/>
        <v>0.42982315422515804</v>
      </c>
      <c r="AL326" s="3">
        <f t="shared" si="252"/>
        <v>-0.25991289858601552</v>
      </c>
      <c r="AM326" s="3">
        <f t="shared" si="253"/>
        <v>0.14913632984235012</v>
      </c>
      <c r="AN326" s="3">
        <f t="shared" si="254"/>
        <v>-9.0182335206399858E-2</v>
      </c>
      <c r="AO326" s="3">
        <f t="shared" si="224"/>
        <v>0.73571763030017723</v>
      </c>
      <c r="AP326" s="3">
        <f t="shared" si="255"/>
        <v>-0.62956424731990512</v>
      </c>
      <c r="AQ326" s="3">
        <f t="shared" si="256"/>
        <v>0.3806957972332104</v>
      </c>
      <c r="AR326" s="3"/>
      <c r="AS326" s="2"/>
      <c r="AT326" s="2"/>
    </row>
    <row r="327" spans="1:46">
      <c r="A327">
        <f t="shared" si="257"/>
        <v>324</v>
      </c>
      <c r="B327" s="1">
        <f t="shared" si="215"/>
        <v>39.959891999999996</v>
      </c>
      <c r="C327" s="1">
        <f t="shared" si="216"/>
        <v>251.07540629088308</v>
      </c>
      <c r="D327" s="1">
        <f t="shared" si="217"/>
        <v>-0.24934709490511156</v>
      </c>
      <c r="E327" s="1">
        <f t="shared" si="218"/>
        <v>0.96841418115514055</v>
      </c>
      <c r="F327" s="2">
        <f t="shared" si="219"/>
        <v>-8170.3562587557908</v>
      </c>
      <c r="G327" s="2">
        <f t="shared" si="220"/>
        <v>31732.02747391049</v>
      </c>
      <c r="H327" s="2">
        <f t="shared" si="221"/>
        <v>-2042.6514014626739</v>
      </c>
      <c r="I327" s="3">
        <f t="shared" si="225"/>
        <v>0.58274103604630101</v>
      </c>
      <c r="J327" s="3">
        <f t="shared" si="226"/>
        <v>0.33958711509231632</v>
      </c>
      <c r="K327" s="3">
        <f t="shared" si="227"/>
        <v>-0.25126042612846039</v>
      </c>
      <c r="L327" s="3">
        <f t="shared" si="228"/>
        <v>6.2651057319751985E-2</v>
      </c>
      <c r="M327" s="3">
        <f t="shared" si="229"/>
        <v>-0.24332415982588465</v>
      </c>
      <c r="N327" s="3">
        <f t="shared" si="230"/>
        <v>2.1275491812697923E-2</v>
      </c>
      <c r="O327" s="3">
        <f t="shared" si="231"/>
        <v>-8.2629749467533861E-2</v>
      </c>
      <c r="P327" s="3">
        <f t="shared" si="232"/>
        <v>0.89264789683163404</v>
      </c>
      <c r="Q327" s="3">
        <f t="shared" si="233"/>
        <v>-0.22257915984812568</v>
      </c>
      <c r="R327" s="3">
        <f t="shared" si="234"/>
        <v>0.86445288207006521</v>
      </c>
      <c r="S327" s="3">
        <f t="shared" si="235"/>
        <v>-7.5585014772496531E-2</v>
      </c>
      <c r="T327" s="3">
        <f t="shared" si="236"/>
        <v>0.29355706035541179</v>
      </c>
      <c r="U327" s="3">
        <f t="shared" si="237"/>
        <v>0.62975582769903671</v>
      </c>
      <c r="V327" s="3">
        <f t="shared" si="238"/>
        <v>-0.15702778613631879</v>
      </c>
      <c r="W327" s="3">
        <f t="shared" si="239"/>
        <v>0.60986447420884038</v>
      </c>
      <c r="X327" s="3">
        <f t="shared" si="240"/>
        <v>-5.3324612883365721E-2</v>
      </c>
      <c r="Y327" s="3">
        <f t="shared" si="241"/>
        <v>0.20710211739387246</v>
      </c>
      <c r="Z327" s="3">
        <f t="shared" si="242"/>
        <v>-0.62562247085754663</v>
      </c>
      <c r="AA327" s="3">
        <f t="shared" si="243"/>
        <v>0.15599714561568706</v>
      </c>
      <c r="AB327" s="3">
        <f t="shared" si="244"/>
        <v>-0.60586167282776682</v>
      </c>
      <c r="AC327" s="3">
        <f t="shared" si="245"/>
        <v>5.2974620642267156E-2</v>
      </c>
      <c r="AD327" s="3">
        <f t="shared" si="246"/>
        <v>-0.20574281762058613</v>
      </c>
      <c r="AE327" s="3">
        <f t="shared" si="222"/>
        <v>-0.89502865159664247</v>
      </c>
      <c r="AF327" s="3">
        <f t="shared" si="247"/>
        <v>0.22317279413246205</v>
      </c>
      <c r="AG327" s="3">
        <f t="shared" si="248"/>
        <v>-0.86675843874635206</v>
      </c>
      <c r="AH327" s="3">
        <f t="shared" si="249"/>
        <v>7.5786605326534209E-2</v>
      </c>
      <c r="AI327" s="3">
        <f t="shared" si="250"/>
        <v>-0.29433999769579389</v>
      </c>
      <c r="AJ327" s="3">
        <f t="shared" si="223"/>
        <v>0.2461175954127002</v>
      </c>
      <c r="AK327" s="3">
        <f t="shared" si="251"/>
        <v>-6.1368707421188405E-2</v>
      </c>
      <c r="AL327" s="3">
        <f t="shared" si="252"/>
        <v>0.23834376962946224</v>
      </c>
      <c r="AM327" s="3">
        <f t="shared" si="253"/>
        <v>-2.0840022310105795E-2</v>
      </c>
      <c r="AN327" s="3">
        <f t="shared" si="254"/>
        <v>8.0938473128696717E-2</v>
      </c>
      <c r="AO327" s="3">
        <f t="shared" si="224"/>
        <v>0.99938601180545361</v>
      </c>
      <c r="AP327" s="3">
        <f t="shared" si="255"/>
        <v>-0.2491939987324954</v>
      </c>
      <c r="AQ327" s="3">
        <f t="shared" si="256"/>
        <v>0.96781958628048004</v>
      </c>
      <c r="AR327" s="3"/>
      <c r="AS327" s="2"/>
      <c r="AT327" s="2"/>
    </row>
    <row r="328" spans="1:46">
      <c r="A328">
        <f t="shared" si="257"/>
        <v>325</v>
      </c>
      <c r="B328" s="1">
        <f t="shared" si="215"/>
        <v>40.083224999999999</v>
      </c>
      <c r="C328" s="1">
        <f t="shared" si="216"/>
        <v>251.85033038437345</v>
      </c>
      <c r="D328" s="1">
        <f t="shared" si="217"/>
        <v>0.49941039942134863</v>
      </c>
      <c r="E328" s="1">
        <f t="shared" si="218"/>
        <v>0.86636554233753371</v>
      </c>
      <c r="F328" s="2">
        <f t="shared" si="219"/>
        <v>16364.180557839331</v>
      </c>
      <c r="G328" s="2">
        <f t="shared" si="220"/>
        <v>28388.199725773968</v>
      </c>
      <c r="H328" s="2">
        <f t="shared" si="221"/>
        <v>4091.169992059688</v>
      </c>
      <c r="I328" s="3">
        <f t="shared" si="225"/>
        <v>0.5764040745008987</v>
      </c>
      <c r="J328" s="3">
        <f t="shared" si="226"/>
        <v>0.3322416571012376</v>
      </c>
      <c r="K328" s="3">
        <f t="shared" si="227"/>
        <v>0.47942553860418841</v>
      </c>
      <c r="L328" s="3">
        <f t="shared" si="228"/>
        <v>0.23943009972711293</v>
      </c>
      <c r="M328" s="3">
        <f t="shared" si="229"/>
        <v>0.4153577667632819</v>
      </c>
      <c r="N328" s="3">
        <f t="shared" si="230"/>
        <v>7.9548653093250571E-2</v>
      </c>
      <c r="O328" s="3">
        <f t="shared" si="231"/>
        <v>0.13799915271930213</v>
      </c>
      <c r="P328" s="3">
        <f t="shared" si="232"/>
        <v>0.95808345171130793</v>
      </c>
      <c r="Q328" s="3">
        <f t="shared" si="233"/>
        <v>0.47847683929812868</v>
      </c>
      <c r="R328" s="3">
        <f t="shared" si="234"/>
        <v>0.83005048924648361</v>
      </c>
      <c r="S328" s="3">
        <f t="shared" si="235"/>
        <v>0.15896993797297282</v>
      </c>
      <c r="T328" s="3">
        <f t="shared" si="236"/>
        <v>0.27577735002494469</v>
      </c>
      <c r="U328" s="3">
        <f t="shared" si="237"/>
        <v>-8.1032037824546488E-2</v>
      </c>
      <c r="V328" s="3">
        <f t="shared" si="238"/>
        <v>-4.046824237588259E-2</v>
      </c>
      <c r="W328" s="3">
        <f t="shared" si="239"/>
        <v>-7.020336539657876E-2</v>
      </c>
      <c r="X328" s="3">
        <f t="shared" si="240"/>
        <v>-1.3445235906937756E-2</v>
      </c>
      <c r="Y328" s="3">
        <f t="shared" si="241"/>
        <v>-2.3324482453443009E-2</v>
      </c>
      <c r="Z328" s="3">
        <f t="shared" si="242"/>
        <v>-0.99177846770034084</v>
      </c>
      <c r="AA328" s="3">
        <f t="shared" si="243"/>
        <v>-0.49530448069172034</v>
      </c>
      <c r="AB328" s="3">
        <f t="shared" si="244"/>
        <v>-0.859242690047894</v>
      </c>
      <c r="AC328" s="3">
        <f t="shared" si="245"/>
        <v>-0.16456078143468511</v>
      </c>
      <c r="AD328" s="3">
        <f t="shared" si="246"/>
        <v>-0.28547621519363736</v>
      </c>
      <c r="AE328" s="3">
        <f t="shared" si="222"/>
        <v>-0.33137263844788672</v>
      </c>
      <c r="AF328" s="3">
        <f t="shared" si="247"/>
        <v>-0.16549094172456524</v>
      </c>
      <c r="AG328" s="3">
        <f t="shared" si="248"/>
        <v>-0.28708983562472284</v>
      </c>
      <c r="AH328" s="3">
        <f t="shared" si="249"/>
        <v>-5.4982984713813902E-2</v>
      </c>
      <c r="AI328" s="3">
        <f t="shared" si="250"/>
        <v>-9.5383202724879837E-2</v>
      </c>
      <c r="AJ328" s="3">
        <f t="shared" si="223"/>
        <v>0.85398597659946707</v>
      </c>
      <c r="AK328" s="3">
        <f t="shared" si="251"/>
        <v>0.42648947767377032</v>
      </c>
      <c r="AL328" s="3">
        <f t="shared" si="252"/>
        <v>0.73986402376524563</v>
      </c>
      <c r="AM328" s="3">
        <f t="shared" si="253"/>
        <v>0.14169757079857473</v>
      </c>
      <c r="AN328" s="3">
        <f t="shared" si="254"/>
        <v>0.24581364928535465</v>
      </c>
      <c r="AO328" s="3">
        <f t="shared" si="224"/>
        <v>0.68647997510679282</v>
      </c>
      <c r="AP328" s="3">
        <f t="shared" si="255"/>
        <v>0.34283523856284087</v>
      </c>
      <c r="AQ328" s="3">
        <f t="shared" si="256"/>
        <v>0.5947425959372532</v>
      </c>
      <c r="AR328" s="3"/>
      <c r="AS328" s="2"/>
      <c r="AT328" s="2"/>
    </row>
    <row r="329" spans="1:46">
      <c r="A329">
        <f t="shared" si="257"/>
        <v>326</v>
      </c>
      <c r="B329" s="1">
        <f t="shared" si="215"/>
        <v>40.206558000000001</v>
      </c>
      <c r="C329" s="1">
        <f t="shared" si="216"/>
        <v>252.62525447786385</v>
      </c>
      <c r="D329" s="1">
        <f t="shared" si="217"/>
        <v>0.96297873116918642</v>
      </c>
      <c r="E329" s="1">
        <f t="shared" si="218"/>
        <v>0.26957737908768192</v>
      </c>
      <c r="F329" s="2">
        <f t="shared" si="219"/>
        <v>31553.924084220733</v>
      </c>
      <c r="G329" s="2">
        <f t="shared" si="220"/>
        <v>8833.2419805660738</v>
      </c>
      <c r="H329" s="2">
        <f t="shared" si="221"/>
        <v>7888.7217657379751</v>
      </c>
      <c r="I329" s="3">
        <f t="shared" si="225"/>
        <v>0.57003225821378278</v>
      </c>
      <c r="J329" s="3">
        <f t="shared" si="226"/>
        <v>0.32493677540430471</v>
      </c>
      <c r="K329" s="3">
        <f t="shared" si="227"/>
        <v>0.95023277978260479</v>
      </c>
      <c r="L329" s="3">
        <f t="shared" si="228"/>
        <v>0.91505395659042166</v>
      </c>
      <c r="M329" s="3">
        <f t="shared" si="229"/>
        <v>0.25616126229699704</v>
      </c>
      <c r="N329" s="3">
        <f t="shared" si="230"/>
        <v>0.29733468197544222</v>
      </c>
      <c r="O329" s="3">
        <f t="shared" si="231"/>
        <v>8.3236214554282512E-2</v>
      </c>
      <c r="P329" s="3">
        <f t="shared" si="232"/>
        <v>0.49867095905400516</v>
      </c>
      <c r="Q329" s="3">
        <f t="shared" si="233"/>
        <v>0.48020952742074718</v>
      </c>
      <c r="R329" s="3">
        <f t="shared" si="234"/>
        <v>0.13443041016891946</v>
      </c>
      <c r="S329" s="3">
        <f t="shared" si="235"/>
        <v>0.15603773535852264</v>
      </c>
      <c r="T329" s="3">
        <f t="shared" si="236"/>
        <v>4.3681383996566743E-2</v>
      </c>
      <c r="U329" s="3">
        <f t="shared" si="237"/>
        <v>-0.74696190671918994</v>
      </c>
      <c r="V329" s="3">
        <f t="shared" si="238"/>
        <v>-0.71930842916416171</v>
      </c>
      <c r="W329" s="3">
        <f t="shared" si="239"/>
        <v>-0.20136403309169676</v>
      </c>
      <c r="X329" s="3">
        <f t="shared" si="240"/>
        <v>-0.23372976149373845</v>
      </c>
      <c r="Y329" s="3">
        <f t="shared" si="241"/>
        <v>-6.5430579595221652E-2</v>
      </c>
      <c r="Z329" s="3">
        <f t="shared" si="242"/>
        <v>-0.80315149109055795</v>
      </c>
      <c r="AA329" s="3">
        <f t="shared" si="243"/>
        <v>-0.77341780382702563</v>
      </c>
      <c r="AB329" s="3">
        <f t="shared" si="244"/>
        <v>-0.21651147397855633</v>
      </c>
      <c r="AC329" s="3">
        <f t="shared" si="245"/>
        <v>-0.25131188721583281</v>
      </c>
      <c r="AD329" s="3">
        <f t="shared" si="246"/>
        <v>-7.0352540192625129E-2</v>
      </c>
      <c r="AE329" s="3">
        <f t="shared" si="222"/>
        <v>0.41957708145104217</v>
      </c>
      <c r="AF329" s="3">
        <f t="shared" si="247"/>
        <v>0.40404380552339497</v>
      </c>
      <c r="AG329" s="3">
        <f t="shared" si="248"/>
        <v>0.11310848994283079</v>
      </c>
      <c r="AH329" s="3">
        <f t="shared" si="249"/>
        <v>0.13128869128885595</v>
      </c>
      <c r="AI329" s="3">
        <f t="shared" si="250"/>
        <v>3.6753107992873665E-2</v>
      </c>
      <c r="AJ329" s="3">
        <f t="shared" si="223"/>
        <v>0.97418170272701987</v>
      </c>
      <c r="AK329" s="3">
        <f t="shared" si="251"/>
        <v>0.93811626002030313</v>
      </c>
      <c r="AL329" s="3">
        <f t="shared" si="252"/>
        <v>0.26261735017632531</v>
      </c>
      <c r="AM329" s="3">
        <f t="shared" si="253"/>
        <v>0.30482847248534356</v>
      </c>
      <c r="AN329" s="3">
        <f t="shared" si="254"/>
        <v>8.5334034931518254E-2</v>
      </c>
      <c r="AO329" s="3">
        <f t="shared" si="224"/>
        <v>-2.2476023849026947E-2</v>
      </c>
      <c r="AP329" s="3">
        <f t="shared" si="255"/>
        <v>-2.1643932927864342E-2</v>
      </c>
      <c r="AQ329" s="3">
        <f t="shared" si="256"/>
        <v>-6.059027601532917E-3</v>
      </c>
      <c r="AR329" s="3"/>
      <c r="AS329" s="2"/>
      <c r="AT329" s="2"/>
    </row>
    <row r="330" spans="1:46">
      <c r="A330">
        <f t="shared" si="257"/>
        <v>327</v>
      </c>
      <c r="B330" s="1">
        <f t="shared" si="215"/>
        <v>40.329890999999996</v>
      </c>
      <c r="C330" s="1">
        <f t="shared" si="216"/>
        <v>253.40017857135422</v>
      </c>
      <c r="D330" s="1">
        <f t="shared" si="217"/>
        <v>0.87663641179443874</v>
      </c>
      <c r="E330" s="1">
        <f t="shared" si="218"/>
        <v>-0.48115340746602975</v>
      </c>
      <c r="F330" s="2">
        <f t="shared" si="219"/>
        <v>28724.745305268374</v>
      </c>
      <c r="G330" s="2">
        <f t="shared" si="220"/>
        <v>-15765.953702439398</v>
      </c>
      <c r="H330" s="2">
        <f t="shared" si="221"/>
        <v>7181.4054854200422</v>
      </c>
      <c r="I330" s="3">
        <f t="shared" si="225"/>
        <v>0.56362597248412216</v>
      </c>
      <c r="J330" s="3">
        <f t="shared" si="226"/>
        <v>0.31767423685867241</v>
      </c>
      <c r="K330" s="3">
        <f t="shared" si="227"/>
        <v>0.90595423181372725</v>
      </c>
      <c r="L330" s="3">
        <f t="shared" si="228"/>
        <v>0.79419246702717305</v>
      </c>
      <c r="M330" s="3">
        <f t="shared" si="229"/>
        <v>-0.43590296564544428</v>
      </c>
      <c r="N330" s="3">
        <f t="shared" si="230"/>
        <v>0.25229448588176356</v>
      </c>
      <c r="O330" s="3">
        <f t="shared" si="231"/>
        <v>-0.13847514195584862</v>
      </c>
      <c r="P330" s="3">
        <f t="shared" si="232"/>
        <v>-0.23391865481900137</v>
      </c>
      <c r="Q330" s="3">
        <f t="shared" si="233"/>
        <v>-0.20506161021231126</v>
      </c>
      <c r="R330" s="3">
        <f t="shared" si="234"/>
        <v>0.11255075783603254</v>
      </c>
      <c r="S330" s="3">
        <f t="shared" si="235"/>
        <v>-6.5142790533206527E-2</v>
      </c>
      <c r="T330" s="3">
        <f t="shared" si="236"/>
        <v>3.5754476103426878E-2</v>
      </c>
      <c r="U330" s="3">
        <f t="shared" si="237"/>
        <v>-0.99938601180545417</v>
      </c>
      <c r="V330" s="3">
        <f t="shared" si="238"/>
        <v>-0.87609816738668789</v>
      </c>
      <c r="W330" s="3">
        <f t="shared" si="239"/>
        <v>0.48085798495408011</v>
      </c>
      <c r="X330" s="3">
        <f t="shared" si="240"/>
        <v>-0.27831381673784755</v>
      </c>
      <c r="Y330" s="3">
        <f t="shared" si="241"/>
        <v>0.15275619340768637</v>
      </c>
      <c r="Z330" s="3">
        <f t="shared" si="242"/>
        <v>-0.1652560670690891</v>
      </c>
      <c r="AA330" s="3">
        <f t="shared" si="243"/>
        <v>-0.14486948566270738</v>
      </c>
      <c r="AB330" s="3">
        <f t="shared" si="244"/>
        <v>7.9513519774726968E-2</v>
      </c>
      <c r="AC330" s="3">
        <f t="shared" si="245"/>
        <v>-4.6021303302008952E-2</v>
      </c>
      <c r="AD330" s="3">
        <f t="shared" si="246"/>
        <v>2.5259396714383348E-2</v>
      </c>
      <c r="AE330" s="3">
        <f t="shared" si="222"/>
        <v>0.93337943993695704</v>
      </c>
      <c r="AF330" s="3">
        <f t="shared" si="247"/>
        <v>0.81823440306903683</v>
      </c>
      <c r="AG330" s="3">
        <f t="shared" si="248"/>
        <v>-0.44909869798440133</v>
      </c>
      <c r="AH330" s="3">
        <f t="shared" si="249"/>
        <v>0.25993198956646762</v>
      </c>
      <c r="AI330" s="3">
        <f t="shared" si="250"/>
        <v>-0.1426670861564181</v>
      </c>
      <c r="AJ330" s="3">
        <f t="shared" si="223"/>
        <v>0.53806644659378766</v>
      </c>
      <c r="AK330" s="3">
        <f t="shared" si="251"/>
        <v>0.47168863904896202</v>
      </c>
      <c r="AL330" s="3">
        <f t="shared" si="252"/>
        <v>-0.25889250422173943</v>
      </c>
      <c r="AM330" s="3">
        <f t="shared" si="253"/>
        <v>0.14984332844478479</v>
      </c>
      <c r="AN330" s="3">
        <f t="shared" si="254"/>
        <v>-8.2243478707071702E-2</v>
      </c>
      <c r="AO330" s="3">
        <f t="shared" si="224"/>
        <v>-0.71846496080755118</v>
      </c>
      <c r="AP330" s="3">
        <f t="shared" si="255"/>
        <v>-0.62983254524236376</v>
      </c>
      <c r="AQ330" s="3">
        <f t="shared" si="256"/>
        <v>0.34569186403750074</v>
      </c>
      <c r="AR330" s="3"/>
      <c r="AS330" s="2"/>
      <c r="AT330" s="2"/>
    </row>
    <row r="331" spans="1:46">
      <c r="A331">
        <f t="shared" si="257"/>
        <v>328</v>
      </c>
      <c r="B331" s="1">
        <f t="shared" si="215"/>
        <v>40.453223999999999</v>
      </c>
      <c r="C331" s="1">
        <f t="shared" si="216"/>
        <v>254.17510266484462</v>
      </c>
      <c r="D331" s="1">
        <f t="shared" si="217"/>
        <v>0.28968937042094955</v>
      </c>
      <c r="E331" s="1">
        <f t="shared" si="218"/>
        <v>-0.95712071791656139</v>
      </c>
      <c r="F331" s="2">
        <f t="shared" si="219"/>
        <v>9492.2516005832549</v>
      </c>
      <c r="G331" s="2">
        <f t="shared" si="220"/>
        <v>-31361.974563971966</v>
      </c>
      <c r="H331" s="2">
        <f t="shared" si="221"/>
        <v>2373.1353224884188</v>
      </c>
      <c r="I331" s="3">
        <f t="shared" si="225"/>
        <v>0.55718560469542888</v>
      </c>
      <c r="J331" s="3">
        <f t="shared" si="226"/>
        <v>0.31045579807981072</v>
      </c>
      <c r="K331" s="3">
        <f t="shared" si="227"/>
        <v>0.37059164596114452</v>
      </c>
      <c r="L331" s="3">
        <f t="shared" si="228"/>
        <v>0.10735646060174739</v>
      </c>
      <c r="M331" s="3">
        <f t="shared" si="229"/>
        <v>-0.35470094223621079</v>
      </c>
      <c r="N331" s="3">
        <f t="shared" si="230"/>
        <v>3.3329435655139246E-2</v>
      </c>
      <c r="O331" s="3">
        <f t="shared" si="231"/>
        <v>-0.11011896410160367</v>
      </c>
      <c r="P331" s="3">
        <f t="shared" si="232"/>
        <v>-0.83836520448924534</v>
      </c>
      <c r="Q331" s="3">
        <f t="shared" si="233"/>
        <v>-0.24286548827132012</v>
      </c>
      <c r="R331" s="3">
        <f t="shared" si="234"/>
        <v>0.80241670639701135</v>
      </c>
      <c r="S331" s="3">
        <f t="shared" si="235"/>
        <v>-7.5398998987315599E-2</v>
      </c>
      <c r="T331" s="3">
        <f t="shared" si="236"/>
        <v>0.24911491897705731</v>
      </c>
      <c r="U331" s="3">
        <f t="shared" si="237"/>
        <v>-0.69856654123731643</v>
      </c>
      <c r="V331" s="3">
        <f t="shared" si="238"/>
        <v>-0.2023673015281785</v>
      </c>
      <c r="W331" s="3">
        <f t="shared" si="239"/>
        <v>0.66861250946154949</v>
      </c>
      <c r="X331" s="3">
        <f t="shared" si="240"/>
        <v>-6.2826102101188344E-2</v>
      </c>
      <c r="Y331" s="3">
        <f t="shared" si="241"/>
        <v>0.20757463023103034</v>
      </c>
      <c r="Z331" s="3">
        <f t="shared" si="242"/>
        <v>0.56508061803588638</v>
      </c>
      <c r="AA331" s="3">
        <f t="shared" si="243"/>
        <v>0.163697848475897</v>
      </c>
      <c r="AB331" s="3">
        <f t="shared" si="244"/>
        <v>-0.54085036681524179</v>
      </c>
      <c r="AC331" s="3">
        <f t="shared" si="245"/>
        <v>5.082094619253253E-2</v>
      </c>
      <c r="AD331" s="3">
        <f t="shared" si="246"/>
        <v>-0.16791013227138427</v>
      </c>
      <c r="AE331" s="3">
        <f t="shared" si="222"/>
        <v>0.91963041117191235</v>
      </c>
      <c r="AF331" s="3">
        <f t="shared" si="247"/>
        <v>0.26640715483235028</v>
      </c>
      <c r="AG331" s="3">
        <f t="shared" si="248"/>
        <v>-0.88019731935876333</v>
      </c>
      <c r="AH331" s="3">
        <f t="shared" si="249"/>
        <v>8.2707645867649005E-2</v>
      </c>
      <c r="AI331" s="3">
        <f t="shared" si="250"/>
        <v>-0.27326236124923486</v>
      </c>
      <c r="AJ331" s="3">
        <f t="shared" si="223"/>
        <v>-0.20531415089029276</v>
      </c>
      <c r="AK331" s="3">
        <f t="shared" si="251"/>
        <v>-5.947732710992075E-2</v>
      </c>
      <c r="AL331" s="3">
        <f t="shared" si="252"/>
        <v>0.19651042749854622</v>
      </c>
      <c r="AM331" s="3">
        <f t="shared" si="253"/>
        <v>-1.8465081055564408E-2</v>
      </c>
      <c r="AN331" s="3">
        <f t="shared" si="254"/>
        <v>6.1007801600065956E-2</v>
      </c>
      <c r="AO331" s="3">
        <f t="shared" si="224"/>
        <v>-0.99995088102966589</v>
      </c>
      <c r="AP331" s="3">
        <f t="shared" si="255"/>
        <v>-0.28967514117735776</v>
      </c>
      <c r="AQ331" s="3">
        <f t="shared" si="256"/>
        <v>0.95707370513241186</v>
      </c>
      <c r="AR331" s="3"/>
      <c r="AS331" s="2"/>
      <c r="AT331" s="2"/>
    </row>
    <row r="332" spans="1:46">
      <c r="A332">
        <f t="shared" si="257"/>
        <v>329</v>
      </c>
      <c r="B332" s="1">
        <f t="shared" si="215"/>
        <v>40.576557000000001</v>
      </c>
      <c r="C332" s="1">
        <f t="shared" si="216"/>
        <v>254.95002675833499</v>
      </c>
      <c r="D332" s="1">
        <f t="shared" si="217"/>
        <v>-0.46268528129865827</v>
      </c>
      <c r="E332" s="1">
        <f t="shared" si="218"/>
        <v>-0.88652260572958963</v>
      </c>
      <c r="F332" s="2">
        <f t="shared" si="219"/>
        <v>-15160.808612313136</v>
      </c>
      <c r="G332" s="2">
        <f t="shared" si="220"/>
        <v>-29048.686221941465</v>
      </c>
      <c r="H332" s="2">
        <f t="shared" si="221"/>
        <v>-3790.3178243986085</v>
      </c>
      <c r="I332" s="3">
        <f t="shared" si="225"/>
        <v>0.55071154429213098</v>
      </c>
      <c r="J332" s="3">
        <f t="shared" si="226"/>
        <v>0.30328320501662376</v>
      </c>
      <c r="K332" s="3">
        <f t="shared" si="227"/>
        <v>-0.36565486483344345</v>
      </c>
      <c r="L332" s="3">
        <f t="shared" si="228"/>
        <v>0.16918312399368465</v>
      </c>
      <c r="M332" s="3">
        <f t="shared" si="229"/>
        <v>0.32416130356984518</v>
      </c>
      <c r="N332" s="3">
        <f t="shared" si="230"/>
        <v>5.1310400079529542E-2</v>
      </c>
      <c r="O332" s="3">
        <f t="shared" si="231"/>
        <v>9.8312679089029367E-2</v>
      </c>
      <c r="P332" s="3">
        <f t="shared" si="232"/>
        <v>-0.98354660359962143</v>
      </c>
      <c r="Q332" s="3">
        <f t="shared" si="233"/>
        <v>0.45507253695683075</v>
      </c>
      <c r="R332" s="3">
        <f t="shared" si="234"/>
        <v>0.87193629787962412</v>
      </c>
      <c r="S332" s="3">
        <f t="shared" si="235"/>
        <v>0.13801585752331361</v>
      </c>
      <c r="T332" s="3">
        <f t="shared" si="236"/>
        <v>0.264443634991262</v>
      </c>
      <c r="U332" s="3">
        <f t="shared" si="237"/>
        <v>-1.1032181185706312E-2</v>
      </c>
      <c r="V332" s="3">
        <f t="shared" si="238"/>
        <v>5.1044278552462904E-3</v>
      </c>
      <c r="W332" s="3">
        <f t="shared" si="239"/>
        <v>9.780278011633314E-3</v>
      </c>
      <c r="X332" s="3">
        <f t="shared" si="240"/>
        <v>1.5480872397152258E-3</v>
      </c>
      <c r="Y332" s="3">
        <f t="shared" si="241"/>
        <v>2.9661940613217638E-3</v>
      </c>
      <c r="Z332" s="3">
        <f t="shared" si="242"/>
        <v>0.97932140499004072</v>
      </c>
      <c r="AA332" s="3">
        <f t="shared" si="243"/>
        <v>-0.45311759974961424</v>
      </c>
      <c r="AB332" s="3">
        <f t="shared" si="244"/>
        <v>-0.86819056379853365</v>
      </c>
      <c r="AC332" s="3">
        <f t="shared" si="245"/>
        <v>-0.13742295790150272</v>
      </c>
      <c r="AD332" s="3">
        <f t="shared" si="246"/>
        <v>-0.26330761675400882</v>
      </c>
      <c r="AE332" s="3">
        <f t="shared" si="222"/>
        <v>0.38610102469438035</v>
      </c>
      <c r="AF332" s="3">
        <f t="shared" si="247"/>
        <v>-0.17864326122041957</v>
      </c>
      <c r="AG332" s="3">
        <f t="shared" si="248"/>
        <v>-0.34228728648692669</v>
      </c>
      <c r="AH332" s="3">
        <f t="shared" si="249"/>
        <v>-5.4179500817550783E-2</v>
      </c>
      <c r="AI332" s="3">
        <f t="shared" si="250"/>
        <v>-0.10380998528219842</v>
      </c>
      <c r="AJ332" s="3">
        <f t="shared" si="223"/>
        <v>-0.83144914970002959</v>
      </c>
      <c r="AK332" s="3">
        <f t="shared" si="251"/>
        <v>0.38469928371448842</v>
      </c>
      <c r="AL332" s="3">
        <f t="shared" si="252"/>
        <v>0.73709846672372192</v>
      </c>
      <c r="AM332" s="3">
        <f t="shared" si="253"/>
        <v>0.1166728317325295</v>
      </c>
      <c r="AN332" s="3">
        <f t="shared" si="254"/>
        <v>0.22354958540080955</v>
      </c>
      <c r="AO332" s="3">
        <f t="shared" si="224"/>
        <v>-0.70453649381136696</v>
      </c>
      <c r="AP332" s="3">
        <f t="shared" si="255"/>
        <v>0.32597866582428275</v>
      </c>
      <c r="AQ332" s="3">
        <f t="shared" si="256"/>
        <v>0.62458752832524189</v>
      </c>
      <c r="AR332" s="3"/>
      <c r="AS332" s="2"/>
      <c r="AT332" s="2"/>
    </row>
    <row r="333" spans="1:46">
      <c r="A333">
        <f t="shared" si="257"/>
        <v>330</v>
      </c>
      <c r="B333" s="1">
        <f t="shared" si="215"/>
        <v>40.699889999999996</v>
      </c>
      <c r="C333" s="1">
        <f t="shared" si="216"/>
        <v>255.72495085182535</v>
      </c>
      <c r="D333" s="1">
        <f t="shared" si="217"/>
        <v>-0.95084271194335079</v>
      </c>
      <c r="E333" s="1">
        <f t="shared" si="218"/>
        <v>-0.30967424359189777</v>
      </c>
      <c r="F333" s="2">
        <f t="shared" si="219"/>
        <v>-31156.263142247775</v>
      </c>
      <c r="G333" s="2">
        <f t="shared" si="220"/>
        <v>-10147.095939775714</v>
      </c>
      <c r="H333" s="2">
        <f t="shared" si="221"/>
        <v>-7789.3034962399297</v>
      </c>
      <c r="I333" s="3">
        <f t="shared" si="225"/>
        <v>0.54420418275602767</v>
      </c>
      <c r="J333" s="3">
        <f t="shared" si="226"/>
        <v>0.29615819252915598</v>
      </c>
      <c r="K333" s="3">
        <f t="shared" si="227"/>
        <v>-0.90369349581637226</v>
      </c>
      <c r="L333" s="3">
        <f t="shared" si="228"/>
        <v>0.85927037432760656</v>
      </c>
      <c r="M333" s="3">
        <f t="shared" si="229"/>
        <v>0.27985059975585291</v>
      </c>
      <c r="N333" s="3">
        <f t="shared" si="230"/>
        <v>0.25447996095471526</v>
      </c>
      <c r="O333" s="3">
        <f t="shared" si="231"/>
        <v>8.2880047801893661E-2</v>
      </c>
      <c r="P333" s="3">
        <f t="shared" si="232"/>
        <v>-0.58993097658575167</v>
      </c>
      <c r="Q333" s="3">
        <f t="shared" si="233"/>
        <v>0.56093156963618551</v>
      </c>
      <c r="R333" s="3">
        <f t="shared" si="234"/>
        <v>0.1826864289456222</v>
      </c>
      <c r="S333" s="3">
        <f t="shared" si="235"/>
        <v>0.16612447979599509</v>
      </c>
      <c r="T333" s="3">
        <f t="shared" si="236"/>
        <v>5.4104082596141551E-2</v>
      </c>
      <c r="U333" s="3">
        <f t="shared" si="237"/>
        <v>0.68260941200139791</v>
      </c>
      <c r="V333" s="3">
        <f t="shared" si="238"/>
        <v>-0.64905418450546526</v>
      </c>
      <c r="W333" s="3">
        <f t="shared" si="239"/>
        <v>-0.211386553330243</v>
      </c>
      <c r="X333" s="3">
        <f t="shared" si="240"/>
        <v>-0.1922227141366239</v>
      </c>
      <c r="Y333" s="3">
        <f t="shared" si="241"/>
        <v>-6.2603859559252809E-2</v>
      </c>
      <c r="Z333" s="3">
        <f t="shared" si="242"/>
        <v>0.84574747452457744</v>
      </c>
      <c r="AA333" s="3">
        <f t="shared" si="243"/>
        <v>-0.80417282229618925</v>
      </c>
      <c r="AB333" s="3">
        <f t="shared" si="244"/>
        <v>-0.26190620944315635</v>
      </c>
      <c r="AC333" s="3">
        <f t="shared" si="245"/>
        <v>-0.23816236953230951</v>
      </c>
      <c r="AD333" s="3">
        <f t="shared" si="246"/>
        <v>-7.7565669600847736E-2</v>
      </c>
      <c r="AE333" s="3">
        <f t="shared" si="222"/>
        <v>-0.36565486483344983</v>
      </c>
      <c r="AF333" s="3">
        <f t="shared" si="247"/>
        <v>0.34768026331351681</v>
      </c>
      <c r="AG333" s="3">
        <f t="shared" si="248"/>
        <v>0.1132338936829962</v>
      </c>
      <c r="AH333" s="3">
        <f t="shared" si="249"/>
        <v>0.10296835836099216</v>
      </c>
      <c r="AI333" s="3">
        <f t="shared" si="250"/>
        <v>3.3535145286194765E-2</v>
      </c>
      <c r="AJ333" s="3">
        <f t="shared" si="223"/>
        <v>-0.98278125303889752</v>
      </c>
      <c r="AK333" s="3">
        <f t="shared" si="251"/>
        <v>0.93447039188658976</v>
      </c>
      <c r="AL333" s="3">
        <f t="shared" si="252"/>
        <v>0.30434204115111807</v>
      </c>
      <c r="AM333" s="3">
        <f t="shared" si="253"/>
        <v>0.2767510622331445</v>
      </c>
      <c r="AN333" s="3">
        <f t="shared" si="254"/>
        <v>9.0133388817949148E-2</v>
      </c>
      <c r="AO333" s="3">
        <f t="shared" si="224"/>
        <v>-2.6548214557927828E-3</v>
      </c>
      <c r="AP333" s="3">
        <f t="shared" si="255"/>
        <v>2.5243176327514041E-3</v>
      </c>
      <c r="AQ333" s="3">
        <f t="shared" si="256"/>
        <v>8.2212982619417091E-4</v>
      </c>
      <c r="AR333" s="3"/>
      <c r="AS333" s="2"/>
      <c r="AT333" s="2"/>
    </row>
    <row r="334" spans="1:46">
      <c r="A334">
        <f t="shared" si="257"/>
        <v>331</v>
      </c>
      <c r="B334" s="1">
        <f t="shared" si="215"/>
        <v>40.823222999999999</v>
      </c>
      <c r="C334" s="1">
        <f t="shared" si="216"/>
        <v>256.49987494531575</v>
      </c>
      <c r="D334" s="1">
        <f t="shared" si="217"/>
        <v>-0.89601978599691012</v>
      </c>
      <c r="E334" s="1">
        <f t="shared" si="218"/>
        <v>0.44401412489024639</v>
      </c>
      <c r="F334" s="2">
        <f t="shared" si="219"/>
        <v>-29359.880327760755</v>
      </c>
      <c r="G334" s="2">
        <f t="shared" si="220"/>
        <v>14549.010830278703</v>
      </c>
      <c r="H334" s="2">
        <f t="shared" si="221"/>
        <v>-7340.1940868866877</v>
      </c>
      <c r="I334" s="3">
        <f t="shared" si="225"/>
        <v>0.53766391358261079</v>
      </c>
      <c r="J334" s="3">
        <f t="shared" si="226"/>
        <v>0.28908248396896918</v>
      </c>
      <c r="K334" s="3">
        <f t="shared" si="227"/>
        <v>-0.9518735496763624</v>
      </c>
      <c r="L334" s="3">
        <f t="shared" si="228"/>
        <v>0.85289753427713344</v>
      </c>
      <c r="M334" s="3">
        <f t="shared" si="229"/>
        <v>-0.42264530116572252</v>
      </c>
      <c r="N334" s="3">
        <f t="shared" si="230"/>
        <v>0.24655773777984277</v>
      </c>
      <c r="O334" s="3">
        <f t="shared" si="231"/>
        <v>-0.12217935349880013</v>
      </c>
      <c r="P334" s="3">
        <f t="shared" si="232"/>
        <v>0.1268549553630188</v>
      </c>
      <c r="Q334" s="3">
        <f t="shared" si="233"/>
        <v>-0.11366454995701969</v>
      </c>
      <c r="R334" s="3">
        <f t="shared" si="234"/>
        <v>5.6325391993502061E-2</v>
      </c>
      <c r="S334" s="3">
        <f t="shared" si="235"/>
        <v>-3.2858430440790246E-2</v>
      </c>
      <c r="T334" s="3">
        <f t="shared" si="236"/>
        <v>1.6282684228007466E-2</v>
      </c>
      <c r="U334" s="3">
        <f t="shared" si="237"/>
        <v>0.99836971866862401</v>
      </c>
      <c r="V334" s="3">
        <f t="shared" si="238"/>
        <v>-0.89455902166725587</v>
      </c>
      <c r="W334" s="3">
        <f t="shared" si="239"/>
        <v>0.44329025695157059</v>
      </c>
      <c r="X334" s="3">
        <f t="shared" si="240"/>
        <v>-0.25860134404042123</v>
      </c>
      <c r="Y334" s="3">
        <f t="shared" si="241"/>
        <v>0.12814744859880262</v>
      </c>
      <c r="Z334" s="3">
        <f t="shared" si="242"/>
        <v>0.23907767236238431</v>
      </c>
      <c r="AA334" s="3">
        <f t="shared" si="243"/>
        <v>-0.21421832482678299</v>
      </c>
      <c r="AB334" s="3">
        <f t="shared" si="244"/>
        <v>0.10615386347478112</v>
      </c>
      <c r="AC334" s="3">
        <f t="shared" si="245"/>
        <v>-6.1926765452597919E-2</v>
      </c>
      <c r="AD334" s="3">
        <f t="shared" si="246"/>
        <v>3.0687222536192552E-2</v>
      </c>
      <c r="AE334" s="3">
        <f t="shared" si="222"/>
        <v>-0.91074053757256579</v>
      </c>
      <c r="AF334" s="3">
        <f t="shared" si="247"/>
        <v>0.81604154157448128</v>
      </c>
      <c r="AG334" s="3">
        <f t="shared" si="248"/>
        <v>-0.40438166279235538</v>
      </c>
      <c r="AH334" s="3">
        <f t="shared" si="249"/>
        <v>0.2359033158602179</v>
      </c>
      <c r="AI334" s="3">
        <f t="shared" si="250"/>
        <v>-0.11689965555151619</v>
      </c>
      <c r="AJ334" s="3">
        <f t="shared" si="223"/>
        <v>-0.57289156100316219</v>
      </c>
      <c r="AK334" s="3">
        <f t="shared" si="251"/>
        <v>0.5133221738894892</v>
      </c>
      <c r="AL334" s="3">
        <f t="shared" si="252"/>
        <v>-0.25437194511582628</v>
      </c>
      <c r="AM334" s="3">
        <f t="shared" si="253"/>
        <v>0.14839244910432467</v>
      </c>
      <c r="AN334" s="3">
        <f t="shared" si="254"/>
        <v>-7.3534473746101364E-2</v>
      </c>
      <c r="AO334" s="3">
        <f t="shared" si="224"/>
        <v>0.7007584934465324</v>
      </c>
      <c r="AP334" s="3">
        <f t="shared" si="255"/>
        <v>-0.62789347533347906</v>
      </c>
      <c r="AQ334" s="3">
        <f t="shared" si="256"/>
        <v>0.31114666922706952</v>
      </c>
      <c r="AR334" s="3"/>
      <c r="AS334" s="2"/>
      <c r="AT334" s="2"/>
    </row>
    <row r="335" spans="1:46">
      <c r="A335">
        <f t="shared" si="257"/>
        <v>332</v>
      </c>
      <c r="B335" s="1">
        <f t="shared" si="215"/>
        <v>40.946556000000001</v>
      </c>
      <c r="C335" s="1">
        <f t="shared" si="216"/>
        <v>257.27479903880612</v>
      </c>
      <c r="D335" s="1">
        <f t="shared" si="217"/>
        <v>-0.32952322906796061</v>
      </c>
      <c r="E335" s="1">
        <f t="shared" si="218"/>
        <v>0.94414746809204775</v>
      </c>
      <c r="F335" s="2">
        <f t="shared" si="219"/>
        <v>-10797.487646869866</v>
      </c>
      <c r="G335" s="2">
        <f t="shared" si="220"/>
        <v>30936.880086972127</v>
      </c>
      <c r="H335" s="2">
        <f t="shared" si="221"/>
        <v>-2699.4542925247333</v>
      </c>
      <c r="I335" s="3">
        <f t="shared" si="225"/>
        <v>0.531091132257275</v>
      </c>
      <c r="J335" s="3">
        <f t="shared" si="226"/>
        <v>0.28205779076231435</v>
      </c>
      <c r="K335" s="3">
        <f t="shared" si="227"/>
        <v>-0.48407841415625152</v>
      </c>
      <c r="L335" s="3">
        <f t="shared" si="228"/>
        <v>0.15951508215486557</v>
      </c>
      <c r="M335" s="3">
        <f t="shared" si="229"/>
        <v>-0.45704140908363855</v>
      </c>
      <c r="N335" s="3">
        <f t="shared" si="230"/>
        <v>4.4992471665870462E-2</v>
      </c>
      <c r="O335" s="3">
        <f t="shared" si="231"/>
        <v>-0.12891209013302626</v>
      </c>
      <c r="P335" s="3">
        <f t="shared" si="232"/>
        <v>0.77414842762702329</v>
      </c>
      <c r="Q335" s="3">
        <f t="shared" si="233"/>
        <v>-0.25509988964954111</v>
      </c>
      <c r="R335" s="3">
        <f t="shared" si="234"/>
        <v>0.73091027787149387</v>
      </c>
      <c r="S335" s="3">
        <f t="shared" si="235"/>
        <v>-7.1952911298259759E-2</v>
      </c>
      <c r="T335" s="3">
        <f t="shared" si="236"/>
        <v>0.20615893822190287</v>
      </c>
      <c r="U335" s="3">
        <f t="shared" si="237"/>
        <v>0.76144905276201191</v>
      </c>
      <c r="V335" s="3">
        <f t="shared" si="238"/>
        <v>-0.25091515063687808</v>
      </c>
      <c r="W335" s="3">
        <f t="shared" si="239"/>
        <v>0.71892019524634165</v>
      </c>
      <c r="X335" s="3">
        <f t="shared" si="240"/>
        <v>-7.0772573057431135E-2</v>
      </c>
      <c r="Y335" s="3">
        <f t="shared" si="241"/>
        <v>0.20277704200559479</v>
      </c>
      <c r="Z335" s="3">
        <f t="shared" si="242"/>
        <v>-0.50132786442093435</v>
      </c>
      <c r="AA335" s="3">
        <f t="shared" si="243"/>
        <v>0.16519917670573106</v>
      </c>
      <c r="AB335" s="3">
        <f t="shared" si="244"/>
        <v>-0.47332743387701853</v>
      </c>
      <c r="AC335" s="3">
        <f t="shared" si="245"/>
        <v>4.6595714817371688E-2</v>
      </c>
      <c r="AD335" s="3">
        <f t="shared" si="246"/>
        <v>-0.1335056903065473</v>
      </c>
      <c r="AE335" s="3">
        <f t="shared" si="222"/>
        <v>-0.94107045990159832</v>
      </c>
      <c r="AF335" s="3">
        <f t="shared" si="247"/>
        <v>0.31010457672724545</v>
      </c>
      <c r="AG335" s="3">
        <f t="shared" si="248"/>
        <v>-0.88850929201231299</v>
      </c>
      <c r="AH335" s="3">
        <f t="shared" si="249"/>
        <v>8.7467411816969445E-2</v>
      </c>
      <c r="AI335" s="3">
        <f t="shared" si="250"/>
        <v>-0.25061096797678106</v>
      </c>
      <c r="AJ335" s="3">
        <f t="shared" si="223"/>
        <v>0.16415051558103413</v>
      </c>
      <c r="AK335" s="3">
        <f t="shared" si="251"/>
        <v>-5.4091407947432946E-2</v>
      </c>
      <c r="AL335" s="3">
        <f t="shared" si="252"/>
        <v>0.15498229367183761</v>
      </c>
      <c r="AM335" s="3">
        <f t="shared" si="253"/>
        <v>-1.5256903024876029E-2</v>
      </c>
      <c r="AN335" s="3">
        <f t="shared" si="254"/>
        <v>4.3713963360354727E-2</v>
      </c>
      <c r="AO335" s="3">
        <f t="shared" si="224"/>
        <v>0.99988415984507251</v>
      </c>
      <c r="AP335" s="3">
        <f t="shared" si="255"/>
        <v>-0.32948505704605319</v>
      </c>
      <c r="AQ335" s="3">
        <f t="shared" si="256"/>
        <v>0.94403809790306958</v>
      </c>
      <c r="AR335" s="3"/>
      <c r="AS335" s="2"/>
      <c r="AT335" s="2"/>
    </row>
    <row r="336" spans="1:46">
      <c r="A336">
        <f t="shared" si="257"/>
        <v>333</v>
      </c>
      <c r="B336" s="1">
        <f t="shared" si="215"/>
        <v>41.069888999999996</v>
      </c>
      <c r="C336" s="1">
        <f t="shared" si="216"/>
        <v>258.04972313229649</v>
      </c>
      <c r="D336" s="1">
        <f t="shared" si="217"/>
        <v>0.42514813130317874</v>
      </c>
      <c r="E336" s="1">
        <f t="shared" si="218"/>
        <v>0.90512378515284586</v>
      </c>
      <c r="F336" s="2">
        <f t="shared" si="219"/>
        <v>13930.828818411257</v>
      </c>
      <c r="G336" s="2">
        <f t="shared" si="220"/>
        <v>29658.1910681033</v>
      </c>
      <c r="H336" s="2">
        <f t="shared" si="221"/>
        <v>3482.8134916356403</v>
      </c>
      <c r="I336" s="3">
        <f t="shared" si="225"/>
        <v>0.52448623623140223</v>
      </c>
      <c r="J336" s="3">
        <f t="shared" si="226"/>
        <v>0.27508581199618226</v>
      </c>
      <c r="K336" s="3">
        <f t="shared" si="227"/>
        <v>0.2461175954127002</v>
      </c>
      <c r="L336" s="3">
        <f t="shared" si="228"/>
        <v>0.10463643577054128</v>
      </c>
      <c r="M336" s="3">
        <f t="shared" si="229"/>
        <v>0.22276688955265989</v>
      </c>
      <c r="N336" s="3">
        <f t="shared" si="230"/>
        <v>2.8783998898325721E-2</v>
      </c>
      <c r="O336" s="3">
        <f t="shared" si="231"/>
        <v>6.1280010698457295E-2</v>
      </c>
      <c r="P336" s="3">
        <f t="shared" si="232"/>
        <v>0.99735536544759795</v>
      </c>
      <c r="Q336" s="3">
        <f t="shared" si="233"/>
        <v>0.4240237698652452</v>
      </c>
      <c r="R336" s="3">
        <f t="shared" si="234"/>
        <v>0.9027300635164297</v>
      </c>
      <c r="S336" s="3">
        <f t="shared" si="235"/>
        <v>0.1166429230390633</v>
      </c>
      <c r="T336" s="3">
        <f t="shared" si="236"/>
        <v>0.24832823253578229</v>
      </c>
      <c r="U336" s="3">
        <f t="shared" si="237"/>
        <v>0.10300277847937439</v>
      </c>
      <c r="V336" s="3">
        <f t="shared" si="238"/>
        <v>4.3791438789541295E-2</v>
      </c>
      <c r="W336" s="3">
        <f t="shared" si="239"/>
        <v>9.323026473851144E-2</v>
      </c>
      <c r="X336" s="3">
        <f t="shared" si="240"/>
        <v>1.2046403497902081E-2</v>
      </c>
      <c r="Y336" s="3">
        <f t="shared" si="241"/>
        <v>2.5646323078212459E-2</v>
      </c>
      <c r="Z336" s="3">
        <f t="shared" si="242"/>
        <v>-0.96129964270276058</v>
      </c>
      <c r="AA336" s="3">
        <f t="shared" si="243"/>
        <v>-0.40869474671749206</v>
      </c>
      <c r="AB336" s="3">
        <f t="shared" si="244"/>
        <v>-0.870095171269201</v>
      </c>
      <c r="AC336" s="3">
        <f t="shared" si="245"/>
        <v>-0.11242612625935536</v>
      </c>
      <c r="AD336" s="3">
        <f t="shared" si="246"/>
        <v>-0.23935083670254542</v>
      </c>
      <c r="AE336" s="3">
        <f t="shared" si="222"/>
        <v>-0.43950198659474765</v>
      </c>
      <c r="AF336" s="3">
        <f t="shared" si="247"/>
        <v>-0.18685344830479167</v>
      </c>
      <c r="AG336" s="3">
        <f t="shared" si="248"/>
        <v>-0.39780370168883333</v>
      </c>
      <c r="AH336" s="3">
        <f t="shared" si="249"/>
        <v>-5.140073255121029E-2</v>
      </c>
      <c r="AI336" s="3">
        <f t="shared" si="250"/>
        <v>-0.10943015429415978</v>
      </c>
      <c r="AJ336" s="3">
        <f t="shared" si="223"/>
        <v>0.80745367846373073</v>
      </c>
      <c r="AK336" s="3">
        <f t="shared" si="251"/>
        <v>0.34328742251273286</v>
      </c>
      <c r="AL336" s="3">
        <f t="shared" si="252"/>
        <v>0.73084552978668094</v>
      </c>
      <c r="AM336" s="3">
        <f t="shared" si="253"/>
        <v>9.4433499369991625E-2</v>
      </c>
      <c r="AN336" s="3">
        <f t="shared" si="254"/>
        <v>0.20104523600514915</v>
      </c>
      <c r="AO336" s="3">
        <f t="shared" si="224"/>
        <v>0.72214801216587776</v>
      </c>
      <c r="AP336" s="3">
        <f t="shared" si="255"/>
        <v>0.3070198778966281</v>
      </c>
      <c r="AQ336" s="3">
        <f t="shared" si="256"/>
        <v>0.65363334221218261</v>
      </c>
      <c r="AR336" s="3"/>
      <c r="AS336" s="2"/>
      <c r="AT336" s="2"/>
    </row>
    <row r="337" spans="1:46">
      <c r="A337">
        <f t="shared" si="257"/>
        <v>334</v>
      </c>
      <c r="B337" s="1">
        <f t="shared" si="215"/>
        <v>41.193221999999999</v>
      </c>
      <c r="C337" s="1">
        <f t="shared" si="216"/>
        <v>258.82464722578686</v>
      </c>
      <c r="D337" s="1">
        <f t="shared" si="217"/>
        <v>0.93703792429264388</v>
      </c>
      <c r="E337" s="1">
        <f t="shared" si="218"/>
        <v>0.34922761694535764</v>
      </c>
      <c r="F337" s="2">
        <f t="shared" si="219"/>
        <v>30703.921665297061</v>
      </c>
      <c r="G337" s="2">
        <f t="shared" si="220"/>
        <v>11443.141324448534</v>
      </c>
      <c r="H337" s="2">
        <f t="shared" si="221"/>
        <v>7676.2146758053386</v>
      </c>
      <c r="I337" s="3">
        <f t="shared" si="225"/>
        <v>0.5178496248983252</v>
      </c>
      <c r="J337" s="3">
        <f t="shared" si="226"/>
        <v>0.26816823400733614</v>
      </c>
      <c r="K337" s="3">
        <f t="shared" si="227"/>
        <v>0.84290242558076645</v>
      </c>
      <c r="L337" s="3">
        <f t="shared" si="228"/>
        <v>0.7898315392474361</v>
      </c>
      <c r="M337" s="3">
        <f t="shared" si="229"/>
        <v>0.29436480540303273</v>
      </c>
      <c r="N337" s="3">
        <f t="shared" si="230"/>
        <v>0.21180772904328093</v>
      </c>
      <c r="O337" s="3">
        <f t="shared" si="231"/>
        <v>7.8939290018844449E-2</v>
      </c>
      <c r="P337" s="3">
        <f t="shared" si="232"/>
        <v>0.67420069424472528</v>
      </c>
      <c r="Q337" s="3">
        <f t="shared" si="233"/>
        <v>0.63175161909173683</v>
      </c>
      <c r="R337" s="3">
        <f t="shared" si="234"/>
        <v>0.2354495017939911</v>
      </c>
      <c r="S337" s="3">
        <f t="shared" si="235"/>
        <v>0.16941571602310637</v>
      </c>
      <c r="T337" s="3">
        <f t="shared" si="236"/>
        <v>6.3140077094001712E-2</v>
      </c>
      <c r="U337" s="3">
        <f t="shared" si="237"/>
        <v>-0.61246413126851673</v>
      </c>
      <c r="V337" s="3">
        <f t="shared" si="238"/>
        <v>-0.57390211826754833</v>
      </c>
      <c r="W337" s="3">
        <f t="shared" si="239"/>
        <v>-0.21388938902741281</v>
      </c>
      <c r="X337" s="3">
        <f t="shared" si="240"/>
        <v>-0.15390231754887779</v>
      </c>
      <c r="Y337" s="3">
        <f t="shared" si="241"/>
        <v>-5.7358339728389399E-2</v>
      </c>
      <c r="Z337" s="3">
        <f t="shared" si="242"/>
        <v>-0.88353775209969487</v>
      </c>
      <c r="AA337" s="3">
        <f t="shared" si="243"/>
        <v>-0.82790838126168664</v>
      </c>
      <c r="AB337" s="3">
        <f t="shared" si="244"/>
        <v>-0.30855578364703462</v>
      </c>
      <c r="AC337" s="3">
        <f t="shared" si="245"/>
        <v>-0.22201872852281884</v>
      </c>
      <c r="AD337" s="3">
        <f t="shared" si="246"/>
        <v>-8.274485959337495E-2</v>
      </c>
      <c r="AE337" s="3">
        <f t="shared" si="222"/>
        <v>0.3104755182451655</v>
      </c>
      <c r="AF337" s="3">
        <f t="shared" si="247"/>
        <v>0.29092733516013275</v>
      </c>
      <c r="AG337" s="3">
        <f t="shared" si="248"/>
        <v>0.10842662535663405</v>
      </c>
      <c r="AH337" s="3">
        <f t="shared" si="249"/>
        <v>7.8017469694353206E-2</v>
      </c>
      <c r="AI337" s="3">
        <f t="shared" si="250"/>
        <v>2.9076576641263611E-2</v>
      </c>
      <c r="AJ337" s="3">
        <f t="shared" si="223"/>
        <v>0.98965667108163158</v>
      </c>
      <c r="AK337" s="3">
        <f t="shared" si="251"/>
        <v>0.92734583283269989</v>
      </c>
      <c r="AL337" s="3">
        <f t="shared" si="252"/>
        <v>0.34561544083591383</v>
      </c>
      <c r="AM337" s="3">
        <f t="shared" si="253"/>
        <v>0.24868469430480747</v>
      </c>
      <c r="AN337" s="3">
        <f t="shared" si="254"/>
        <v>9.268308241463398E-2</v>
      </c>
      <c r="AO337" s="3">
        <f t="shared" si="224"/>
        <v>2.7783989918507595E-2</v>
      </c>
      <c r="AP337" s="3">
        <f t="shared" si="255"/>
        <v>2.6034652241806101E-2</v>
      </c>
      <c r="AQ337" s="3">
        <f t="shared" si="256"/>
        <v>9.702936588474249E-3</v>
      </c>
      <c r="AR337" s="3"/>
      <c r="AS337" s="2"/>
      <c r="AT337" s="2"/>
    </row>
    <row r="338" spans="1:46">
      <c r="A338">
        <f t="shared" si="257"/>
        <v>335</v>
      </c>
      <c r="B338" s="1">
        <f t="shared" si="215"/>
        <v>41.316555000000001</v>
      </c>
      <c r="C338" s="1">
        <f t="shared" si="216"/>
        <v>259.59957131927729</v>
      </c>
      <c r="D338" s="1">
        <f t="shared" si="217"/>
        <v>0.91383060828501339</v>
      </c>
      <c r="E338" s="1">
        <f t="shared" si="218"/>
        <v>-0.40609557909615607</v>
      </c>
      <c r="F338" s="2">
        <f t="shared" si="219"/>
        <v>29943.487541675033</v>
      </c>
      <c r="G338" s="2">
        <f t="shared" si="220"/>
        <v>-13306.533840243746</v>
      </c>
      <c r="H338" s="2">
        <f t="shared" si="221"/>
        <v>7486.1003430708297</v>
      </c>
      <c r="I338" s="3">
        <f t="shared" si="225"/>
        <v>0.51118169956918114</v>
      </c>
      <c r="J338" s="3">
        <f t="shared" si="226"/>
        <v>0.26130672997443655</v>
      </c>
      <c r="K338" s="3">
        <f t="shared" si="227"/>
        <v>0.98278125303889552</v>
      </c>
      <c r="L338" s="3">
        <f t="shared" si="228"/>
        <v>0.89809559027564156</v>
      </c>
      <c r="M338" s="3">
        <f t="shared" si="229"/>
        <v>-0.39910312207767618</v>
      </c>
      <c r="N338" s="3">
        <f t="shared" si="230"/>
        <v>0.23467842189938928</v>
      </c>
      <c r="O338" s="3">
        <f t="shared" si="231"/>
        <v>-0.10428833175270592</v>
      </c>
      <c r="P338" s="3">
        <f t="shared" si="232"/>
        <v>-1.8288106871731123E-2</v>
      </c>
      <c r="Q338" s="3">
        <f t="shared" si="233"/>
        <v>-1.6712231826975385E-2</v>
      </c>
      <c r="R338" s="3">
        <f t="shared" si="234"/>
        <v>7.4267193506480419E-3</v>
      </c>
      <c r="S338" s="3">
        <f t="shared" si="235"/>
        <v>-4.3670186492816418E-3</v>
      </c>
      <c r="T338" s="3">
        <f t="shared" si="236"/>
        <v>1.9406517479557107E-3</v>
      </c>
      <c r="U338" s="3">
        <f t="shared" si="237"/>
        <v>-0.98888102236452224</v>
      </c>
      <c r="V338" s="3">
        <f t="shared" si="238"/>
        <v>-0.9036697461888773</v>
      </c>
      <c r="W338" s="3">
        <f t="shared" si="239"/>
        <v>0.40158021143431955</v>
      </c>
      <c r="X338" s="3">
        <f t="shared" si="240"/>
        <v>-0.2361349863534446</v>
      </c>
      <c r="Y338" s="3">
        <f t="shared" si="241"/>
        <v>0.10493561187234487</v>
      </c>
      <c r="Z338" s="3">
        <f t="shared" si="242"/>
        <v>-0.31154079063042323</v>
      </c>
      <c r="AA338" s="3">
        <f t="shared" si="243"/>
        <v>-0.28469551020739364</v>
      </c>
      <c r="AB338" s="3">
        <f t="shared" si="244"/>
        <v>0.12651533778313603</v>
      </c>
      <c r="AC338" s="3">
        <f t="shared" si="245"/>
        <v>-7.4392852810697851E-2</v>
      </c>
      <c r="AD338" s="3">
        <f t="shared" si="246"/>
        <v>3.3059309207722556E-2</v>
      </c>
      <c r="AE338" s="3">
        <f t="shared" si="222"/>
        <v>0.88497048795578481</v>
      </c>
      <c r="AF338" s="3">
        <f t="shared" si="247"/>
        <v>0.80871311932292</v>
      </c>
      <c r="AG338" s="3">
        <f t="shared" si="248"/>
        <v>-0.35938260278941225</v>
      </c>
      <c r="AH338" s="3">
        <f t="shared" si="249"/>
        <v>0.21132218069769854</v>
      </c>
      <c r="AI338" s="3">
        <f t="shared" si="250"/>
        <v>-9.3909092744603129E-2</v>
      </c>
      <c r="AJ338" s="3">
        <f t="shared" si="223"/>
        <v>0.60671162894460784</v>
      </c>
      <c r="AK338" s="3">
        <f t="shared" si="251"/>
        <v>0.55443165693204233</v>
      </c>
      <c r="AL338" s="3">
        <f t="shared" si="252"/>
        <v>-0.2463829103006327</v>
      </c>
      <c r="AM338" s="3">
        <f t="shared" si="253"/>
        <v>0.14487672326722065</v>
      </c>
      <c r="AN338" s="3">
        <f t="shared" si="254"/>
        <v>-6.4381512612243258E-2</v>
      </c>
      <c r="AO338" s="3">
        <f t="shared" si="224"/>
        <v>-0.68260941200139502</v>
      </c>
      <c r="AP338" s="3">
        <f t="shared" si="255"/>
        <v>-0.62378937419031011</v>
      </c>
      <c r="AQ338" s="3">
        <f t="shared" si="256"/>
        <v>0.27720466446319308</v>
      </c>
      <c r="AR338" s="3"/>
      <c r="AS338" s="2"/>
      <c r="AT338" s="2"/>
    </row>
    <row r="339" spans="1:46">
      <c r="A339">
        <f t="shared" si="257"/>
        <v>336</v>
      </c>
      <c r="B339" s="1">
        <f t="shared" si="215"/>
        <v>41.439887999999996</v>
      </c>
      <c r="C339" s="1">
        <f t="shared" si="216"/>
        <v>260.3744954127676</v>
      </c>
      <c r="D339" s="1">
        <f t="shared" si="217"/>
        <v>0.36877876077088517</v>
      </c>
      <c r="E339" s="1">
        <f t="shared" si="218"/>
        <v>-0.92951720027350238</v>
      </c>
      <c r="F339" s="2">
        <f t="shared" si="219"/>
        <v>12083.773654179595</v>
      </c>
      <c r="G339" s="2">
        <f t="shared" si="220"/>
        <v>-30457.490101361851</v>
      </c>
      <c r="H339" s="2">
        <f t="shared" si="221"/>
        <v>3021.0356082350913</v>
      </c>
      <c r="I339" s="3">
        <f t="shared" si="225"/>
        <v>0.50448286344863991</v>
      </c>
      <c r="J339" s="3">
        <f t="shared" si="226"/>
        <v>0.25450295951333907</v>
      </c>
      <c r="K339" s="3">
        <f t="shared" si="227"/>
        <v>0.58993097658576032</v>
      </c>
      <c r="L339" s="3">
        <f t="shared" si="228"/>
        <v>0.21755401448565476</v>
      </c>
      <c r="M339" s="3">
        <f t="shared" si="229"/>
        <v>-0.54835098971060903</v>
      </c>
      <c r="N339" s="3">
        <f t="shared" si="230"/>
        <v>5.5368140540606979E-2</v>
      </c>
      <c r="O339" s="3">
        <f t="shared" si="231"/>
        <v>-0.13955694973341853</v>
      </c>
      <c r="P339" s="3">
        <f t="shared" si="232"/>
        <v>-0.70075849344651986</v>
      </c>
      <c r="Q339" s="3">
        <f t="shared" si="233"/>
        <v>-0.25842484881288003</v>
      </c>
      <c r="R339" s="3">
        <f t="shared" si="234"/>
        <v>0.65136707289628659</v>
      </c>
      <c r="S339" s="3">
        <f t="shared" si="235"/>
        <v>-6.5769888834665183E-2</v>
      </c>
      <c r="T339" s="3">
        <f t="shared" si="236"/>
        <v>0.16577484778164581</v>
      </c>
      <c r="U339" s="3">
        <f t="shared" si="237"/>
        <v>-0.81786972630652233</v>
      </c>
      <c r="V339" s="3">
        <f t="shared" si="238"/>
        <v>-0.30161298413934234</v>
      </c>
      <c r="W339" s="3">
        <f t="shared" si="239"/>
        <v>0.76022397818489429</v>
      </c>
      <c r="X339" s="3">
        <f t="shared" si="240"/>
        <v>-7.6761397091112418E-2</v>
      </c>
      <c r="Y339" s="3">
        <f t="shared" si="241"/>
        <v>0.1934792523410597</v>
      </c>
      <c r="Z339" s="3">
        <f t="shared" si="242"/>
        <v>0.43472646587612546</v>
      </c>
      <c r="AA339" s="3">
        <f t="shared" si="243"/>
        <v>0.16031788736010405</v>
      </c>
      <c r="AB339" s="3">
        <f t="shared" si="244"/>
        <v>-0.40408572744597038</v>
      </c>
      <c r="AC339" s="3">
        <f t="shared" si="245"/>
        <v>4.0801376796072611E-2</v>
      </c>
      <c r="AD339" s="3">
        <f t="shared" si="246"/>
        <v>-0.10284101353209997</v>
      </c>
      <c r="AE339" s="3">
        <f t="shared" si="222"/>
        <v>0.9592750863970827</v>
      </c>
      <c r="AF339" s="3">
        <f t="shared" si="247"/>
        <v>0.35376027759989997</v>
      </c>
      <c r="AG339" s="3">
        <f t="shared" si="248"/>
        <v>-0.89166269259993847</v>
      </c>
      <c r="AH339" s="3">
        <f t="shared" si="249"/>
        <v>9.0033037607434932E-2</v>
      </c>
      <c r="AI339" s="3">
        <f t="shared" si="250"/>
        <v>-0.22693079415431702</v>
      </c>
      <c r="AJ339" s="3">
        <f t="shared" si="223"/>
        <v>-0.12269890448872647</v>
      </c>
      <c r="AK339" s="3">
        <f t="shared" si="251"/>
        <v>-4.5248749945297748E-2</v>
      </c>
      <c r="AL339" s="3">
        <f t="shared" si="252"/>
        <v>0.11405074217698691</v>
      </c>
      <c r="AM339" s="3">
        <f t="shared" si="253"/>
        <v>-1.1515940775357315E-2</v>
      </c>
      <c r="AN339" s="3">
        <f t="shared" si="254"/>
        <v>2.9026251418735969E-2</v>
      </c>
      <c r="AO339" s="3">
        <f t="shared" si="224"/>
        <v>-0.99918589039420491</v>
      </c>
      <c r="AP339" s="3">
        <f t="shared" si="255"/>
        <v>-0.36847853443932838</v>
      </c>
      <c r="AQ339" s="3">
        <f t="shared" si="256"/>
        <v>0.92876047139200801</v>
      </c>
      <c r="AR339" s="3"/>
      <c r="AS339" s="2"/>
      <c r="AT339" s="2"/>
    </row>
    <row r="340" spans="1:46">
      <c r="A340">
        <f t="shared" si="257"/>
        <v>337</v>
      </c>
      <c r="B340" s="1">
        <f t="shared" si="215"/>
        <v>41.563220999999999</v>
      </c>
      <c r="C340" s="1">
        <f t="shared" si="216"/>
        <v>261.14941950625803</v>
      </c>
      <c r="D340" s="1">
        <f t="shared" si="217"/>
        <v>-0.38686482869120936</v>
      </c>
      <c r="E340" s="1">
        <f t="shared" si="218"/>
        <v>-0.92213643476533413</v>
      </c>
      <c r="F340" s="2">
        <f t="shared" si="219"/>
        <v>-12676.399841724857</v>
      </c>
      <c r="G340" s="2">
        <f t="shared" si="220"/>
        <v>-30215.644557955704</v>
      </c>
      <c r="H340" s="2">
        <f t="shared" si="221"/>
        <v>-3169.1966766383871</v>
      </c>
      <c r="I340" s="3">
        <f t="shared" si="225"/>
        <v>0.49775352161052583</v>
      </c>
      <c r="J340" s="3">
        <f t="shared" si="226"/>
        <v>0.24775856827568021</v>
      </c>
      <c r="K340" s="3">
        <f t="shared" si="227"/>
        <v>-0.12269890448871967</v>
      </c>
      <c r="L340" s="3">
        <f t="shared" si="228"/>
        <v>4.7467890665627593E-2</v>
      </c>
      <c r="M340" s="3">
        <f t="shared" si="229"/>
        <v>0.11314513033484021</v>
      </c>
      <c r="N340" s="3">
        <f t="shared" si="230"/>
        <v>1.1760576630382418E-2</v>
      </c>
      <c r="O340" s="3">
        <f t="shared" si="231"/>
        <v>2.8032675499125245E-2</v>
      </c>
      <c r="P340" s="3">
        <f t="shared" si="232"/>
        <v>-0.9993461123736419</v>
      </c>
      <c r="Q340" s="3">
        <f t="shared" si="233"/>
        <v>0.38661186256665503</v>
      </c>
      <c r="R340" s="3">
        <f t="shared" si="234"/>
        <v>0.92153346116082713</v>
      </c>
      <c r="S340" s="3">
        <f t="shared" si="235"/>
        <v>9.5786401547908503E-2</v>
      </c>
      <c r="T340" s="3">
        <f t="shared" si="236"/>
        <v>0.22831781095533871</v>
      </c>
      <c r="U340" s="3">
        <f t="shared" si="237"/>
        <v>-0.1940992696676066</v>
      </c>
      <c r="V340" s="3">
        <f t="shared" si="238"/>
        <v>7.509018070904748E-2</v>
      </c>
      <c r="W340" s="3">
        <f t="shared" si="239"/>
        <v>0.17898600852184191</v>
      </c>
      <c r="X340" s="3">
        <f t="shared" si="240"/>
        <v>1.8604235664035705E-2</v>
      </c>
      <c r="Y340" s="3">
        <f t="shared" si="241"/>
        <v>4.434531721275025E-2</v>
      </c>
      <c r="Z340" s="3">
        <f t="shared" si="242"/>
        <v>0.93781558408677224</v>
      </c>
      <c r="AA340" s="3">
        <f t="shared" si="243"/>
        <v>-0.36280786528167558</v>
      </c>
      <c r="AB340" s="3">
        <f t="shared" si="244"/>
        <v>-0.86479391917714554</v>
      </c>
      <c r="AC340" s="3">
        <f t="shared" si="245"/>
        <v>-8.9888757261343807E-2</v>
      </c>
      <c r="AD340" s="3">
        <f t="shared" si="246"/>
        <v>-0.2142601032688439</v>
      </c>
      <c r="AE340" s="3">
        <f t="shared" si="222"/>
        <v>0.4913919303939272</v>
      </c>
      <c r="AF340" s="3">
        <f t="shared" si="247"/>
        <v>-0.19010225497208932</v>
      </c>
      <c r="AG340" s="3">
        <f t="shared" si="248"/>
        <v>-0.45313040276591127</v>
      </c>
      <c r="AH340" s="3">
        <f t="shared" si="249"/>
        <v>-4.7099462517863157E-2</v>
      </c>
      <c r="AI340" s="3">
        <f t="shared" si="250"/>
        <v>-0.11226693983146449</v>
      </c>
      <c r="AJ340" s="3">
        <f t="shared" si="223"/>
        <v>-0.78204165910075207</v>
      </c>
      <c r="AK340" s="3">
        <f t="shared" si="251"/>
        <v>0.3025444124774016</v>
      </c>
      <c r="AL340" s="3">
        <f t="shared" si="252"/>
        <v>0.72114910736113436</v>
      </c>
      <c r="AM340" s="3">
        <f t="shared" si="253"/>
        <v>7.4957970475207858E-2</v>
      </c>
      <c r="AN340" s="3">
        <f t="shared" si="254"/>
        <v>0.17867087035307944</v>
      </c>
      <c r="AO340" s="3">
        <f t="shared" si="224"/>
        <v>-0.73930340635781655</v>
      </c>
      <c r="AP340" s="3">
        <f t="shared" si="255"/>
        <v>0.28601048565144427</v>
      </c>
      <c r="AQ340" s="3">
        <f t="shared" si="256"/>
        <v>0.68173860734866398</v>
      </c>
      <c r="AR340" s="3"/>
      <c r="AS340" s="2"/>
      <c r="AT340" s="2"/>
    </row>
    <row r="341" spans="1:46">
      <c r="A341">
        <f t="shared" si="257"/>
        <v>338</v>
      </c>
      <c r="B341" s="1">
        <f t="shared" si="215"/>
        <v>41.686554000000001</v>
      </c>
      <c r="C341" s="1">
        <f t="shared" si="216"/>
        <v>261.9243435997484</v>
      </c>
      <c r="D341" s="1">
        <f t="shared" si="217"/>
        <v>-0.92158859619238132</v>
      </c>
      <c r="E341" s="1">
        <f t="shared" si="218"/>
        <v>-0.38816808133610881</v>
      </c>
      <c r="F341" s="2">
        <f t="shared" si="219"/>
        <v>-30197.693531435758</v>
      </c>
      <c r="G341" s="2">
        <f t="shared" si="220"/>
        <v>-12719.103521140278</v>
      </c>
      <c r="H341" s="2">
        <f t="shared" si="221"/>
        <v>-7549.6537800079877</v>
      </c>
      <c r="I341" s="3">
        <f t="shared" si="225"/>
        <v>0.49099408097332226</v>
      </c>
      <c r="J341" s="3">
        <f t="shared" si="226"/>
        <v>0.24107518755083734</v>
      </c>
      <c r="K341" s="3">
        <f t="shared" si="227"/>
        <v>-0.76881828056826429</v>
      </c>
      <c r="L341" s="3">
        <f t="shared" si="228"/>
        <v>0.70853415991594704</v>
      </c>
      <c r="M341" s="3">
        <f t="shared" si="229"/>
        <v>0.29843071686430933</v>
      </c>
      <c r="N341" s="3">
        <f t="shared" si="230"/>
        <v>0.17081000548791192</v>
      </c>
      <c r="O341" s="3">
        <f t="shared" si="231"/>
        <v>7.1944241038994217E-2</v>
      </c>
      <c r="P341" s="3">
        <f t="shared" si="232"/>
        <v>-0.75048157047265873</v>
      </c>
      <c r="Q341" s="3">
        <f t="shared" si="233"/>
        <v>0.69163525700015127</v>
      </c>
      <c r="R341" s="3">
        <f t="shared" si="234"/>
        <v>0.29131299128848165</v>
      </c>
      <c r="S341" s="3">
        <f t="shared" si="235"/>
        <v>0.16673609929808306</v>
      </c>
      <c r="T341" s="3">
        <f t="shared" si="236"/>
        <v>7.0228334010866159E-2</v>
      </c>
      <c r="U341" s="3">
        <f t="shared" si="237"/>
        <v>0.53712133407591167</v>
      </c>
      <c r="V341" s="3">
        <f t="shared" si="238"/>
        <v>-0.49500489625599853</v>
      </c>
      <c r="W341" s="3">
        <f t="shared" si="239"/>
        <v>-0.20849335769293775</v>
      </c>
      <c r="X341" s="3">
        <f t="shared" si="240"/>
        <v>-0.11933339820349763</v>
      </c>
      <c r="Y341" s="3">
        <f t="shared" si="241"/>
        <v>-5.0262575308928789E-2</v>
      </c>
      <c r="Z341" s="3">
        <f t="shared" si="242"/>
        <v>0.91630759192034195</v>
      </c>
      <c r="AA341" s="3">
        <f t="shared" si="243"/>
        <v>-0.84445862731828936</v>
      </c>
      <c r="AB341" s="3">
        <f t="shared" si="244"/>
        <v>-0.35568135986942928</v>
      </c>
      <c r="AC341" s="3">
        <f t="shared" si="245"/>
        <v>-0.20357802195967925</v>
      </c>
      <c r="AD341" s="3">
        <f t="shared" si="246"/>
        <v>-8.5745950538859528E-2</v>
      </c>
      <c r="AE341" s="3">
        <f t="shared" si="222"/>
        <v>-0.25422874956920827</v>
      </c>
      <c r="AF341" s="3">
        <f t="shared" si="247"/>
        <v>0.23429431642723111</v>
      </c>
      <c r="AG341" s="3">
        <f t="shared" si="248"/>
        <v>9.8683485940757668E-2</v>
      </c>
      <c r="AH341" s="3">
        <f t="shared" si="249"/>
        <v>5.648254627478997E-2</v>
      </c>
      <c r="AI341" s="3">
        <f t="shared" si="250"/>
        <v>2.3790139881338577E-2</v>
      </c>
      <c r="AJ341" s="3">
        <f t="shared" si="223"/>
        <v>-0.99479589503569255</v>
      </c>
      <c r="AK341" s="3">
        <f t="shared" si="251"/>
        <v>0.91679255240388735</v>
      </c>
      <c r="AL341" s="3">
        <f t="shared" si="252"/>
        <v>0.38614801389704184</v>
      </c>
      <c r="AM341" s="3">
        <f t="shared" si="253"/>
        <v>0.22101593651597803</v>
      </c>
      <c r="AN341" s="3">
        <f t="shared" si="254"/>
        <v>9.3090704872612715E-2</v>
      </c>
      <c r="AO341" s="3">
        <f t="shared" si="224"/>
        <v>-5.2895609417627713E-2</v>
      </c>
      <c r="AP341" s="3">
        <f t="shared" si="255"/>
        <v>4.8747990427932028E-2</v>
      </c>
      <c r="AQ341" s="3">
        <f t="shared" si="256"/>
        <v>2.0532387218744758E-2</v>
      </c>
      <c r="AR341" s="3"/>
      <c r="AS341" s="2"/>
      <c r="AT341" s="2"/>
    </row>
    <row r="342" spans="1:46">
      <c r="A342">
        <f t="shared" si="257"/>
        <v>339</v>
      </c>
      <c r="B342" s="1">
        <f t="shared" si="215"/>
        <v>41.809886999999996</v>
      </c>
      <c r="C342" s="1">
        <f t="shared" si="216"/>
        <v>262.69926769323877</v>
      </c>
      <c r="D342" s="1">
        <f t="shared" si="217"/>
        <v>-0.93003761992640288</v>
      </c>
      <c r="E342" s="1">
        <f t="shared" si="218"/>
        <v>0.36746431870541102</v>
      </c>
      <c r="F342" s="2">
        <f t="shared" si="219"/>
        <v>-30474.542692128442</v>
      </c>
      <c r="G342" s="2">
        <f t="shared" si="220"/>
        <v>12040.703331020202</v>
      </c>
      <c r="H342" s="2">
        <f t="shared" si="221"/>
        <v>-7618.8681824370924</v>
      </c>
      <c r="I342" s="3">
        <f t="shared" si="225"/>
        <v>0.48420495027556548</v>
      </c>
      <c r="J342" s="3">
        <f t="shared" si="226"/>
        <v>0.23445443387136283</v>
      </c>
      <c r="K342" s="3">
        <f t="shared" si="227"/>
        <v>-0.99818990895594628</v>
      </c>
      <c r="L342" s="3">
        <f t="shared" si="228"/>
        <v>0.92835416715994101</v>
      </c>
      <c r="M342" s="3">
        <f t="shared" si="229"/>
        <v>-0.36679917483311303</v>
      </c>
      <c r="N342" s="3">
        <f t="shared" si="230"/>
        <v>0.21765675069360454</v>
      </c>
      <c r="O342" s="3">
        <f t="shared" si="231"/>
        <v>-8.5997692879980561E-2</v>
      </c>
      <c r="P342" s="3">
        <f t="shared" si="232"/>
        <v>-9.0495443837634096E-2</v>
      </c>
      <c r="Q342" s="3">
        <f t="shared" si="233"/>
        <v>8.4164167200936682E-2</v>
      </c>
      <c r="R342" s="3">
        <f t="shared" si="234"/>
        <v>-3.3253846615739997E-2</v>
      </c>
      <c r="S342" s="3">
        <f t="shared" si="235"/>
        <v>1.9732662173350336E-2</v>
      </c>
      <c r="T342" s="3">
        <f t="shared" si="236"/>
        <v>-7.7965117823384569E-3</v>
      </c>
      <c r="U342" s="3">
        <f t="shared" si="237"/>
        <v>0.97100044622944948</v>
      </c>
      <c r="V342" s="3">
        <f t="shared" si="238"/>
        <v>-0.90306694395871234</v>
      </c>
      <c r="W342" s="3">
        <f t="shared" si="239"/>
        <v>0.35680801743635476</v>
      </c>
      <c r="X342" s="3">
        <f t="shared" si="240"/>
        <v>-0.21172804909378165</v>
      </c>
      <c r="Y342" s="3">
        <f t="shared" si="241"/>
        <v>8.3655221728803908E-2</v>
      </c>
      <c r="Z342" s="3">
        <f t="shared" si="242"/>
        <v>0.38223367198029845</v>
      </c>
      <c r="AA342" s="3">
        <f t="shared" si="243"/>
        <v>-0.35549169454428614</v>
      </c>
      <c r="AB342" s="3">
        <f t="shared" si="244"/>
        <v>0.14045723586050793</v>
      </c>
      <c r="AC342" s="3">
        <f t="shared" si="245"/>
        <v>-8.3346603990352056E-2</v>
      </c>
      <c r="AD342" s="3">
        <f t="shared" si="246"/>
        <v>3.2930821716811866E-2</v>
      </c>
      <c r="AE342" s="3">
        <f t="shared" si="222"/>
        <v>-0.85615788911939938</v>
      </c>
      <c r="AF342" s="3">
        <f t="shared" si="247"/>
        <v>0.79625904547781934</v>
      </c>
      <c r="AG342" s="3">
        <f t="shared" si="248"/>
        <v>-0.31460747542952294</v>
      </c>
      <c r="AH342" s="3">
        <f t="shared" si="249"/>
        <v>0.18668646372245387</v>
      </c>
      <c r="AI342" s="3">
        <f t="shared" si="250"/>
        <v>-7.3761117543527488E-2</v>
      </c>
      <c r="AJ342" s="3">
        <f t="shared" si="223"/>
        <v>-0.63946731852693472</v>
      </c>
      <c r="AK342" s="3">
        <f t="shared" si="251"/>
        <v>0.59472866294350935</v>
      </c>
      <c r="AL342" s="3">
        <f t="shared" si="252"/>
        <v>-0.23498142253687612</v>
      </c>
      <c r="AM342" s="3">
        <f t="shared" si="253"/>
        <v>0.13943677197749305</v>
      </c>
      <c r="AN342" s="3">
        <f t="shared" si="254"/>
        <v>-5.5092436391170792E-2</v>
      </c>
      <c r="AO342" s="3">
        <f t="shared" si="224"/>
        <v>0.66402917982103871</v>
      </c>
      <c r="AP342" s="3">
        <f t="shared" si="255"/>
        <v>-0.61757211796244027</v>
      </c>
      <c r="AQ342" s="3">
        <f t="shared" si="256"/>
        <v>0.24400703016345085</v>
      </c>
      <c r="AR342" s="3"/>
      <c r="AS342" s="2"/>
      <c r="AT342" s="2"/>
    </row>
    <row r="343" spans="1:46">
      <c r="A343">
        <f t="shared" si="257"/>
        <v>340</v>
      </c>
      <c r="B343" s="1">
        <f t="shared" si="215"/>
        <v>41.933219999999999</v>
      </c>
      <c r="C343" s="1">
        <f t="shared" si="216"/>
        <v>263.47419178672914</v>
      </c>
      <c r="D343" s="1">
        <f t="shared" si="217"/>
        <v>-0.40738707044217631</v>
      </c>
      <c r="E343" s="1">
        <f t="shared" si="218"/>
        <v>0.91325559118821786</v>
      </c>
      <c r="F343" s="2">
        <f t="shared" si="219"/>
        <v>-13348.852137178792</v>
      </c>
      <c r="G343" s="2">
        <f t="shared" si="220"/>
        <v>29924.645956464334</v>
      </c>
      <c r="H343" s="2">
        <f t="shared" si="221"/>
        <v>-3337.3148810623084</v>
      </c>
      <c r="I343" s="3">
        <f t="shared" si="225"/>
        <v>0.47738654005112702</v>
      </c>
      <c r="J343" s="3">
        <f t="shared" si="226"/>
        <v>0.22789790862198631</v>
      </c>
      <c r="K343" s="3">
        <f t="shared" si="227"/>
        <v>-0.6864799751068007</v>
      </c>
      <c r="L343" s="3">
        <f t="shared" si="228"/>
        <v>0.27966306597597768</v>
      </c>
      <c r="M343" s="3">
        <f t="shared" si="229"/>
        <v>-0.62693167550503437</v>
      </c>
      <c r="N343" s="3">
        <f t="shared" si="230"/>
        <v>6.373462785473788E-2</v>
      </c>
      <c r="O343" s="3">
        <f t="shared" si="231"/>
        <v>-0.14287641769647508</v>
      </c>
      <c r="P343" s="3">
        <f t="shared" si="232"/>
        <v>0.61906502512046746</v>
      </c>
      <c r="Q343" s="3">
        <f t="shared" si="233"/>
        <v>-0.25219908699703952</v>
      </c>
      <c r="R343" s="3">
        <f t="shared" si="234"/>
        <v>0.56536459550034146</v>
      </c>
      <c r="S343" s="3">
        <f t="shared" si="235"/>
        <v>-5.7475644482999688E-2</v>
      </c>
      <c r="T343" s="3">
        <f t="shared" si="236"/>
        <v>0.12884540892344307</v>
      </c>
      <c r="U343" s="3">
        <f t="shared" si="237"/>
        <v>0.86734976260013141</v>
      </c>
      <c r="V343" s="3">
        <f t="shared" si="238"/>
        <v>-0.35334707883438465</v>
      </c>
      <c r="W343" s="3">
        <f t="shared" si="239"/>
        <v>0.79211202021034344</v>
      </c>
      <c r="X343" s="3">
        <f t="shared" si="240"/>
        <v>-8.0527060284044383E-2</v>
      </c>
      <c r="Y343" s="3">
        <f t="shared" si="241"/>
        <v>0.18052067280027381</v>
      </c>
      <c r="Z343" s="3">
        <f t="shared" si="242"/>
        <v>-0.36565486483342979</v>
      </c>
      <c r="AA343" s="3">
        <f t="shared" si="243"/>
        <v>0.14896306417742092</v>
      </c>
      <c r="AB343" s="3">
        <f t="shared" si="244"/>
        <v>-0.33393634975430181</v>
      </c>
      <c r="AC343" s="3">
        <f t="shared" si="245"/>
        <v>3.3948370787956955E-2</v>
      </c>
      <c r="AD343" s="3">
        <f t="shared" si="246"/>
        <v>-7.6103395721865544E-2</v>
      </c>
      <c r="AE343" s="3">
        <f t="shared" si="222"/>
        <v>-0.9741817027270272</v>
      </c>
      <c r="AF343" s="3">
        <f t="shared" si="247"/>
        <v>0.3968690299523347</v>
      </c>
      <c r="AG343" s="3">
        <f t="shared" si="248"/>
        <v>-0.88967688684871593</v>
      </c>
      <c r="AH343" s="3">
        <f t="shared" si="249"/>
        <v>9.0445621922973521E-2</v>
      </c>
      <c r="AI343" s="3">
        <f t="shared" si="250"/>
        <v>-0.20275550186214192</v>
      </c>
      <c r="AJ343" s="3">
        <f t="shared" si="223"/>
        <v>8.1032037824521091E-2</v>
      </c>
      <c r="AK343" s="3">
        <f t="shared" si="251"/>
        <v>-3.3011404501291267E-2</v>
      </c>
      <c r="AL343" s="3">
        <f t="shared" si="252"/>
        <v>7.4002961608619036E-2</v>
      </c>
      <c r="AM343" s="3">
        <f t="shared" si="253"/>
        <v>-7.5232300465187044E-3</v>
      </c>
      <c r="AN343" s="3">
        <f t="shared" si="254"/>
        <v>1.686512018243742E-2</v>
      </c>
      <c r="AO343" s="3">
        <f t="shared" si="224"/>
        <v>0.99785651371900763</v>
      </c>
      <c r="AP343" s="3">
        <f t="shared" si="255"/>
        <v>-0.40651384184562983</v>
      </c>
      <c r="AQ343" s="3">
        <f t="shared" si="256"/>
        <v>0.91129804035746631</v>
      </c>
      <c r="AR343" s="3"/>
      <c r="AS343" s="2"/>
      <c r="AT343" s="2"/>
    </row>
    <row r="344" spans="1:46">
      <c r="A344">
        <f t="shared" si="257"/>
        <v>341</v>
      </c>
      <c r="B344" s="1">
        <f t="shared" si="215"/>
        <v>42.056553000000001</v>
      </c>
      <c r="C344" s="1">
        <f t="shared" si="216"/>
        <v>264.24911588021956</v>
      </c>
      <c r="D344" s="1">
        <f t="shared" si="217"/>
        <v>0.34790256224778482</v>
      </c>
      <c r="E344" s="1">
        <f t="shared" si="218"/>
        <v>0.9375306966608753</v>
      </c>
      <c r="F344" s="2">
        <f t="shared" si="219"/>
        <v>11399.723257173166</v>
      </c>
      <c r="G344" s="2">
        <f t="shared" si="220"/>
        <v>30720.0683374869</v>
      </c>
      <c r="H344" s="2">
        <f t="shared" si="221"/>
        <v>2850.0177899338532</v>
      </c>
      <c r="I344" s="3">
        <f t="shared" si="225"/>
        <v>0.47053926260439316</v>
      </c>
      <c r="J344" s="3">
        <f t="shared" si="226"/>
        <v>0.22140719765228606</v>
      </c>
      <c r="K344" s="3">
        <f t="shared" si="227"/>
        <v>-2.6548214557927828E-3</v>
      </c>
      <c r="L344" s="3">
        <f t="shared" si="228"/>
        <v>-9.236191867807033E-4</v>
      </c>
      <c r="M344" s="3">
        <f t="shared" si="229"/>
        <v>-2.488976608959647E-3</v>
      </c>
      <c r="N344" s="3">
        <f t="shared" si="230"/>
        <v>-2.0449593584299889E-4</v>
      </c>
      <c r="O344" s="3">
        <f t="shared" si="231"/>
        <v>-5.5107733601184527E-4</v>
      </c>
      <c r="P344" s="3">
        <f t="shared" si="232"/>
        <v>0.98949525531643412</v>
      </c>
      <c r="Q344" s="3">
        <f t="shared" si="233"/>
        <v>0.34424793465661346</v>
      </c>
      <c r="R344" s="3">
        <f t="shared" si="234"/>
        <v>0.92768217605944714</v>
      </c>
      <c r="S344" s="3">
        <f t="shared" si="235"/>
        <v>7.6218970509908071E-2</v>
      </c>
      <c r="T344" s="3">
        <f t="shared" si="236"/>
        <v>0.20539551091329683</v>
      </c>
      <c r="U344" s="3">
        <f t="shared" si="237"/>
        <v>0.28354858823391077</v>
      </c>
      <c r="V344" s="3">
        <f t="shared" si="238"/>
        <v>9.8647280368319643E-2</v>
      </c>
      <c r="W344" s="3">
        <f t="shared" si="239"/>
        <v>0.26583550546414603</v>
      </c>
      <c r="X344" s="3">
        <f t="shared" si="240"/>
        <v>2.184121790236903E-2</v>
      </c>
      <c r="Y344" s="3">
        <f t="shared" si="241"/>
        <v>5.8857894301295559E-2</v>
      </c>
      <c r="Z344" s="3">
        <f t="shared" si="242"/>
        <v>-0.90900267024770276</v>
      </c>
      <c r="AA344" s="3">
        <f t="shared" si="243"/>
        <v>-0.31624435806925405</v>
      </c>
      <c r="AB344" s="3">
        <f t="shared" si="244"/>
        <v>-0.85221790670392472</v>
      </c>
      <c r="AC344" s="3">
        <f t="shared" si="245"/>
        <v>-7.0018777093459647E-2</v>
      </c>
      <c r="AD344" s="3">
        <f t="shared" si="246"/>
        <v>-0.18868717851241332</v>
      </c>
      <c r="AE344" s="3">
        <f t="shared" si="222"/>
        <v>-0.54159245725245597</v>
      </c>
      <c r="AF344" s="3">
        <f t="shared" si="247"/>
        <v>-0.1884214035722033</v>
      </c>
      <c r="AG344" s="3">
        <f t="shared" si="248"/>
        <v>-0.50775955375417037</v>
      </c>
      <c r="AH344" s="3">
        <f t="shared" si="249"/>
        <v>-4.1717854942631971E-2</v>
      </c>
      <c r="AI344" s="3">
        <f t="shared" si="250"/>
        <v>-0.11242161987788617</v>
      </c>
      <c r="AJ344" s="3">
        <f t="shared" si="223"/>
        <v>0.75525767292820323</v>
      </c>
      <c r="AK344" s="3">
        <f t="shared" si="251"/>
        <v>0.26275607956902131</v>
      </c>
      <c r="AL344" s="3">
        <f t="shared" si="252"/>
        <v>0.70807725225884988</v>
      </c>
      <c r="AM344" s="3">
        <f t="shared" si="253"/>
        <v>5.8176087243478107E-2</v>
      </c>
      <c r="AN344" s="3">
        <f t="shared" si="254"/>
        <v>0.15677340014396279</v>
      </c>
      <c r="AO344" s="3">
        <f t="shared" si="224"/>
        <v>0.75599184067247605</v>
      </c>
      <c r="AP344" s="3">
        <f t="shared" si="255"/>
        <v>0.26301149840837351</v>
      </c>
      <c r="AQ344" s="3">
        <f t="shared" si="256"/>
        <v>0.70876555705560396</v>
      </c>
      <c r="AR344" s="3"/>
      <c r="AS344" s="2"/>
      <c r="AT344" s="2"/>
    </row>
    <row r="345" spans="1:46">
      <c r="A345">
        <f t="shared" si="257"/>
        <v>342</v>
      </c>
      <c r="B345" s="1">
        <f t="shared" si="215"/>
        <v>42.179885999999996</v>
      </c>
      <c r="C345" s="1">
        <f t="shared" si="216"/>
        <v>265.02403997370993</v>
      </c>
      <c r="D345" s="1">
        <f t="shared" si="217"/>
        <v>0.90452184185460571</v>
      </c>
      <c r="E345" s="1">
        <f t="shared" si="218"/>
        <v>0.42642729463292056</v>
      </c>
      <c r="F345" s="2">
        <f t="shared" si="219"/>
        <v>29638.467192049866</v>
      </c>
      <c r="G345" s="2">
        <f t="shared" si="220"/>
        <v>13972.743163236908</v>
      </c>
      <c r="H345" s="2">
        <f t="shared" si="221"/>
        <v>7409.84292847293</v>
      </c>
      <c r="I345" s="3">
        <f t="shared" si="225"/>
        <v>0.46366353198532761</v>
      </c>
      <c r="J345" s="3">
        <f t="shared" si="226"/>
        <v>0.21498387089310891</v>
      </c>
      <c r="K345" s="3">
        <f t="shared" si="227"/>
        <v>0.6826094120014029</v>
      </c>
      <c r="L345" s="3">
        <f t="shared" si="228"/>
        <v>0.61743512261079836</v>
      </c>
      <c r="M345" s="3">
        <f t="shared" si="229"/>
        <v>0.29108328485072688</v>
      </c>
      <c r="N345" s="3">
        <f t="shared" si="230"/>
        <v>0.13273859268423074</v>
      </c>
      <c r="O345" s="3">
        <f t="shared" si="231"/>
        <v>6.2578211329490721E-2</v>
      </c>
      <c r="P345" s="3">
        <f t="shared" si="232"/>
        <v>0.81786972630649579</v>
      </c>
      <c r="Q345" s="3">
        <f t="shared" si="233"/>
        <v>0.7397810312358738</v>
      </c>
      <c r="R345" s="3">
        <f t="shared" si="234"/>
        <v>0.3487619747510462</v>
      </c>
      <c r="S345" s="3">
        <f t="shared" si="235"/>
        <v>0.15904098970838407</v>
      </c>
      <c r="T345" s="3">
        <f t="shared" si="236"/>
        <v>7.4978199352304625E-2</v>
      </c>
      <c r="U345" s="3">
        <f t="shared" si="237"/>
        <v>-0.45722039734154024</v>
      </c>
      <c r="V345" s="3">
        <f t="shared" si="238"/>
        <v>-0.41356583593686463</v>
      </c>
      <c r="W345" s="3">
        <f t="shared" si="239"/>
        <v>-0.19497125708934199</v>
      </c>
      <c r="X345" s="3">
        <f t="shared" si="240"/>
        <v>-8.8909984278851578E-2</v>
      </c>
      <c r="Y345" s="3">
        <f t="shared" si="241"/>
        <v>-4.1915675561962247E-2</v>
      </c>
      <c r="Z345" s="3">
        <f t="shared" si="242"/>
        <v>-0.94387078921978529</v>
      </c>
      <c r="AA345" s="3">
        <f t="shared" si="243"/>
        <v>-0.85375174473784055</v>
      </c>
      <c r="AB345" s="3">
        <f t="shared" si="244"/>
        <v>-0.40249226713003267</v>
      </c>
      <c r="AC345" s="3">
        <f t="shared" si="245"/>
        <v>-0.18354285486548638</v>
      </c>
      <c r="AD345" s="3">
        <f t="shared" si="246"/>
        <v>-8.6529345592157636E-2</v>
      </c>
      <c r="AE345" s="3">
        <f t="shared" si="222"/>
        <v>0.19710793651084046</v>
      </c>
      <c r="AF345" s="3">
        <f t="shared" si="247"/>
        <v>0.17828843377694611</v>
      </c>
      <c r="AG345" s="3">
        <f t="shared" si="248"/>
        <v>8.4052204116995169E-2</v>
      </c>
      <c r="AH345" s="3">
        <f t="shared" si="249"/>
        <v>3.8329137628837578E-2</v>
      </c>
      <c r="AI345" s="3">
        <f t="shared" si="250"/>
        <v>1.8069868198169328E-2</v>
      </c>
      <c r="AJ345" s="3">
        <f t="shared" si="223"/>
        <v>0.99818990895594473</v>
      </c>
      <c r="AK345" s="3">
        <f t="shared" si="251"/>
        <v>0.90288457496951235</v>
      </c>
      <c r="AL345" s="3">
        <f t="shared" si="252"/>
        <v>0.42565542240596477</v>
      </c>
      <c r="AM345" s="3">
        <f t="shared" si="253"/>
        <v>0.19410562089662514</v>
      </c>
      <c r="AN345" s="3">
        <f t="shared" si="254"/>
        <v>9.1509050375475673E-2</v>
      </c>
      <c r="AO345" s="3">
        <f t="shared" si="224"/>
        <v>7.7973818916163659E-2</v>
      </c>
      <c r="AP345" s="3">
        <f t="shared" si="255"/>
        <v>7.0529022302485853E-2</v>
      </c>
      <c r="AQ345" s="3">
        <f t="shared" si="256"/>
        <v>3.3250164652616918E-2</v>
      </c>
      <c r="AR345" s="3"/>
      <c r="AS345" s="2"/>
      <c r="AT345" s="2"/>
    </row>
    <row r="346" spans="1:46">
      <c r="A346">
        <f t="shared" si="257"/>
        <v>343</v>
      </c>
      <c r="B346" s="1">
        <f t="shared" si="215"/>
        <v>42.303218999999999</v>
      </c>
      <c r="C346" s="1">
        <f t="shared" si="216"/>
        <v>265.7989640672003</v>
      </c>
      <c r="D346" s="1">
        <f t="shared" si="217"/>
        <v>0.94461237694292011</v>
      </c>
      <c r="E346" s="1">
        <f t="shared" si="218"/>
        <v>-0.32818814318351991</v>
      </c>
      <c r="F346" s="2">
        <f t="shared" si="219"/>
        <v>30952.113755288665</v>
      </c>
      <c r="G346" s="2">
        <f t="shared" si="220"/>
        <v>-10753.740887694397</v>
      </c>
      <c r="H346" s="2">
        <f t="shared" si="221"/>
        <v>7738.2645919164015</v>
      </c>
      <c r="I346" s="3">
        <f t="shared" si="225"/>
        <v>0.45675976396443835</v>
      </c>
      <c r="J346" s="3">
        <f t="shared" si="226"/>
        <v>0.20862948197684944</v>
      </c>
      <c r="K346" s="3">
        <f t="shared" si="227"/>
        <v>0.99785651371900908</v>
      </c>
      <c r="L346" s="3">
        <f t="shared" si="228"/>
        <v>0.94258761327208873</v>
      </c>
      <c r="M346" s="3">
        <f t="shared" si="229"/>
        <v>-0.32748467640102213</v>
      </c>
      <c r="N346" s="3">
        <f t="shared" si="230"/>
        <v>0.19665156547475077</v>
      </c>
      <c r="O346" s="3">
        <f t="shared" si="231"/>
        <v>-6.8322958392901423E-2</v>
      </c>
      <c r="P346" s="3">
        <f t="shared" si="232"/>
        <v>0.19820668216696016</v>
      </c>
      <c r="Q346" s="3">
        <f t="shared" si="233"/>
        <v>0.18722848516770213</v>
      </c>
      <c r="R346" s="3">
        <f t="shared" si="234"/>
        <v>-6.5049082986940746E-2</v>
      </c>
      <c r="S346" s="3">
        <f t="shared" si="235"/>
        <v>3.9061381871847933E-2</v>
      </c>
      <c r="T346" s="3">
        <f t="shared" si="236"/>
        <v>-1.3571156486634537E-2</v>
      </c>
      <c r="U346" s="3">
        <f t="shared" si="237"/>
        <v>-0.94487972909028384</v>
      </c>
      <c r="V346" s="3">
        <f t="shared" si="238"/>
        <v>-0.89254508682115541</v>
      </c>
      <c r="W346" s="3">
        <f t="shared" si="239"/>
        <v>0.31009832382188757</v>
      </c>
      <c r="X346" s="3">
        <f t="shared" si="240"/>
        <v>-0.18621121910447977</v>
      </c>
      <c r="Y346" s="3">
        <f t="shared" si="241"/>
        <v>6.4695652660849715E-2</v>
      </c>
      <c r="Z346" s="3">
        <f t="shared" si="242"/>
        <v>-0.45075462535847854</v>
      </c>
      <c r="AA346" s="3">
        <f t="shared" si="243"/>
        <v>-0.42578839807788788</v>
      </c>
      <c r="AB346" s="3">
        <f t="shared" si="244"/>
        <v>0.14793232352778224</v>
      </c>
      <c r="AC346" s="3">
        <f t="shared" si="245"/>
        <v>-8.8832012922742301E-2</v>
      </c>
      <c r="AD346" s="3">
        <f t="shared" si="246"/>
        <v>3.0863044025232902E-2</v>
      </c>
      <c r="AE346" s="3">
        <f t="shared" si="222"/>
        <v>0.82440179945159031</v>
      </c>
      <c r="AF346" s="3">
        <f t="shared" si="247"/>
        <v>0.77874014333598729</v>
      </c>
      <c r="AG346" s="3">
        <f t="shared" si="248"/>
        <v>-0.27055889579916997</v>
      </c>
      <c r="AH346" s="3">
        <f t="shared" si="249"/>
        <v>0.1624681526987645</v>
      </c>
      <c r="AI346" s="3">
        <f t="shared" si="250"/>
        <v>-5.6446562274809216E-2</v>
      </c>
      <c r="AJ346" s="3">
        <f t="shared" si="223"/>
        <v>0.67110116514015283</v>
      </c>
      <c r="AK346" s="3">
        <f t="shared" si="251"/>
        <v>0.63393046677220288</v>
      </c>
      <c r="AL346" s="3">
        <f t="shared" si="252"/>
        <v>-0.22024744527564352</v>
      </c>
      <c r="AM346" s="3">
        <f t="shared" si="253"/>
        <v>0.13225658489202705</v>
      </c>
      <c r="AN346" s="3">
        <f t="shared" si="254"/>
        <v>-4.5950110414582003E-2</v>
      </c>
      <c r="AO346" s="3">
        <f t="shared" si="224"/>
        <v>-0.64502953257826201</v>
      </c>
      <c r="AP346" s="3">
        <f t="shared" si="255"/>
        <v>-0.60930287996713284</v>
      </c>
      <c r="AQ346" s="3">
        <f t="shared" si="256"/>
        <v>0.21169104459539356</v>
      </c>
      <c r="AR346" s="3"/>
      <c r="AS346" s="2"/>
      <c r="AT346" s="2"/>
    </row>
    <row r="347" spans="1:46">
      <c r="A347">
        <f t="shared" si="257"/>
        <v>344</v>
      </c>
      <c r="B347" s="1">
        <f t="shared" si="215"/>
        <v>42.426552000000001</v>
      </c>
      <c r="C347" s="1">
        <f t="shared" si="216"/>
        <v>266.57388816069067</v>
      </c>
      <c r="D347" s="1">
        <f t="shared" si="217"/>
        <v>0.445280398895949</v>
      </c>
      <c r="E347" s="1">
        <f t="shared" si="218"/>
        <v>-0.89539118063506995</v>
      </c>
      <c r="F347" s="2">
        <f t="shared" si="219"/>
        <v>14590.502830623562</v>
      </c>
      <c r="G347" s="2">
        <f t="shared" si="220"/>
        <v>-29339.282815869337</v>
      </c>
      <c r="H347" s="2">
        <f t="shared" si="221"/>
        <v>3647.7370277556142</v>
      </c>
      <c r="I347" s="3">
        <f t="shared" si="225"/>
        <v>0.44982837600763603</v>
      </c>
      <c r="J347" s="3">
        <f t="shared" si="226"/>
        <v>0.20234556786166719</v>
      </c>
      <c r="K347" s="3">
        <f t="shared" si="227"/>
        <v>0.77220277433710804</v>
      </c>
      <c r="L347" s="3">
        <f t="shared" si="228"/>
        <v>0.34384675938538595</v>
      </c>
      <c r="M347" s="3">
        <f t="shared" si="229"/>
        <v>-0.69142355380337972</v>
      </c>
      <c r="N347" s="3">
        <f t="shared" si="230"/>
        <v>6.9575867785229964E-2</v>
      </c>
      <c r="O347" s="3">
        <f t="shared" si="231"/>
        <v>-0.13990649162727684</v>
      </c>
      <c r="P347" s="3">
        <f t="shared" si="232"/>
        <v>-0.53003603732166071</v>
      </c>
      <c r="Q347" s="3">
        <f t="shared" si="233"/>
        <v>-0.23601465812781719</v>
      </c>
      <c r="R347" s="3">
        <f t="shared" si="234"/>
        <v>0.47458959323657579</v>
      </c>
      <c r="S347" s="3">
        <f t="shared" si="235"/>
        <v>-4.7756520022550417E-2</v>
      </c>
      <c r="T347" s="3">
        <f t="shared" si="236"/>
        <v>9.6031100744692566E-2</v>
      </c>
      <c r="U347" s="3">
        <f t="shared" si="237"/>
        <v>-0.90946926227248148</v>
      </c>
      <c r="V347" s="3">
        <f t="shared" si="238"/>
        <v>-0.40496883588829502</v>
      </c>
      <c r="W347" s="3">
        <f t="shared" si="239"/>
        <v>0.81433075649746323</v>
      </c>
      <c r="X347" s="3">
        <f t="shared" si="240"/>
        <v>-8.1943649064095361E-2</v>
      </c>
      <c r="Y347" s="3">
        <f t="shared" si="241"/>
        <v>0.16477621935070022</v>
      </c>
      <c r="Z347" s="3">
        <f t="shared" si="242"/>
        <v>0.29450553990847306</v>
      </c>
      <c r="AA347" s="3">
        <f t="shared" si="243"/>
        <v>0.1311375442875117</v>
      </c>
      <c r="AB347" s="3">
        <f t="shared" si="244"/>
        <v>-0.26369766308221643</v>
      </c>
      <c r="AC347" s="3">
        <f t="shared" si="245"/>
        <v>2.6535100866841087E-2</v>
      </c>
      <c r="AD347" s="3">
        <f t="shared" si="246"/>
        <v>-5.3358053380165665E-2</v>
      </c>
      <c r="AE347" s="3">
        <f t="shared" si="222"/>
        <v>0.98573905959610852</v>
      </c>
      <c r="AF347" s="3">
        <f t="shared" si="247"/>
        <v>0.43893028166427284</v>
      </c>
      <c r="AG347" s="3">
        <f t="shared" si="248"/>
        <v>-0.88262206036986324</v>
      </c>
      <c r="AH347" s="3">
        <f t="shared" si="249"/>
        <v>8.881559709503882E-2</v>
      </c>
      <c r="AI347" s="3">
        <f t="shared" si="250"/>
        <v>-0.17859466201277466</v>
      </c>
      <c r="AJ347" s="3">
        <f t="shared" si="223"/>
        <v>-3.9223013431213267E-2</v>
      </c>
      <c r="AK347" s="3">
        <f t="shared" si="251"/>
        <v>-1.746523906655181E-2</v>
      </c>
      <c r="AL347" s="3">
        <f t="shared" si="252"/>
        <v>3.5119940304239254E-2</v>
      </c>
      <c r="AM347" s="3">
        <f t="shared" si="253"/>
        <v>-3.5340137167611998E-3</v>
      </c>
      <c r="AN347" s="3">
        <f t="shared" si="254"/>
        <v>7.1063642641291443E-3</v>
      </c>
      <c r="AO347" s="3">
        <f t="shared" si="224"/>
        <v>-0.99589686948229383</v>
      </c>
      <c r="AP347" s="3">
        <f t="shared" si="255"/>
        <v>-0.44345335530230268</v>
      </c>
      <c r="AQ347" s="3">
        <f t="shared" si="256"/>
        <v>0.89171727375652121</v>
      </c>
      <c r="AR347" s="3"/>
      <c r="AS347" s="2"/>
      <c r="AT347" s="2"/>
    </row>
    <row r="348" spans="1:46">
      <c r="A348">
        <f t="shared" si="257"/>
        <v>345</v>
      </c>
      <c r="B348" s="1">
        <f t="shared" si="215"/>
        <v>42.549884999999996</v>
      </c>
      <c r="C348" s="1">
        <f t="shared" si="216"/>
        <v>267.34881225418104</v>
      </c>
      <c r="D348" s="1">
        <f t="shared" si="217"/>
        <v>-0.30832971236761608</v>
      </c>
      <c r="E348" s="1">
        <f t="shared" si="218"/>
        <v>-0.95127955327091052</v>
      </c>
      <c r="F348" s="2">
        <f t="shared" si="219"/>
        <v>-10103.039685149675</v>
      </c>
      <c r="G348" s="2">
        <f t="shared" si="220"/>
        <v>-31170.577122027924</v>
      </c>
      <c r="H348" s="2">
        <f t="shared" si="221"/>
        <v>-2525.8370037155109</v>
      </c>
      <c r="I348" s="3">
        <f t="shared" si="225"/>
        <v>0.44286978725098641</v>
      </c>
      <c r="J348" s="3">
        <f t="shared" si="226"/>
        <v>0.19613364845973397</v>
      </c>
      <c r="K348" s="3">
        <f t="shared" si="227"/>
        <v>0.12796667928006211</v>
      </c>
      <c r="L348" s="3">
        <f t="shared" si="228"/>
        <v>-3.9455929415060528E-2</v>
      </c>
      <c r="M348" s="3">
        <f t="shared" si="229"/>
        <v>-0.12173208549909936</v>
      </c>
      <c r="N348" s="3">
        <f t="shared" si="230"/>
        <v>-7.7386353895455588E-3</v>
      </c>
      <c r="O348" s="3">
        <f t="shared" si="231"/>
        <v>-2.3875758063550634E-2</v>
      </c>
      <c r="P348" s="3">
        <f t="shared" si="232"/>
        <v>-0.96791952055000785</v>
      </c>
      <c r="Q348" s="3">
        <f t="shared" si="233"/>
        <v>0.2984383473661848</v>
      </c>
      <c r="R348" s="3">
        <f t="shared" si="234"/>
        <v>0.92076204911100534</v>
      </c>
      <c r="S348" s="3">
        <f t="shared" si="235"/>
        <v>5.8533801909223256E-2</v>
      </c>
      <c r="T348" s="3">
        <f t="shared" si="236"/>
        <v>0.18059242005540221</v>
      </c>
      <c r="U348" s="3">
        <f t="shared" si="237"/>
        <v>-0.37059164596116823</v>
      </c>
      <c r="V348" s="3">
        <f t="shared" si="238"/>
        <v>0.11426441560504841</v>
      </c>
      <c r="W348" s="3">
        <f t="shared" si="239"/>
        <v>0.35253625541587152</v>
      </c>
      <c r="X348" s="3">
        <f t="shared" si="240"/>
        <v>2.2411096721737505E-2</v>
      </c>
      <c r="Y348" s="3">
        <f t="shared" si="241"/>
        <v>6.914422198904753E-2</v>
      </c>
      <c r="Z348" s="3">
        <f t="shared" si="242"/>
        <v>0.87502462190955033</v>
      </c>
      <c r="AA348" s="3">
        <f t="shared" si="243"/>
        <v>-0.26979608998795368</v>
      </c>
      <c r="AB348" s="3">
        <f t="shared" si="244"/>
        <v>-0.83239303143116439</v>
      </c>
      <c r="AC348" s="3">
        <f t="shared" si="245"/>
        <v>-5.2916091469508049E-2</v>
      </c>
      <c r="AD348" s="3">
        <f t="shared" si="246"/>
        <v>-0.16326028220705227</v>
      </c>
      <c r="AE348" s="3">
        <f t="shared" si="222"/>
        <v>0.58993097658574922</v>
      </c>
      <c r="AF348" s="3">
        <f t="shared" si="247"/>
        <v>-0.18189324832743092</v>
      </c>
      <c r="AG348" s="3">
        <f t="shared" si="248"/>
        <v>-0.5611892758671635</v>
      </c>
      <c r="AH348" s="3">
        <f t="shared" si="249"/>
        <v>-3.5675386424651429E-2</v>
      </c>
      <c r="AI348" s="3">
        <f t="shared" si="250"/>
        <v>-0.11006810015230291</v>
      </c>
      <c r="AJ348" s="3">
        <f t="shared" si="223"/>
        <v>-0.72714870815905697</v>
      </c>
      <c r="AK348" s="3">
        <f t="shared" si="251"/>
        <v>0.22420155203516565</v>
      </c>
      <c r="AL348" s="3">
        <f t="shared" si="252"/>
        <v>0.69172169825906737</v>
      </c>
      <c r="AM348" s="3">
        <f t="shared" si="253"/>
        <v>4.3973468390991935E-2</v>
      </c>
      <c r="AN348" s="3">
        <f t="shared" si="254"/>
        <v>0.13566990039831411</v>
      </c>
      <c r="AO348" s="3">
        <f t="shared" si="224"/>
        <v>-0.77220277433712858</v>
      </c>
      <c r="AP348" s="3">
        <f t="shared" si="255"/>
        <v>0.23809305930084201</v>
      </c>
      <c r="AQ348" s="3">
        <f t="shared" si="256"/>
        <v>0.73458071020598137</v>
      </c>
      <c r="AR348" s="3"/>
      <c r="AS348" s="2"/>
      <c r="AT348" s="2"/>
    </row>
    <row r="349" spans="1:46">
      <c r="A349">
        <f t="shared" si="257"/>
        <v>346</v>
      </c>
      <c r="B349" s="1">
        <f t="shared" si="215"/>
        <v>42.673217999999999</v>
      </c>
      <c r="C349" s="1">
        <f t="shared" si="216"/>
        <v>268.12373634767141</v>
      </c>
      <c r="D349" s="1">
        <f t="shared" si="217"/>
        <v>-0.88586761414152149</v>
      </c>
      <c r="E349" s="1">
        <f t="shared" si="218"/>
        <v>-0.46393811032853133</v>
      </c>
      <c r="F349" s="2">
        <f t="shared" si="219"/>
        <v>-29027.224112575233</v>
      </c>
      <c r="G349" s="2">
        <f t="shared" si="220"/>
        <v>-15201.860061134987</v>
      </c>
      <c r="H349" s="2">
        <f t="shared" si="221"/>
        <v>-7257.027495047344</v>
      </c>
      <c r="I349" s="3">
        <f t="shared" si="225"/>
        <v>0.43588441847537124</v>
      </c>
      <c r="J349" s="3">
        <f t="shared" si="226"/>
        <v>0.18999522626961254</v>
      </c>
      <c r="K349" s="3">
        <f t="shared" si="227"/>
        <v>-0.58563538523622516</v>
      </c>
      <c r="L349" s="3">
        <f t="shared" si="228"/>
        <v>0.51879542147606561</v>
      </c>
      <c r="M349" s="3">
        <f t="shared" si="229"/>
        <v>0.27169857396801578</v>
      </c>
      <c r="N349" s="3">
        <f t="shared" si="230"/>
        <v>9.8568653490984093E-2</v>
      </c>
      <c r="O349" s="3">
        <f t="shared" si="231"/>
        <v>5.1621432038184215E-2</v>
      </c>
      <c r="P349" s="3">
        <f t="shared" si="232"/>
        <v>-0.87556665575853299</v>
      </c>
      <c r="Q349" s="3">
        <f t="shared" si="233"/>
        <v>0.77563614435868244</v>
      </c>
      <c r="R349" s="3">
        <f t="shared" si="234"/>
        <v>0.40620873973928551</v>
      </c>
      <c r="S349" s="3">
        <f t="shared" si="235"/>
        <v>0.14736716475031772</v>
      </c>
      <c r="T349" s="3">
        <f t="shared" si="236"/>
        <v>7.7177721419459694E-2</v>
      </c>
      <c r="U349" s="3">
        <f t="shared" si="237"/>
        <v>0.37343937944064953</v>
      </c>
      <c r="V349" s="3">
        <f t="shared" si="238"/>
        <v>-0.33081785209157855</v>
      </c>
      <c r="W349" s="3">
        <f t="shared" si="239"/>
        <v>-0.17325276001995435</v>
      </c>
      <c r="X349" s="3">
        <f t="shared" si="240"/>
        <v>-6.2853812662166678E-2</v>
      </c>
      <c r="Y349" s="3">
        <f t="shared" si="241"/>
        <v>-3.2917197341826104E-2</v>
      </c>
      <c r="Z349" s="3">
        <f t="shared" si="242"/>
        <v>0.96607072441269703</v>
      </c>
      <c r="AA349" s="3">
        <f t="shared" si="243"/>
        <v>-0.85581076772744724</v>
      </c>
      <c r="AB349" s="3">
        <f t="shared" si="244"/>
        <v>-0.448197026327742</v>
      </c>
      <c r="AC349" s="3">
        <f t="shared" si="245"/>
        <v>-0.16259996045834715</v>
      </c>
      <c r="AD349" s="3">
        <f t="shared" si="246"/>
        <v>-8.515529543050683E-2</v>
      </c>
      <c r="AE349" s="3">
        <f t="shared" si="222"/>
        <v>-0.13930946176034131</v>
      </c>
      <c r="AF349" s="3">
        <f t="shared" si="247"/>
        <v>0.12340974051697308</v>
      </c>
      <c r="AG349" s="3">
        <f t="shared" si="248"/>
        <v>6.4630968439977537E-2</v>
      </c>
      <c r="AH349" s="3">
        <f t="shared" si="249"/>
        <v>2.3447261573396473E-2</v>
      </c>
      <c r="AI349" s="3">
        <f t="shared" si="250"/>
        <v>1.2279575472777721E-2</v>
      </c>
      <c r="AJ349" s="3">
        <f t="shared" si="223"/>
        <v>-0.99983275858867959</v>
      </c>
      <c r="AK349" s="3">
        <f t="shared" si="251"/>
        <v>0.88571946039148941</v>
      </c>
      <c r="AL349" s="3">
        <f t="shared" si="252"/>
        <v>0.46386052066419464</v>
      </c>
      <c r="AM349" s="3">
        <f t="shared" si="253"/>
        <v>0.16828246928848015</v>
      </c>
      <c r="AN349" s="3">
        <f t="shared" si="254"/>
        <v>8.8131284581133951E-2</v>
      </c>
      <c r="AO349" s="3">
        <f t="shared" si="224"/>
        <v>-0.10300277847937148</v>
      </c>
      <c r="AP349" s="3">
        <f t="shared" si="255"/>
        <v>9.1246825621468464E-2</v>
      </c>
      <c r="AQ349" s="3">
        <f t="shared" si="256"/>
        <v>4.7786914406307918E-2</v>
      </c>
      <c r="AR349" s="3"/>
      <c r="AS349" s="2"/>
      <c r="AT349" s="2"/>
    </row>
    <row r="350" spans="1:46">
      <c r="A350">
        <f t="shared" si="257"/>
        <v>347</v>
      </c>
      <c r="B350" s="1">
        <f t="shared" si="215"/>
        <v>42.796551000000001</v>
      </c>
      <c r="C350" s="1">
        <f t="shared" si="216"/>
        <v>268.89866044116184</v>
      </c>
      <c r="D350" s="1">
        <f t="shared" si="217"/>
        <v>-0.95752930003108871</v>
      </c>
      <c r="E350" s="1">
        <f t="shared" si="218"/>
        <v>0.28833598384865755</v>
      </c>
      <c r="F350" s="2">
        <f t="shared" si="219"/>
        <v>-31375.362574118684</v>
      </c>
      <c r="G350" s="2">
        <f t="shared" si="220"/>
        <v>9447.9051827689618</v>
      </c>
      <c r="H350" s="2">
        <f t="shared" si="221"/>
        <v>-7844.0800258546788</v>
      </c>
      <c r="I350" s="3">
        <f t="shared" si="225"/>
        <v>0.42887269208103806</v>
      </c>
      <c r="J350" s="3">
        <f t="shared" si="226"/>
        <v>0.18393178601283688</v>
      </c>
      <c r="K350" s="3">
        <f t="shared" si="227"/>
        <v>-0.98178632517014186</v>
      </c>
      <c r="L350" s="3">
        <f t="shared" si="228"/>
        <v>0.94008917272026082</v>
      </c>
      <c r="M350" s="3">
        <f t="shared" si="229"/>
        <v>-0.28308432599709088</v>
      </c>
      <c r="N350" s="3">
        <f t="shared" si="230"/>
        <v>0.17291228054976787</v>
      </c>
      <c r="O350" s="3">
        <f t="shared" si="231"/>
        <v>-5.206820567288508E-2</v>
      </c>
      <c r="P350" s="3">
        <f t="shared" si="232"/>
        <v>-0.30356929972516955</v>
      </c>
      <c r="Q350" s="3">
        <f t="shared" si="233"/>
        <v>0.29067649907676935</v>
      </c>
      <c r="R350" s="3">
        <f t="shared" si="234"/>
        <v>-8.7529952702504771E-2</v>
      </c>
      <c r="S350" s="3">
        <f t="shared" si="235"/>
        <v>5.346464762714892E-2</v>
      </c>
      <c r="T350" s="3">
        <f t="shared" si="236"/>
        <v>-1.6099540530190842E-2</v>
      </c>
      <c r="U350" s="3">
        <f t="shared" si="237"/>
        <v>0.91074053757255247</v>
      </c>
      <c r="V350" s="3">
        <f t="shared" si="238"/>
        <v>-0.87206074945178358</v>
      </c>
      <c r="W350" s="3">
        <f t="shared" si="239"/>
        <v>0.26259926893183716</v>
      </c>
      <c r="X350" s="3">
        <f t="shared" si="240"/>
        <v>-0.16039969115835961</v>
      </c>
      <c r="Y350" s="3">
        <f t="shared" si="241"/>
        <v>4.8300352540298082E-2</v>
      </c>
      <c r="Z350" s="3">
        <f t="shared" si="242"/>
        <v>0.51671430103934446</v>
      </c>
      <c r="AA350" s="3">
        <f t="shared" si="243"/>
        <v>-0.49476908299025674</v>
      </c>
      <c r="AB350" s="3">
        <f t="shared" si="244"/>
        <v>0.14898732635885081</v>
      </c>
      <c r="AC350" s="3">
        <f t="shared" si="245"/>
        <v>-9.1003761098331443E-2</v>
      </c>
      <c r="AD350" s="3">
        <f t="shared" si="246"/>
        <v>2.7403505030460837E-2</v>
      </c>
      <c r="AE350" s="3">
        <f t="shared" si="222"/>
        <v>-0.78981139713081838</v>
      </c>
      <c r="AF350" s="3">
        <f t="shared" si="247"/>
        <v>0.75626755425124881</v>
      </c>
      <c r="AG350" s="3">
        <f t="shared" si="248"/>
        <v>-0.22773104624659729</v>
      </c>
      <c r="AH350" s="3">
        <f t="shared" si="249"/>
        <v>0.13910164195699221</v>
      </c>
      <c r="AI350" s="3">
        <f t="shared" si="250"/>
        <v>-4.1886978066708595E-2</v>
      </c>
      <c r="AJ350" s="3">
        <f t="shared" si="223"/>
        <v>-0.70155767226796362</v>
      </c>
      <c r="AK350" s="3">
        <f t="shared" si="251"/>
        <v>0.67176202685818309</v>
      </c>
      <c r="AL350" s="3">
        <f t="shared" si="252"/>
        <v>-0.20228432165995736</v>
      </c>
      <c r="AM350" s="3">
        <f t="shared" si="253"/>
        <v>0.12355838937562892</v>
      </c>
      <c r="AN350" s="3">
        <f t="shared" si="254"/>
        <v>-3.720651656531114E-2</v>
      </c>
      <c r="AO350" s="3">
        <f t="shared" si="224"/>
        <v>0.6256224708575322</v>
      </c>
      <c r="AP350" s="3">
        <f t="shared" si="255"/>
        <v>-0.59905184660393296</v>
      </c>
      <c r="AQ350" s="3">
        <f t="shared" si="256"/>
        <v>0.18038947065253463</v>
      </c>
      <c r="AR350" s="3"/>
      <c r="AS350" s="2"/>
      <c r="AT350" s="2"/>
    </row>
    <row r="351" spans="1:46">
      <c r="A351">
        <f t="shared" si="257"/>
        <v>348</v>
      </c>
      <c r="B351" s="1">
        <f t="shared" si="215"/>
        <v>42.919883999999996</v>
      </c>
      <c r="C351" s="1">
        <f t="shared" si="216"/>
        <v>269.67358453465221</v>
      </c>
      <c r="D351" s="1">
        <f t="shared" si="217"/>
        <v>-0.48239224176797713</v>
      </c>
      <c r="E351" s="1">
        <f t="shared" si="218"/>
        <v>0.8759553213960547</v>
      </c>
      <c r="F351" s="2">
        <f t="shared" si="219"/>
        <v>-15806.546586011307</v>
      </c>
      <c r="G351" s="2">
        <f t="shared" si="220"/>
        <v>28702.428016184524</v>
      </c>
      <c r="H351" s="2">
        <f t="shared" si="221"/>
        <v>-3951.7572445632686</v>
      </c>
      <c r="I351" s="3">
        <f t="shared" si="225"/>
        <v>0.42183503206206235</v>
      </c>
      <c r="J351" s="3">
        <f t="shared" si="226"/>
        <v>0.17794479427480117</v>
      </c>
      <c r="K351" s="3">
        <f t="shared" si="227"/>
        <v>-0.84574747452457955</v>
      </c>
      <c r="L351" s="3">
        <f t="shared" si="228"/>
        <v>0.40798202020551705</v>
      </c>
      <c r="M351" s="3">
        <f t="shared" si="229"/>
        <v>-0.74083700086707971</v>
      </c>
      <c r="N351" s="3">
        <f t="shared" si="230"/>
        <v>7.2598276653288496E-2</v>
      </c>
      <c r="O351" s="3">
        <f t="shared" si="231"/>
        <v>-0.13182808771045318</v>
      </c>
      <c r="P351" s="3">
        <f t="shared" si="232"/>
        <v>0.43472646587610603</v>
      </c>
      <c r="Q351" s="3">
        <f t="shared" si="233"/>
        <v>-0.20970867442984481</v>
      </c>
      <c r="R351" s="3">
        <f t="shared" si="234"/>
        <v>0.38080096113587547</v>
      </c>
      <c r="S351" s="3">
        <f t="shared" si="235"/>
        <v>-3.7316566929059991E-2</v>
      </c>
      <c r="T351" s="3">
        <f t="shared" si="236"/>
        <v>6.7761548688969914E-2</v>
      </c>
      <c r="U351" s="3">
        <f t="shared" si="237"/>
        <v>0.94387078921978884</v>
      </c>
      <c r="V351" s="3">
        <f t="shared" si="238"/>
        <v>-0.45531594595104374</v>
      </c>
      <c r="W351" s="3">
        <f t="shared" si="239"/>
        <v>0.82678864052736789</v>
      </c>
      <c r="X351" s="3">
        <f t="shared" si="240"/>
        <v>-8.1021102332294967E-2</v>
      </c>
      <c r="Y351" s="3">
        <f t="shared" si="241"/>
        <v>0.14712273454738503</v>
      </c>
      <c r="Z351" s="3">
        <f t="shared" si="242"/>
        <v>-0.22168277575810039</v>
      </c>
      <c r="AA351" s="3">
        <f t="shared" si="243"/>
        <v>0.10693805115929782</v>
      </c>
      <c r="AB351" s="3">
        <f t="shared" si="244"/>
        <v>-0.19418420708715634</v>
      </c>
      <c r="AC351" s="3">
        <f t="shared" si="245"/>
        <v>1.9029069513689413E-2</v>
      </c>
      <c r="AD351" s="3">
        <f t="shared" si="246"/>
        <v>-3.4554068781539424E-2</v>
      </c>
      <c r="AE351" s="3">
        <f t="shared" si="222"/>
        <v>-0.99390742254132836</v>
      </c>
      <c r="AF351" s="3">
        <f t="shared" si="247"/>
        <v>0.47945322966954346</v>
      </c>
      <c r="AG351" s="3">
        <f t="shared" si="248"/>
        <v>-0.87061849575011363</v>
      </c>
      <c r="AH351" s="3">
        <f t="shared" si="249"/>
        <v>8.5316206317935905E-2</v>
      </c>
      <c r="AI351" s="3">
        <f t="shared" si="250"/>
        <v>-0.15492202911809083</v>
      </c>
      <c r="AJ351" s="3">
        <f t="shared" si="223"/>
        <v>-2.654821455779062E-3</v>
      </c>
      <c r="AK351" s="3">
        <f t="shared" si="251"/>
        <v>1.2806652735469863E-3</v>
      </c>
      <c r="AL351" s="3">
        <f t="shared" si="252"/>
        <v>-2.32550498154609E-3</v>
      </c>
      <c r="AM351" s="3">
        <f t="shared" si="253"/>
        <v>2.2788771863620043E-4</v>
      </c>
      <c r="AN351" s="3">
        <f t="shared" si="254"/>
        <v>-4.1381150552624428E-4</v>
      </c>
      <c r="AO351" s="3">
        <f t="shared" si="224"/>
        <v>0.99330819543736071</v>
      </c>
      <c r="AP351" s="3">
        <f t="shared" si="255"/>
        <v>-0.47916416716353238</v>
      </c>
      <c r="AQ351" s="3">
        <f t="shared" si="256"/>
        <v>0.87009359957966836</v>
      </c>
      <c r="AR351" s="3"/>
      <c r="AS351" s="2"/>
      <c r="AT351" s="2"/>
    </row>
    <row r="352" spans="1:46">
      <c r="A352">
        <f t="shared" si="257"/>
        <v>349</v>
      </c>
      <c r="B352" s="1">
        <f t="shared" si="215"/>
        <v>43.043216999999999</v>
      </c>
      <c r="C352" s="1">
        <f t="shared" si="216"/>
        <v>270.44850862814258</v>
      </c>
      <c r="D352" s="1">
        <f t="shared" si="217"/>
        <v>0.26821573104484969</v>
      </c>
      <c r="E352" s="1">
        <f t="shared" si="218"/>
        <v>0.9633588747813957</v>
      </c>
      <c r="F352" s="2">
        <f t="shared" si="219"/>
        <v>8788.6248591465901</v>
      </c>
      <c r="G352" s="2">
        <f t="shared" si="220"/>
        <v>31566.380249961992</v>
      </c>
      <c r="H352" s="2">
        <f t="shared" si="221"/>
        <v>2197.2232687194087</v>
      </c>
      <c r="I352" s="3">
        <f t="shared" si="225"/>
        <v>0.41477186398070692</v>
      </c>
      <c r="J352" s="3">
        <f t="shared" si="226"/>
        <v>0.17203569915003006</v>
      </c>
      <c r="K352" s="3">
        <f t="shared" si="227"/>
        <v>-0.25126042612844046</v>
      </c>
      <c r="L352" s="3">
        <f t="shared" si="228"/>
        <v>-6.7391998876680112E-2</v>
      </c>
      <c r="M352" s="3">
        <f t="shared" si="229"/>
        <v>-0.2420539613921884</v>
      </c>
      <c r="N352" s="3">
        <f t="shared" si="230"/>
        <v>-1.1593829643867704E-2</v>
      </c>
      <c r="O352" s="3">
        <f t="shared" si="231"/>
        <v>-4.1641922480139516E-2</v>
      </c>
      <c r="P352" s="3">
        <f t="shared" si="232"/>
        <v>0.93487456655301049</v>
      </c>
      <c r="Q352" s="3">
        <f t="shared" si="233"/>
        <v>0.25074806530325272</v>
      </c>
      <c r="R352" s="3">
        <f t="shared" si="234"/>
        <v>0.90061971049625322</v>
      </c>
      <c r="S352" s="3">
        <f t="shared" si="235"/>
        <v>4.3137618724962468E-2</v>
      </c>
      <c r="T352" s="3">
        <f t="shared" si="236"/>
        <v>0.15493874156352058</v>
      </c>
      <c r="U352" s="3">
        <f t="shared" si="237"/>
        <v>0.45448977473434943</v>
      </c>
      <c r="V352" s="3">
        <f t="shared" si="238"/>
        <v>0.1219013071827826</v>
      </c>
      <c r="W352" s="3">
        <f t="shared" si="239"/>
        <v>0.43783675798773286</v>
      </c>
      <c r="X352" s="3">
        <f t="shared" si="240"/>
        <v>2.0971376608492586E-2</v>
      </c>
      <c r="Y352" s="3">
        <f t="shared" si="241"/>
        <v>7.5323552774002128E-2</v>
      </c>
      <c r="Z352" s="3">
        <f t="shared" si="242"/>
        <v>-0.83607450912087189</v>
      </c>
      <c r="AA352" s="3">
        <f t="shared" si="243"/>
        <v>-0.22424833567181851</v>
      </c>
      <c r="AB352" s="3">
        <f t="shared" si="244"/>
        <v>-0.80543979834009094</v>
      </c>
      <c r="AC352" s="3">
        <f t="shared" si="245"/>
        <v>-3.8578719210531916E-2</v>
      </c>
      <c r="AD352" s="3">
        <f t="shared" si="246"/>
        <v>-0.13856439883069674</v>
      </c>
      <c r="AE352" s="3">
        <f t="shared" si="222"/>
        <v>-0.6362412994347052</v>
      </c>
      <c r="AF352" s="3">
        <f t="shared" si="247"/>
        <v>-0.17064992524880457</v>
      </c>
      <c r="AG352" s="3">
        <f t="shared" si="248"/>
        <v>-0.61292870231287067</v>
      </c>
      <c r="AH352" s="3">
        <f t="shared" si="249"/>
        <v>-2.9357879200078461E-2</v>
      </c>
      <c r="AI352" s="3">
        <f t="shared" si="250"/>
        <v>-0.10544561783151535</v>
      </c>
      <c r="AJ352" s="3">
        <f t="shared" si="223"/>
        <v>0.6977640774690087</v>
      </c>
      <c r="AK352" s="3">
        <f t="shared" si="251"/>
        <v>0.1871513021351853</v>
      </c>
      <c r="AL352" s="3">
        <f t="shared" si="252"/>
        <v>0.67219721653342279</v>
      </c>
      <c r="AM352" s="3">
        <f t="shared" si="253"/>
        <v>3.2196705109665116E-2</v>
      </c>
      <c r="AN352" s="3">
        <f t="shared" si="254"/>
        <v>0.11564191811303155</v>
      </c>
      <c r="AO352" s="3">
        <f t="shared" si="224"/>
        <v>0.78792596817854299</v>
      </c>
      <c r="AP352" s="3">
        <f t="shared" si="255"/>
        <v>0.21133413956422889</v>
      </c>
      <c r="AQ352" s="3">
        <f t="shared" si="256"/>
        <v>0.75905547411552299</v>
      </c>
      <c r="AR352" s="3"/>
      <c r="AS352" s="2"/>
      <c r="AT352" s="2"/>
    </row>
    <row r="353" spans="1:46">
      <c r="A353">
        <f t="shared" si="257"/>
        <v>350</v>
      </c>
      <c r="B353" s="1">
        <f t="shared" si="215"/>
        <v>43.166550000000001</v>
      </c>
      <c r="C353" s="1">
        <f t="shared" si="216"/>
        <v>271.22343272163295</v>
      </c>
      <c r="D353" s="1">
        <f t="shared" si="217"/>
        <v>0.86565865199707259</v>
      </c>
      <c r="E353" s="1">
        <f t="shared" si="218"/>
        <v>0.50063469538438021</v>
      </c>
      <c r="F353" s="2">
        <f t="shared" si="219"/>
        <v>28365.037049988077</v>
      </c>
      <c r="G353" s="2">
        <f t="shared" si="220"/>
        <v>16404.297063659986</v>
      </c>
      <c r="H353" s="2">
        <f t="shared" si="221"/>
        <v>7091.4756771600187</v>
      </c>
      <c r="I353" s="3">
        <f t="shared" si="225"/>
        <v>0.40768361494168925</v>
      </c>
      <c r="J353" s="3">
        <f t="shared" si="226"/>
        <v>0.16620592989192357</v>
      </c>
      <c r="K353" s="3">
        <f t="shared" si="227"/>
        <v>0.47942553860420645</v>
      </c>
      <c r="L353" s="3">
        <f t="shared" si="228"/>
        <v>0.41501886548108785</v>
      </c>
      <c r="M353" s="3">
        <f t="shared" si="229"/>
        <v>0.24001705847860932</v>
      </c>
      <c r="N353" s="3">
        <f t="shared" si="230"/>
        <v>6.8978596459975353E-2</v>
      </c>
      <c r="O353" s="3">
        <f t="shared" si="231"/>
        <v>3.989225839436146E-2</v>
      </c>
      <c r="P353" s="3">
        <f t="shared" si="232"/>
        <v>0.92288868759492915</v>
      </c>
      <c r="Q353" s="3">
        <f t="shared" si="233"/>
        <v>0.79890657724677383</v>
      </c>
      <c r="R353" s="3">
        <f t="shared" si="234"/>
        <v>0.46203009698777781</v>
      </c>
      <c r="S353" s="3">
        <f t="shared" si="235"/>
        <v>0.1327830105680739</v>
      </c>
      <c r="T353" s="3">
        <f t="shared" si="236"/>
        <v>7.6792141907909242E-2</v>
      </c>
      <c r="U353" s="3">
        <f t="shared" si="237"/>
        <v>-0.28648926604142488</v>
      </c>
      <c r="V353" s="3">
        <f t="shared" si="238"/>
        <v>-0.24800191185305057</v>
      </c>
      <c r="W353" s="3">
        <f t="shared" si="239"/>
        <v>-0.14342646643554341</v>
      </c>
      <c r="X353" s="3">
        <f t="shared" si="240"/>
        <v>-4.1219388374511133E-2</v>
      </c>
      <c r="Y353" s="3">
        <f t="shared" si="241"/>
        <v>-2.3838329225032259E-2</v>
      </c>
      <c r="Z353" s="3">
        <f t="shared" si="242"/>
        <v>-0.98278125303889496</v>
      </c>
      <c r="AA353" s="3">
        <f t="shared" si="243"/>
        <v>-0.85075309471364369</v>
      </c>
      <c r="AB353" s="3">
        <f t="shared" si="244"/>
        <v>-0.49201439324460666</v>
      </c>
      <c r="AC353" s="3">
        <f t="shared" si="245"/>
        <v>-0.14140020921531288</v>
      </c>
      <c r="AD353" s="3">
        <f t="shared" si="246"/>
        <v>-8.1775709749430409E-2</v>
      </c>
      <c r="AE353" s="3">
        <f t="shared" si="222"/>
        <v>8.1032037824556258E-2</v>
      </c>
      <c r="AF353" s="3">
        <f t="shared" si="247"/>
        <v>7.0146084631781166E-2</v>
      </c>
      <c r="AG353" s="3">
        <f t="shared" si="248"/>
        <v>4.0567449572672297E-2</v>
      </c>
      <c r="AH353" s="3">
        <f t="shared" si="249"/>
        <v>1.1658695224502759E-2</v>
      </c>
      <c r="AI353" s="3">
        <f t="shared" si="250"/>
        <v>6.7425506795697164E-3</v>
      </c>
      <c r="AJ353" s="3">
        <f t="shared" si="223"/>
        <v>0.99972156181739269</v>
      </c>
      <c r="AK353" s="3">
        <f t="shared" si="251"/>
        <v>0.86541761957525221</v>
      </c>
      <c r="AL353" s="3">
        <f t="shared" si="252"/>
        <v>0.50049529956964722</v>
      </c>
      <c r="AM353" s="3">
        <f t="shared" si="253"/>
        <v>0.14383754020635975</v>
      </c>
      <c r="AN353" s="3">
        <f t="shared" si="254"/>
        <v>8.3185286671510067E-2</v>
      </c>
      <c r="AO353" s="3">
        <f t="shared" si="224"/>
        <v>0.12796667928004851</v>
      </c>
      <c r="AP353" s="3">
        <f t="shared" si="255"/>
        <v>0.11077546308610851</v>
      </c>
      <c r="AQ353" s="3">
        <f t="shared" si="256"/>
        <v>6.4064559500717766E-2</v>
      </c>
      <c r="AR353" s="3"/>
      <c r="AS353" s="2"/>
      <c r="AT353" s="2"/>
    </row>
    <row r="354" spans="1:46">
      <c r="A354">
        <f t="shared" si="257"/>
        <v>351</v>
      </c>
      <c r="B354" s="1">
        <f t="shared" si="215"/>
        <v>43.289882999999996</v>
      </c>
      <c r="C354" s="1">
        <f t="shared" si="216"/>
        <v>271.99835681512332</v>
      </c>
      <c r="D354" s="1">
        <f t="shared" si="217"/>
        <v>0.96876571945477674</v>
      </c>
      <c r="E354" s="1">
        <f t="shared" si="218"/>
        <v>-0.24797778289449399</v>
      </c>
      <c r="F354" s="2">
        <f t="shared" si="219"/>
        <v>31743.546329374669</v>
      </c>
      <c r="G354" s="2">
        <f t="shared" si="220"/>
        <v>-8125.4880121038841</v>
      </c>
      <c r="H354" s="2">
        <f t="shared" si="221"/>
        <v>7936.1287737735311</v>
      </c>
      <c r="I354" s="3">
        <f t="shared" si="225"/>
        <v>0.40057071356635271</v>
      </c>
      <c r="J354" s="3">
        <f t="shared" si="226"/>
        <v>0.160456896567057</v>
      </c>
      <c r="K354" s="3">
        <f t="shared" si="227"/>
        <v>0.95023277978261123</v>
      </c>
      <c r="L354" s="3">
        <f t="shared" si="228"/>
        <v>0.92055294255561382</v>
      </c>
      <c r="M354" s="3">
        <f t="shared" si="229"/>
        <v>-0.23563661796416388</v>
      </c>
      <c r="N354" s="3">
        <f t="shared" si="230"/>
        <v>0.14770906828814609</v>
      </c>
      <c r="O354" s="3">
        <f t="shared" si="231"/>
        <v>-3.7809520436086971E-2</v>
      </c>
      <c r="P354" s="3">
        <f t="shared" si="232"/>
        <v>0.40533481775568853</v>
      </c>
      <c r="Q354" s="3">
        <f t="shared" si="233"/>
        <v>0.39267447634316038</v>
      </c>
      <c r="R354" s="3">
        <f t="shared" si="234"/>
        <v>-0.10051402943699941</v>
      </c>
      <c r="S354" s="3">
        <f t="shared" si="235"/>
        <v>6.3007327835117755E-2</v>
      </c>
      <c r="T354" s="3">
        <f t="shared" si="236"/>
        <v>-1.6128169224910737E-2</v>
      </c>
      <c r="U354" s="3">
        <f t="shared" si="237"/>
        <v>-0.86887258498488074</v>
      </c>
      <c r="V354" s="3">
        <f t="shared" si="238"/>
        <v>-0.84173397490740964</v>
      </c>
      <c r="W354" s="3">
        <f t="shared" si="239"/>
        <v>0.21546109724235854</v>
      </c>
      <c r="X354" s="3">
        <f t="shared" si="240"/>
        <v>-0.13506202134869597</v>
      </c>
      <c r="Y354" s="3">
        <f t="shared" si="241"/>
        <v>3.4572218994441732E-2</v>
      </c>
      <c r="Z354" s="3">
        <f t="shared" si="242"/>
        <v>-0.57973790298826822</v>
      </c>
      <c r="AA354" s="3">
        <f t="shared" si="243"/>
        <v>-0.56163020668363317</v>
      </c>
      <c r="AB354" s="3">
        <f t="shared" si="244"/>
        <v>0.14376211984293399</v>
      </c>
      <c r="AC354" s="3">
        <f t="shared" si="245"/>
        <v>-9.0117439982770581E-2</v>
      </c>
      <c r="AD354" s="3">
        <f t="shared" si="246"/>
        <v>2.3067623593898513E-2</v>
      </c>
      <c r="AE354" s="3">
        <f t="shared" si="222"/>
        <v>0.75250560476858208</v>
      </c>
      <c r="AF354" s="3">
        <f t="shared" si="247"/>
        <v>0.72900163359738734</v>
      </c>
      <c r="AG354" s="3">
        <f t="shared" si="248"/>
        <v>-0.18660467148619334</v>
      </c>
      <c r="AH354" s="3">
        <f t="shared" si="249"/>
        <v>0.11697333971935156</v>
      </c>
      <c r="AI354" s="3">
        <f t="shared" si="250"/>
        <v>-2.9942006471589774E-2</v>
      </c>
      <c r="AJ354" s="3">
        <f t="shared" si="223"/>
        <v>0.73078340884771775</v>
      </c>
      <c r="AK354" s="3">
        <f t="shared" si="251"/>
        <v>0.70795791483797355</v>
      </c>
      <c r="AL354" s="3">
        <f t="shared" si="252"/>
        <v>-0.1812180495021376</v>
      </c>
      <c r="AM354" s="3">
        <f t="shared" si="253"/>
        <v>0.11359672991498607</v>
      </c>
      <c r="AN354" s="3">
        <f t="shared" si="254"/>
        <v>-2.9077685825048306E-2</v>
      </c>
      <c r="AO354" s="3">
        <f t="shared" si="224"/>
        <v>-0.60582025257503647</v>
      </c>
      <c r="AP354" s="3">
        <f t="shared" si="255"/>
        <v>-0.58689789284612981</v>
      </c>
      <c r="AQ354" s="3">
        <f t="shared" si="256"/>
        <v>0.15022996306613989</v>
      </c>
      <c r="AR354" s="3"/>
      <c r="AS354" s="2"/>
      <c r="AT354" s="2"/>
    </row>
    <row r="355" spans="1:46">
      <c r="A355">
        <f t="shared" si="257"/>
        <v>352</v>
      </c>
      <c r="B355" s="1">
        <f t="shared" si="215"/>
        <v>43.413215999999998</v>
      </c>
      <c r="C355" s="1">
        <f t="shared" si="216"/>
        <v>272.77328090861374</v>
      </c>
      <c r="D355" s="1">
        <f t="shared" si="217"/>
        <v>0.5186574662336666</v>
      </c>
      <c r="E355" s="1">
        <f t="shared" si="218"/>
        <v>-0.85498212421083575</v>
      </c>
      <c r="F355" s="2">
        <f t="shared" si="219"/>
        <v>16994.849196078554</v>
      </c>
      <c r="G355" s="2">
        <f t="shared" si="220"/>
        <v>-28015.199264016454</v>
      </c>
      <c r="H355" s="2">
        <f t="shared" si="221"/>
        <v>4248.8419633861968</v>
      </c>
      <c r="I355" s="3">
        <f t="shared" si="225"/>
        <v>0.39343358996675271</v>
      </c>
      <c r="J355" s="3">
        <f t="shared" si="226"/>
        <v>0.15478998971412689</v>
      </c>
      <c r="K355" s="3">
        <f t="shared" si="227"/>
        <v>0.90595423181371859</v>
      </c>
      <c r="L355" s="3">
        <f t="shared" si="228"/>
        <v>0.4698799263961711</v>
      </c>
      <c r="M355" s="3">
        <f t="shared" si="229"/>
        <v>-0.77457467355388898</v>
      </c>
      <c r="N355" s="3">
        <f t="shared" si="230"/>
        <v>7.2732708973738028E-2</v>
      </c>
      <c r="O355" s="3">
        <f t="shared" si="231"/>
        <v>-0.11989640575222968</v>
      </c>
      <c r="P355" s="3">
        <f t="shared" si="232"/>
        <v>-0.33426566745702924</v>
      </c>
      <c r="Q355" s="3">
        <f t="shared" si="233"/>
        <v>-0.17336938413216818</v>
      </c>
      <c r="R355" s="3">
        <f t="shared" si="234"/>
        <v>0.28579117041316371</v>
      </c>
      <c r="S355" s="3">
        <f t="shared" si="235"/>
        <v>-2.6835845186562825E-2</v>
      </c>
      <c r="T355" s="3">
        <f t="shared" si="236"/>
        <v>4.4237612328641894E-2</v>
      </c>
      <c r="U355" s="3">
        <f t="shared" si="237"/>
        <v>-0.97026240389254659</v>
      </c>
      <c r="V355" s="3">
        <f t="shared" si="238"/>
        <v>-0.50323383998469462</v>
      </c>
      <c r="W355" s="3">
        <f t="shared" si="239"/>
        <v>0.82955701112196134</v>
      </c>
      <c r="X355" s="3">
        <f t="shared" si="240"/>
        <v>-7.7895560915031456E-2</v>
      </c>
      <c r="Y355" s="3">
        <f t="shared" si="241"/>
        <v>0.12840712121885023</v>
      </c>
      <c r="Z355" s="3">
        <f t="shared" si="242"/>
        <v>0.14760036585486255</v>
      </c>
      <c r="AA355" s="3">
        <f t="shared" si="243"/>
        <v>7.655403176944521E-2</v>
      </c>
      <c r="AB355" s="3">
        <f t="shared" si="244"/>
        <v>-0.12619567433288689</v>
      </c>
      <c r="AC355" s="3">
        <f t="shared" si="245"/>
        <v>1.1849797790167366E-2</v>
      </c>
      <c r="AD355" s="3">
        <f t="shared" si="246"/>
        <v>-1.9533827131954867E-2</v>
      </c>
      <c r="AE355" s="3">
        <f t="shared" si="222"/>
        <v>0.99865870853998739</v>
      </c>
      <c r="AF355" s="3">
        <f t="shared" si="247"/>
        <v>0.5179617954035356</v>
      </c>
      <c r="AG355" s="3">
        <f t="shared" si="248"/>
        <v>-0.85383534398916827</v>
      </c>
      <c r="AH355" s="3">
        <f t="shared" si="249"/>
        <v>8.0175300982823966E-2</v>
      </c>
      <c r="AI355" s="3">
        <f t="shared" si="250"/>
        <v>-0.13216516411364135</v>
      </c>
      <c r="AJ355" s="3">
        <f t="shared" si="223"/>
        <v>4.4527998883823562E-2</v>
      </c>
      <c r="AK355" s="3">
        <f t="shared" si="251"/>
        <v>2.3094779077539464E-2</v>
      </c>
      <c r="AL355" s="3">
        <f t="shared" si="252"/>
        <v>-3.807064307254919E-2</v>
      </c>
      <c r="AM355" s="3">
        <f t="shared" si="253"/>
        <v>3.574840615862366E-3</v>
      </c>
      <c r="AN355" s="3">
        <f t="shared" si="254"/>
        <v>-5.892954449610085E-3</v>
      </c>
      <c r="AO355" s="3">
        <f t="shared" si="224"/>
        <v>-0.99009212664621116</v>
      </c>
      <c r="AP355" s="3">
        <f t="shared" si="255"/>
        <v>-0.51351867374422644</v>
      </c>
      <c r="AQ355" s="3">
        <f t="shared" si="256"/>
        <v>0.84651106960440148</v>
      </c>
      <c r="AR355" s="3"/>
      <c r="AS355" s="2"/>
      <c r="AT355" s="2"/>
    </row>
    <row r="356" spans="1:46">
      <c r="A356">
        <f t="shared" si="257"/>
        <v>353</v>
      </c>
      <c r="B356" s="1">
        <f t="shared" si="215"/>
        <v>43.536549000000001</v>
      </c>
      <c r="C356" s="1">
        <f t="shared" si="216"/>
        <v>273.54820500210411</v>
      </c>
      <c r="D356" s="1">
        <f t="shared" si="217"/>
        <v>-0.22763101998161339</v>
      </c>
      <c r="E356" s="1">
        <f t="shared" si="218"/>
        <v>-0.97374746148173874</v>
      </c>
      <c r="F356" s="2">
        <f t="shared" si="219"/>
        <v>-7458.7856317375263</v>
      </c>
      <c r="G356" s="2">
        <f t="shared" si="220"/>
        <v>-31906.783070372134</v>
      </c>
      <c r="H356" s="2">
        <f t="shared" si="221"/>
        <v>-1864.7533156893769</v>
      </c>
      <c r="I356" s="3">
        <f t="shared" si="225"/>
        <v>0.3862726757196423</v>
      </c>
      <c r="J356" s="3">
        <f t="shared" si="226"/>
        <v>0.14920658000761194</v>
      </c>
      <c r="K356" s="3">
        <f t="shared" si="227"/>
        <v>0.37059164596112543</v>
      </c>
      <c r="L356" s="3">
        <f t="shared" si="228"/>
        <v>-8.4358154366795932E-2</v>
      </c>
      <c r="M356" s="3">
        <f t="shared" si="229"/>
        <v>-0.36086267450098514</v>
      </c>
      <c r="N356" s="3">
        <f t="shared" si="230"/>
        <v>-1.2586791708823817E-2</v>
      </c>
      <c r="O356" s="3">
        <f t="shared" si="231"/>
        <v>-5.3843085514692066E-2</v>
      </c>
      <c r="P356" s="3">
        <f t="shared" si="232"/>
        <v>-0.89075195462143997</v>
      </c>
      <c r="Q356" s="3">
        <f t="shared" si="233"/>
        <v>0.20276277598109418</v>
      </c>
      <c r="R356" s="3">
        <f t="shared" si="234"/>
        <v>0.86736745462252407</v>
      </c>
      <c r="S356" s="3">
        <f t="shared" si="235"/>
        <v>3.0253540356988625E-2</v>
      </c>
      <c r="T356" s="3">
        <f t="shared" si="236"/>
        <v>0.12941693151413436</v>
      </c>
      <c r="U356" s="3">
        <f t="shared" si="237"/>
        <v>-0.53453099505478041</v>
      </c>
      <c r="V356" s="3">
        <f t="shared" si="238"/>
        <v>0.12167583561610641</v>
      </c>
      <c r="W356" s="3">
        <f t="shared" si="239"/>
        <v>0.52049819951790022</v>
      </c>
      <c r="X356" s="3">
        <f t="shared" si="240"/>
        <v>1.8154835301847621E-2</v>
      </c>
      <c r="Y356" s="3">
        <f t="shared" si="241"/>
        <v>7.7661756250185551E-2</v>
      </c>
      <c r="Z356" s="3">
        <f t="shared" si="242"/>
        <v>0.79237365419225303</v>
      </c>
      <c r="AA356" s="3">
        <f t="shared" si="243"/>
        <v>-0.18036882311034078</v>
      </c>
      <c r="AB356" s="3">
        <f t="shared" si="244"/>
        <v>-0.77157183431471543</v>
      </c>
      <c r="AC356" s="3">
        <f t="shared" si="245"/>
        <v>-2.6912215236291864E-2</v>
      </c>
      <c r="AD356" s="3">
        <f t="shared" si="246"/>
        <v>-0.11512359462829849</v>
      </c>
      <c r="AE356" s="3">
        <f t="shared" si="222"/>
        <v>0.68036420982712709</v>
      </c>
      <c r="AF356" s="3">
        <f t="shared" si="247"/>
        <v>-0.15487199904193338</v>
      </c>
      <c r="AG356" s="3">
        <f t="shared" si="248"/>
        <v>-0.66250292220219409</v>
      </c>
      <c r="AH356" s="3">
        <f t="shared" si="249"/>
        <v>-2.310792131598903E-2</v>
      </c>
      <c r="AI356" s="3">
        <f t="shared" si="250"/>
        <v>-9.8849795266838375E-2</v>
      </c>
      <c r="AJ356" s="3">
        <f t="shared" si="223"/>
        <v>-0.66715533148525352</v>
      </c>
      <c r="AK356" s="3">
        <f t="shared" si="251"/>
        <v>0.15186524859215966</v>
      </c>
      <c r="AL356" s="3">
        <f t="shared" si="252"/>
        <v>0.64964081044777355</v>
      </c>
      <c r="AM356" s="3">
        <f t="shared" si="253"/>
        <v>2.2659294364441945E-2</v>
      </c>
      <c r="AN356" s="3">
        <f t="shared" si="254"/>
        <v>9.6930683560285585E-2</v>
      </c>
      <c r="AO356" s="3">
        <f t="shared" si="224"/>
        <v>-0.8031514910905585</v>
      </c>
      <c r="AP356" s="3">
        <f t="shared" si="255"/>
        <v>0.18282219311669751</v>
      </c>
      <c r="AQ356" s="3">
        <f t="shared" si="256"/>
        <v>0.7820667256347047</v>
      </c>
      <c r="AR356" s="3"/>
      <c r="AS356" s="2"/>
      <c r="AT356" s="2"/>
    </row>
    <row r="357" spans="1:46">
      <c r="A357">
        <f t="shared" si="257"/>
        <v>354</v>
      </c>
      <c r="B357" s="1">
        <f t="shared" si="215"/>
        <v>43.659881999999996</v>
      </c>
      <c r="C357" s="1">
        <f t="shared" si="216"/>
        <v>274.32312909559448</v>
      </c>
      <c r="D357" s="1">
        <f t="shared" si="217"/>
        <v>-0.84393042298858589</v>
      </c>
      <c r="E357" s="1">
        <f t="shared" si="218"/>
        <v>-0.53645264577062757</v>
      </c>
      <c r="F357" s="2">
        <f t="shared" si="219"/>
        <v>-27653.068170066996</v>
      </c>
      <c r="G357" s="2">
        <f t="shared" si="220"/>
        <v>-17577.943843966154</v>
      </c>
      <c r="H357" s="2">
        <f t="shared" si="221"/>
        <v>-6913.4780251224956</v>
      </c>
      <c r="I357" s="3">
        <f t="shared" si="225"/>
        <v>0.37908840384037923</v>
      </c>
      <c r="J357" s="3">
        <f t="shared" si="226"/>
        <v>0.14370801792624646</v>
      </c>
      <c r="K357" s="3">
        <f t="shared" si="227"/>
        <v>-0.3656548648334626</v>
      </c>
      <c r="L357" s="3">
        <f t="shared" si="228"/>
        <v>0.30858726474673831</v>
      </c>
      <c r="M357" s="3">
        <f t="shared" si="229"/>
        <v>0.1961565196788122</v>
      </c>
      <c r="N357" s="3">
        <f t="shared" si="230"/>
        <v>4.4346464174035628E-2</v>
      </c>
      <c r="O357" s="3">
        <f t="shared" si="231"/>
        <v>2.8189264646352862E-2</v>
      </c>
      <c r="P357" s="3">
        <f t="shared" si="232"/>
        <v>-0.95927508639707582</v>
      </c>
      <c r="Q357" s="3">
        <f t="shared" si="233"/>
        <v>0.80956142942549647</v>
      </c>
      <c r="R357" s="3">
        <f t="shared" si="234"/>
        <v>0.51460565811955872</v>
      </c>
      <c r="S357" s="3">
        <f t="shared" si="235"/>
        <v>0.11634046841227695</v>
      </c>
      <c r="T357" s="3">
        <f t="shared" si="236"/>
        <v>7.3952959141993388E-2</v>
      </c>
      <c r="U357" s="3">
        <f t="shared" si="237"/>
        <v>0.19710793651087508</v>
      </c>
      <c r="V357" s="3">
        <f t="shared" si="238"/>
        <v>-0.16634538423403014</v>
      </c>
      <c r="W357" s="3">
        <f t="shared" si="239"/>
        <v>-0.10573907404364781</v>
      </c>
      <c r="X357" s="3">
        <f t="shared" si="240"/>
        <v>-2.3905165459452357E-2</v>
      </c>
      <c r="Y357" s="3">
        <f t="shared" si="241"/>
        <v>-1.5195552748169241E-2</v>
      </c>
      <c r="Z357" s="3">
        <f t="shared" si="242"/>
        <v>0.99390742254132958</v>
      </c>
      <c r="AA357" s="3">
        <f t="shared" si="243"/>
        <v>-0.83878871151679946</v>
      </c>
      <c r="AB357" s="3">
        <f t="shared" si="244"/>
        <v>-0.53318426647336137</v>
      </c>
      <c r="AC357" s="3">
        <f t="shared" si="245"/>
        <v>-0.1205406631909894</v>
      </c>
      <c r="AD357" s="3">
        <f t="shared" si="246"/>
        <v>-7.6622854124346385E-2</v>
      </c>
      <c r="AE357" s="3">
        <f t="shared" si="222"/>
        <v>-2.2476023848990695E-2</v>
      </c>
      <c r="AF357" s="3">
        <f t="shared" si="247"/>
        <v>1.8968200313980263E-2</v>
      </c>
      <c r="AG357" s="3">
        <f t="shared" si="248"/>
        <v>1.2057322460194782E-2</v>
      </c>
      <c r="AH357" s="3">
        <f t="shared" si="249"/>
        <v>2.7258824707501093E-3</v>
      </c>
      <c r="AI357" s="3">
        <f t="shared" si="250"/>
        <v>1.7327339122522058E-3</v>
      </c>
      <c r="AJ357" s="3">
        <f t="shared" si="223"/>
        <v>-0.99785651371900919</v>
      </c>
      <c r="AK357" s="3">
        <f t="shared" si="251"/>
        <v>0.84212146970479906</v>
      </c>
      <c r="AL357" s="3">
        <f t="shared" si="252"/>
        <v>0.53530276688401701</v>
      </c>
      <c r="AM357" s="3">
        <f t="shared" si="253"/>
        <v>0.12101960726441427</v>
      </c>
      <c r="AN357" s="3">
        <f t="shared" si="254"/>
        <v>7.6927299619337641E-2</v>
      </c>
      <c r="AO357" s="3">
        <f t="shared" si="224"/>
        <v>-0.15284975358333108</v>
      </c>
      <c r="AP357" s="3">
        <f t="shared" si="255"/>
        <v>0.12899455719528172</v>
      </c>
      <c r="AQ357" s="3">
        <f t="shared" si="256"/>
        <v>8.1996654715166414E-2</v>
      </c>
      <c r="AR357" s="3"/>
      <c r="AS357" s="2"/>
      <c r="AT357" s="2"/>
    </row>
    <row r="358" spans="1:46">
      <c r="A358">
        <f t="shared" si="257"/>
        <v>355</v>
      </c>
      <c r="B358" s="1">
        <f t="shared" si="215"/>
        <v>43.783214999999998</v>
      </c>
      <c r="C358" s="1">
        <f t="shared" si="216"/>
        <v>275.09805318908485</v>
      </c>
      <c r="D358" s="1">
        <f t="shared" si="217"/>
        <v>-0.97830191483148954</v>
      </c>
      <c r="E358" s="1">
        <f t="shared" si="218"/>
        <v>0.20718437063890938</v>
      </c>
      <c r="F358" s="2">
        <f t="shared" si="219"/>
        <v>-32056.018843283418</v>
      </c>
      <c r="G358" s="2">
        <f t="shared" si="220"/>
        <v>6788.8102727251435</v>
      </c>
      <c r="H358" s="2">
        <f t="shared" si="221"/>
        <v>-8014.2492862995623</v>
      </c>
      <c r="I358" s="3">
        <f t="shared" si="225"/>
        <v>0.37188120875674174</v>
      </c>
      <c r="J358" s="3">
        <f t="shared" si="226"/>
        <v>0.13829563342637533</v>
      </c>
      <c r="K358" s="3">
        <f t="shared" si="227"/>
        <v>-0.90369349581638103</v>
      </c>
      <c r="L358" s="3">
        <f t="shared" si="228"/>
        <v>0.8840850773779283</v>
      </c>
      <c r="M358" s="3">
        <f t="shared" si="229"/>
        <v>-0.18723116818119279</v>
      </c>
      <c r="N358" s="3">
        <f t="shared" si="230"/>
        <v>0.12226510577878663</v>
      </c>
      <c r="O358" s="3">
        <f t="shared" si="231"/>
        <v>-2.5893253000778264E-2</v>
      </c>
      <c r="P358" s="3">
        <f t="shared" si="232"/>
        <v>-0.50229738080088626</v>
      </c>
      <c r="Q358" s="3">
        <f t="shared" si="233"/>
        <v>0.49139848945234887</v>
      </c>
      <c r="R358" s="3">
        <f t="shared" si="234"/>
        <v>-0.10406816671480422</v>
      </c>
      <c r="S358" s="3">
        <f t="shared" si="235"/>
        <v>6.7958265363576603E-2</v>
      </c>
      <c r="T358" s="3">
        <f t="shared" si="236"/>
        <v>-1.4392173035345479E-2</v>
      </c>
      <c r="U358" s="3">
        <f t="shared" si="237"/>
        <v>0.81963117274257447</v>
      </c>
      <c r="V358" s="3">
        <f t="shared" si="238"/>
        <v>-0.80184674574963999</v>
      </c>
      <c r="W358" s="3">
        <f t="shared" si="239"/>
        <v>0.1698147686807015</v>
      </c>
      <c r="X358" s="3">
        <f t="shared" si="240"/>
        <v>-0.11089190361432419</v>
      </c>
      <c r="Y358" s="3">
        <f t="shared" si="241"/>
        <v>2.3484640999851019E-2</v>
      </c>
      <c r="Z358" s="3">
        <f t="shared" si="242"/>
        <v>0.63946731852695959</v>
      </c>
      <c r="AA358" s="3">
        <f t="shared" si="243"/>
        <v>-0.62559210218708261</v>
      </c>
      <c r="AB358" s="3">
        <f t="shared" si="244"/>
        <v>0.13248763393315913</v>
      </c>
      <c r="AC358" s="3">
        <f t="shared" si="245"/>
        <v>-8.6516656038500311E-2</v>
      </c>
      <c r="AD358" s="3">
        <f t="shared" si="246"/>
        <v>1.8322461255947976E-2</v>
      </c>
      <c r="AE358" s="3">
        <f t="shared" si="222"/>
        <v>-0.71261268055090099</v>
      </c>
      <c r="AF358" s="3">
        <f t="shared" si="247"/>
        <v>0.69715034991614699</v>
      </c>
      <c r="AG358" s="3">
        <f t="shared" si="248"/>
        <v>-0.14764220972924461</v>
      </c>
      <c r="AH358" s="3">
        <f t="shared" si="249"/>
        <v>9.6412849235072748E-2</v>
      </c>
      <c r="AI358" s="3">
        <f t="shared" si="250"/>
        <v>-2.0418272914975635E-2</v>
      </c>
      <c r="AJ358" s="3">
        <f t="shared" si="223"/>
        <v>-0.7587271030064825</v>
      </c>
      <c r="AK358" s="3">
        <f t="shared" si="251"/>
        <v>0.74226417770579067</v>
      </c>
      <c r="AL358" s="3">
        <f t="shared" si="252"/>
        <v>-0.15719639732308105</v>
      </c>
      <c r="AM358" s="3">
        <f t="shared" si="253"/>
        <v>0.10265189462552994</v>
      </c>
      <c r="AN358" s="3">
        <f t="shared" si="254"/>
        <v>-2.1739575340139664E-2</v>
      </c>
      <c r="AO358" s="3">
        <f t="shared" si="224"/>
        <v>0.5856353852362276</v>
      </c>
      <c r="AP358" s="3">
        <f t="shared" si="255"/>
        <v>-0.57292821876967848</v>
      </c>
      <c r="AQ358" s="3">
        <f t="shared" si="256"/>
        <v>0.12133449871404306</v>
      </c>
      <c r="AR358" s="3"/>
      <c r="AS358" s="2"/>
      <c r="AT358" s="2"/>
    </row>
    <row r="359" spans="1:46">
      <c r="A359">
        <f t="shared" si="257"/>
        <v>356</v>
      </c>
      <c r="B359" s="1">
        <f t="shared" si="215"/>
        <v>43.906548000000001</v>
      </c>
      <c r="C359" s="1">
        <f t="shared" si="216"/>
        <v>275.87297728257528</v>
      </c>
      <c r="D359" s="1">
        <f t="shared" si="217"/>
        <v>-0.55401242531886596</v>
      </c>
      <c r="E359" s="1">
        <f t="shared" si="218"/>
        <v>0.83250839791098075</v>
      </c>
      <c r="F359" s="2">
        <f t="shared" si="219"/>
        <v>-18153.32514042328</v>
      </c>
      <c r="G359" s="2">
        <f t="shared" si="220"/>
        <v>27278.802674349106</v>
      </c>
      <c r="H359" s="2">
        <f t="shared" si="221"/>
        <v>-4538.46978821215</v>
      </c>
      <c r="I359" s="3">
        <f t="shared" si="225"/>
        <v>0.36465152628265496</v>
      </c>
      <c r="J359" s="3">
        <f t="shared" si="226"/>
        <v>0.13297073562026979</v>
      </c>
      <c r="K359" s="3">
        <f t="shared" si="227"/>
        <v>-0.95187354967635607</v>
      </c>
      <c r="L359" s="3">
        <f t="shared" si="228"/>
        <v>0.52734977385307602</v>
      </c>
      <c r="M359" s="3">
        <f t="shared" si="229"/>
        <v>-0.79244272385490155</v>
      </c>
      <c r="N359" s="3">
        <f t="shared" si="230"/>
        <v>7.0122087358426427E-2</v>
      </c>
      <c r="O359" s="3">
        <f t="shared" si="231"/>
        <v>-0.10537169192791657</v>
      </c>
      <c r="P359" s="3">
        <f t="shared" si="232"/>
        <v>0.22984403743995699</v>
      </c>
      <c r="Q359" s="3">
        <f t="shared" si="233"/>
        <v>-0.12733645262719082</v>
      </c>
      <c r="R359" s="3">
        <f t="shared" si="234"/>
        <v>0.19134709137853007</v>
      </c>
      <c r="S359" s="3">
        <f t="shared" si="235"/>
        <v>-1.6932021777113199E-2</v>
      </c>
      <c r="T359" s="3">
        <f t="shared" si="236"/>
        <v>2.5443563499402126E-2</v>
      </c>
      <c r="U359" s="3">
        <f t="shared" si="237"/>
        <v>0.98842014076422735</v>
      </c>
      <c r="V359" s="3">
        <f t="shared" si="238"/>
        <v>-0.54759703941880444</v>
      </c>
      <c r="W359" s="3">
        <f t="shared" si="239"/>
        <v>0.82286806785057298</v>
      </c>
      <c r="X359" s="3">
        <f t="shared" si="240"/>
        <v>-7.2814381155000302E-2</v>
      </c>
      <c r="Y359" s="3">
        <f t="shared" si="241"/>
        <v>0.10941737230052076</v>
      </c>
      <c r="Z359" s="3">
        <f t="shared" si="242"/>
        <v>-7.2679261229641121E-2</v>
      </c>
      <c r="AA359" s="3">
        <f t="shared" si="243"/>
        <v>4.0265213784216901E-2</v>
      </c>
      <c r="AB359" s="3">
        <f t="shared" si="244"/>
        <v>-6.0506095327642187E-2</v>
      </c>
      <c r="AC359" s="3">
        <f t="shared" si="245"/>
        <v>5.354095096794749E-3</v>
      </c>
      <c r="AD359" s="3">
        <f t="shared" si="246"/>
        <v>-8.0455400052267499E-3</v>
      </c>
      <c r="AE359" s="3">
        <f t="shared" si="222"/>
        <v>-0.99997658255977373</v>
      </c>
      <c r="AF359" s="3">
        <f t="shared" si="247"/>
        <v>0.5539994517660114</v>
      </c>
      <c r="AG359" s="3">
        <f t="shared" si="248"/>
        <v>-0.83248890269533482</v>
      </c>
      <c r="AH359" s="3">
        <f t="shared" si="249"/>
        <v>7.3665714634552723E-2</v>
      </c>
      <c r="AI359" s="3">
        <f t="shared" si="250"/>
        <v>-0.11069666178710987</v>
      </c>
      <c r="AJ359" s="3">
        <f t="shared" si="223"/>
        <v>-8.6323059071166802E-2</v>
      </c>
      <c r="AK359" s="3">
        <f t="shared" si="251"/>
        <v>4.7824047316960855E-2</v>
      </c>
      <c r="AL359" s="3">
        <f t="shared" si="252"/>
        <v>-7.1864671610112021E-2</v>
      </c>
      <c r="AM359" s="3">
        <f t="shared" si="253"/>
        <v>6.3591987520748737E-3</v>
      </c>
      <c r="AN359" s="3">
        <f t="shared" si="254"/>
        <v>-9.5558982491057137E-3</v>
      </c>
      <c r="AO359" s="3">
        <f t="shared" si="224"/>
        <v>0.98625069444683011</v>
      </c>
      <c r="AP359" s="3">
        <f t="shared" si="255"/>
        <v>-0.54639513920290417</v>
      </c>
      <c r="AQ359" s="3">
        <f t="shared" si="256"/>
        <v>0.82106198557252275</v>
      </c>
      <c r="AR359" s="3"/>
      <c r="AS359" s="2"/>
      <c r="AT359" s="2"/>
    </row>
    <row r="360" spans="1:46">
      <c r="A360">
        <f t="shared" si="257"/>
        <v>357</v>
      </c>
      <c r="B360" s="1">
        <f t="shared" si="215"/>
        <v>44.029880999999996</v>
      </c>
      <c r="C360" s="1">
        <f t="shared" si="216"/>
        <v>276.64790137606559</v>
      </c>
      <c r="D360" s="1">
        <f t="shared" si="217"/>
        <v>0.18664680703026484</v>
      </c>
      <c r="E360" s="1">
        <f t="shared" si="218"/>
        <v>0.98242708097110554</v>
      </c>
      <c r="F360" s="2">
        <f t="shared" si="219"/>
        <v>6115.8559259606882</v>
      </c>
      <c r="G360" s="2">
        <f t="shared" si="220"/>
        <v>32191.188162180217</v>
      </c>
      <c r="H360" s="2">
        <f t="shared" si="221"/>
        <v>1529.0106431919296</v>
      </c>
      <c r="I360" s="3">
        <f t="shared" si="225"/>
        <v>0.35739979359184376</v>
      </c>
      <c r="J360" s="3">
        <f t="shared" si="226"/>
        <v>0.12773461245949252</v>
      </c>
      <c r="K360" s="3">
        <f t="shared" si="227"/>
        <v>-0.48407841415628328</v>
      </c>
      <c r="L360" s="3">
        <f t="shared" si="228"/>
        <v>-9.0351690354544434E-2</v>
      </c>
      <c r="M360" s="3">
        <f t="shared" si="229"/>
        <v>-0.47557174338067926</v>
      </c>
      <c r="N360" s="3">
        <f t="shared" si="230"/>
        <v>-1.1541038152497801E-2</v>
      </c>
      <c r="O360" s="3">
        <f t="shared" si="231"/>
        <v>-6.0746972337416293E-2</v>
      </c>
      <c r="P360" s="3">
        <f t="shared" si="232"/>
        <v>0.83607450912086589</v>
      </c>
      <c r="Q360" s="3">
        <f t="shared" si="233"/>
        <v>0.15605063756680565</v>
      </c>
      <c r="R360" s="3">
        <f t="shared" si="234"/>
        <v>0.82138223946996225</v>
      </c>
      <c r="S360" s="3">
        <f t="shared" si="235"/>
        <v>1.9933067713652646E-2</v>
      </c>
      <c r="T360" s="3">
        <f t="shared" si="236"/>
        <v>0.10491894203980572</v>
      </c>
      <c r="U360" s="3">
        <f t="shared" si="237"/>
        <v>0.61003605806707928</v>
      </c>
      <c r="V360" s="3">
        <f t="shared" si="238"/>
        <v>0.11386128241154958</v>
      </c>
      <c r="W360" s="3">
        <f t="shared" si="239"/>
        <v>0.59931594381396058</v>
      </c>
      <c r="X360" s="3">
        <f t="shared" si="240"/>
        <v>1.454402678298012E-2</v>
      </c>
      <c r="Y360" s="3">
        <f t="shared" si="241"/>
        <v>7.6553389823871248E-2</v>
      </c>
      <c r="Z360" s="3">
        <f t="shared" si="242"/>
        <v>-0.74417037409879128</v>
      </c>
      <c r="AA360" s="3">
        <f t="shared" si="243"/>
        <v>-0.1388970242120571</v>
      </c>
      <c r="AB360" s="3">
        <f t="shared" si="244"/>
        <v>-0.73109312837105112</v>
      </c>
      <c r="AC360" s="3">
        <f t="shared" si="245"/>
        <v>-1.7741957559503863E-2</v>
      </c>
      <c r="AD360" s="3">
        <f t="shared" si="246"/>
        <v>-9.3385897424274236E-2</v>
      </c>
      <c r="AE360" s="3">
        <f t="shared" si="222"/>
        <v>-0.72214801216587576</v>
      </c>
      <c r="AF360" s="3">
        <f t="shared" si="247"/>
        <v>-0.13478662067401356</v>
      </c>
      <c r="AG360" s="3">
        <f t="shared" si="248"/>
        <v>-0.70945776362120772</v>
      </c>
      <c r="AH360" s="3">
        <f t="shared" si="249"/>
        <v>-1.7216916756519745E-2</v>
      </c>
      <c r="AI360" s="3">
        <f t="shared" si="250"/>
        <v>-9.0622312492533233E-2</v>
      </c>
      <c r="AJ360" s="3">
        <f t="shared" si="223"/>
        <v>0.63537616834916855</v>
      </c>
      <c r="AK360" s="3">
        <f t="shared" si="251"/>
        <v>0.11859093308549633</v>
      </c>
      <c r="AL360" s="3">
        <f t="shared" si="252"/>
        <v>0.62421075438987939</v>
      </c>
      <c r="AM360" s="3">
        <f t="shared" si="253"/>
        <v>1.5148166878885485E-2</v>
      </c>
      <c r="AN360" s="3">
        <f t="shared" si="254"/>
        <v>7.9733318805038728E-2</v>
      </c>
      <c r="AO360" s="3">
        <f t="shared" si="224"/>
        <v>0.81786972630650034</v>
      </c>
      <c r="AP360" s="3">
        <f t="shared" si="255"/>
        <v>0.15265277298182489</v>
      </c>
      <c r="AQ360" s="3">
        <f t="shared" si="256"/>
        <v>0.80349736782993209</v>
      </c>
      <c r="AR360" s="3"/>
      <c r="AS360" s="2"/>
      <c r="AT360" s="2"/>
    </row>
    <row r="361" spans="1:46">
      <c r="A361">
        <f t="shared" si="257"/>
        <v>358</v>
      </c>
      <c r="B361" s="1">
        <f t="shared" si="215"/>
        <v>44.153213999999998</v>
      </c>
      <c r="C361" s="1">
        <f t="shared" si="216"/>
        <v>277.42282546955602</v>
      </c>
      <c r="D361" s="1">
        <f t="shared" si="217"/>
        <v>0.82072106105981701</v>
      </c>
      <c r="E361" s="1">
        <f t="shared" si="218"/>
        <v>0.57132909949769584</v>
      </c>
      <c r="F361" s="2">
        <f t="shared" si="219"/>
        <v>26892.567007747024</v>
      </c>
      <c r="G361" s="2">
        <f t="shared" si="220"/>
        <v>18720.740603241</v>
      </c>
      <c r="H361" s="2">
        <f t="shared" si="221"/>
        <v>6723.346932202021</v>
      </c>
      <c r="I361" s="3">
        <f t="shared" si="225"/>
        <v>0.35012644919139085</v>
      </c>
      <c r="J361" s="3">
        <f t="shared" si="226"/>
        <v>0.1225885304233716</v>
      </c>
      <c r="K361" s="3">
        <f t="shared" si="227"/>
        <v>0.24611759541266504</v>
      </c>
      <c r="L361" s="3">
        <f t="shared" si="228"/>
        <v>0.2019938940525732</v>
      </c>
      <c r="M361" s="3">
        <f t="shared" si="229"/>
        <v>0.14061414415765616</v>
      </c>
      <c r="N361" s="3">
        <f t="shared" si="230"/>
        <v>2.476213462639917E-2</v>
      </c>
      <c r="O361" s="3">
        <f t="shared" si="231"/>
        <v>1.7237681289027192E-2</v>
      </c>
      <c r="P361" s="3">
        <f t="shared" si="232"/>
        <v>0.98429469691289673</v>
      </c>
      <c r="Q361" s="3">
        <f t="shared" si="233"/>
        <v>0.8078313880459036</v>
      </c>
      <c r="R361" s="3">
        <f t="shared" si="234"/>
        <v>0.56235620282760279</v>
      </c>
      <c r="S361" s="3">
        <f t="shared" si="235"/>
        <v>9.903086269041976E-2</v>
      </c>
      <c r="T361" s="3">
        <f t="shared" si="236"/>
        <v>6.8938420479103313E-2</v>
      </c>
      <c r="U361" s="3">
        <f t="shared" si="237"/>
        <v>-0.10605390209518735</v>
      </c>
      <c r="V361" s="3">
        <f t="shared" si="238"/>
        <v>-8.7040671057096106E-2</v>
      </c>
      <c r="W361" s="3">
        <f t="shared" si="239"/>
        <v>-6.0591680382260184E-2</v>
      </c>
      <c r="X361" s="3">
        <f t="shared" si="240"/>
        <v>-1.0670187951953507E-2</v>
      </c>
      <c r="Y361" s="3">
        <f t="shared" si="241"/>
        <v>-7.4278450539439107E-3</v>
      </c>
      <c r="Z361" s="3">
        <f t="shared" si="242"/>
        <v>-0.99938601180545317</v>
      </c>
      <c r="AA361" s="3">
        <f t="shared" si="243"/>
        <v>-0.82021714801731038</v>
      </c>
      <c r="AB361" s="3">
        <f t="shared" si="244"/>
        <v>-0.57097831017540313</v>
      </c>
      <c r="AC361" s="3">
        <f t="shared" si="245"/>
        <v>-0.10054921480349115</v>
      </c>
      <c r="AD361" s="3">
        <f t="shared" si="246"/>
        <v>-6.999539194802272E-2</v>
      </c>
      <c r="AE361" s="3">
        <f t="shared" si="222"/>
        <v>-3.6157263221781373E-2</v>
      </c>
      <c r="AF361" s="3">
        <f t="shared" si="247"/>
        <v>-2.9675027436399506E-2</v>
      </c>
      <c r="AG361" s="3">
        <f t="shared" si="248"/>
        <v>-2.0657696636801507E-2</v>
      </c>
      <c r="AH361" s="3">
        <f t="shared" si="249"/>
        <v>-3.6378180037014481E-3</v>
      </c>
      <c r="AI361" s="3">
        <f t="shared" si="250"/>
        <v>-2.5323966726373231E-3</v>
      </c>
      <c r="AJ361" s="3">
        <f t="shared" si="223"/>
        <v>0.99424088622164741</v>
      </c>
      <c r="AK361" s="3">
        <f t="shared" si="251"/>
        <v>0.81599443508888325</v>
      </c>
      <c r="AL361" s="3">
        <f t="shared" si="252"/>
        <v>0.5680387502088049</v>
      </c>
      <c r="AM361" s="3">
        <f t="shared" si="253"/>
        <v>0.10003155863119549</v>
      </c>
      <c r="AN361" s="3">
        <f t="shared" si="254"/>
        <v>6.9635035611626053E-2</v>
      </c>
      <c r="AO361" s="3">
        <f t="shared" si="224"/>
        <v>0.1776362847061044</v>
      </c>
      <c r="AP361" s="3">
        <f t="shared" si="255"/>
        <v>0.14578984006671775</v>
      </c>
      <c r="AQ361" s="3">
        <f t="shared" si="256"/>
        <v>0.10148877857925495</v>
      </c>
      <c r="AR361" s="3"/>
      <c r="AS361" s="2"/>
      <c r="AT361" s="2"/>
    </row>
    <row r="362" spans="1:46">
      <c r="A362">
        <f t="shared" si="257"/>
        <v>359</v>
      </c>
      <c r="B362" s="1">
        <f t="shared" si="215"/>
        <v>44.276547000000001</v>
      </c>
      <c r="C362" s="1">
        <f t="shared" si="216"/>
        <v>278.19774956304639</v>
      </c>
      <c r="D362" s="1">
        <f t="shared" si="217"/>
        <v>0.98612114974255072</v>
      </c>
      <c r="E362" s="1">
        <f t="shared" si="218"/>
        <v>-0.16602734121351764</v>
      </c>
      <c r="F362" s="2">
        <f t="shared" si="219"/>
        <v>32312.231713614161</v>
      </c>
      <c r="G362" s="2">
        <f t="shared" si="220"/>
        <v>-5440.2178895433326</v>
      </c>
      <c r="H362" s="2">
        <f t="shared" si="221"/>
        <v>8078.3044586909755</v>
      </c>
      <c r="I362" s="3">
        <f t="shared" si="225"/>
        <v>0.34283193289522529</v>
      </c>
      <c r="J362" s="3">
        <f t="shared" si="226"/>
        <v>0.11753373421267625</v>
      </c>
      <c r="K362" s="3">
        <f t="shared" si="227"/>
        <v>0.84290242558074691</v>
      </c>
      <c r="L362" s="3">
        <f t="shared" si="228"/>
        <v>0.83120390903447094</v>
      </c>
      <c r="M362" s="3">
        <f t="shared" si="229"/>
        <v>-0.13994484862159634</v>
      </c>
      <c r="N362" s="3">
        <f t="shared" si="230"/>
        <v>9.769449932099504E-2</v>
      </c>
      <c r="O362" s="3">
        <f t="shared" si="231"/>
        <v>-1.6448240642323916E-2</v>
      </c>
      <c r="P362" s="3">
        <f t="shared" si="232"/>
        <v>0.59330804530800785</v>
      </c>
      <c r="Q362" s="3">
        <f t="shared" si="233"/>
        <v>0.5850736117906381</v>
      </c>
      <c r="R362" s="3">
        <f t="shared" si="234"/>
        <v>-9.8505357283077799E-2</v>
      </c>
      <c r="S362" s="3">
        <f t="shared" si="235"/>
        <v>6.8765886383051381E-2</v>
      </c>
      <c r="T362" s="3">
        <f t="shared" si="236"/>
        <v>-1.157770248143398E-2</v>
      </c>
      <c r="U362" s="3">
        <f t="shared" si="237"/>
        <v>-0.76343417519548795</v>
      </c>
      <c r="V362" s="3">
        <f t="shared" si="238"/>
        <v>-0.75283858659653047</v>
      </c>
      <c r="W362" s="3">
        <f t="shared" si="239"/>
        <v>0.12675094629924169</v>
      </c>
      <c r="X362" s="3">
        <f t="shared" si="240"/>
        <v>-8.8483930342083475E-2</v>
      </c>
      <c r="Y362" s="3">
        <f t="shared" si="241"/>
        <v>1.4897512033540275E-2</v>
      </c>
      <c r="Z362" s="3">
        <f t="shared" si="242"/>
        <v>-0.69556315320162598</v>
      </c>
      <c r="AA362" s="3">
        <f t="shared" si="243"/>
        <v>-0.68590953635374141</v>
      </c>
      <c r="AB362" s="3">
        <f t="shared" si="244"/>
        <v>0.11548250097215661</v>
      </c>
      <c r="AC362" s="3">
        <f t="shared" si="245"/>
        <v>-8.061750913974064E-2</v>
      </c>
      <c r="AD362" s="3">
        <f t="shared" si="246"/>
        <v>1.3573089575476581E-2</v>
      </c>
      <c r="AE362" s="3">
        <f t="shared" si="222"/>
        <v>0.6702697772835855</v>
      </c>
      <c r="AF362" s="3">
        <f t="shared" si="247"/>
        <v>0.66096720341257276</v>
      </c>
      <c r="AG362" s="3">
        <f t="shared" si="248"/>
        <v>-0.11128310901817033</v>
      </c>
      <c r="AH362" s="3">
        <f t="shared" si="249"/>
        <v>7.7685943609189248E-2</v>
      </c>
      <c r="AI362" s="3">
        <f t="shared" si="250"/>
        <v>-1.3079519357701908E-2</v>
      </c>
      <c r="AJ362" s="3">
        <f t="shared" si="223"/>
        <v>0.78533973200940743</v>
      </c>
      <c r="AK362" s="3">
        <f t="shared" si="251"/>
        <v>0.77444011946762348</v>
      </c>
      <c r="AL362" s="3">
        <f t="shared" si="252"/>
        <v>-0.13038786765485838</v>
      </c>
      <c r="AM362" s="3">
        <f t="shared" si="253"/>
        <v>9.1022839165140895E-2</v>
      </c>
      <c r="AN362" s="3">
        <f t="shared" si="254"/>
        <v>-1.5324972981503732E-2</v>
      </c>
      <c r="AO362" s="3">
        <f t="shared" si="224"/>
        <v>-0.56508061803590004</v>
      </c>
      <c r="AP362" s="3">
        <f t="shared" si="255"/>
        <v>-0.55723794875479293</v>
      </c>
      <c r="AQ362" s="3">
        <f t="shared" si="256"/>
        <v>9.3818832583791811E-2</v>
      </c>
      <c r="AR362" s="3"/>
      <c r="AS362" s="2"/>
      <c r="AT362" s="2"/>
    </row>
    <row r="363" spans="1:46">
      <c r="A363">
        <f t="shared" si="257"/>
        <v>360</v>
      </c>
      <c r="B363" s="1">
        <f t="shared" si="215"/>
        <v>44.399879999999996</v>
      </c>
      <c r="C363" s="1">
        <f t="shared" si="216"/>
        <v>278.97267365653676</v>
      </c>
      <c r="D363" s="1">
        <f t="shared" si="217"/>
        <v>0.58839506960299393</v>
      </c>
      <c r="E363" s="1">
        <f t="shared" si="218"/>
        <v>-0.80857358481890063</v>
      </c>
      <c r="F363" s="2">
        <f t="shared" si="219"/>
        <v>19279.941245681301</v>
      </c>
      <c r="G363" s="2">
        <f t="shared" si="220"/>
        <v>-26494.530653760918</v>
      </c>
      <c r="H363" s="2">
        <f t="shared" si="221"/>
        <v>4820.1324101877262</v>
      </c>
      <c r="I363" s="3">
        <f t="shared" si="225"/>
        <v>0.33551668579752503</v>
      </c>
      <c r="J363" s="3">
        <f t="shared" si="226"/>
        <v>0.11257144644855513</v>
      </c>
      <c r="K363" s="3">
        <f t="shared" si="227"/>
        <v>0.98278125303889696</v>
      </c>
      <c r="L363" s="3">
        <f t="shared" si="228"/>
        <v>0.57826364378633932</v>
      </c>
      <c r="M363" s="3">
        <f t="shared" si="229"/>
        <v>-0.794650960862472</v>
      </c>
      <c r="N363" s="3">
        <f t="shared" si="230"/>
        <v>6.5095974809640259E-2</v>
      </c>
      <c r="O363" s="3">
        <f t="shared" si="231"/>
        <v>-8.945500808602265E-2</v>
      </c>
      <c r="P363" s="3">
        <f t="shared" si="232"/>
        <v>-0.12269890448868367</v>
      </c>
      <c r="Q363" s="3">
        <f t="shared" si="233"/>
        <v>-7.2195430446830133E-2</v>
      </c>
      <c r="R363" s="3">
        <f t="shared" si="234"/>
        <v>9.921109305576685E-2</v>
      </c>
      <c r="S363" s="3">
        <f t="shared" si="235"/>
        <v>-8.1271440323757247E-3</v>
      </c>
      <c r="T363" s="3">
        <f t="shared" si="236"/>
        <v>1.1168336249029878E-2</v>
      </c>
      <c r="U363" s="3">
        <f t="shared" si="237"/>
        <v>-0.99818990895594673</v>
      </c>
      <c r="V363" s="3">
        <f t="shared" si="238"/>
        <v>-0.58733002095714049</v>
      </c>
      <c r="W363" s="3">
        <f t="shared" si="239"/>
        <v>0.80710999301456188</v>
      </c>
      <c r="X363" s="3">
        <f t="shared" si="240"/>
        <v>-6.6116590001805503E-2</v>
      </c>
      <c r="Y363" s="3">
        <f t="shared" si="241"/>
        <v>9.0857539356732464E-2</v>
      </c>
      <c r="Z363" s="3">
        <f t="shared" si="242"/>
        <v>-2.6548214558006233E-3</v>
      </c>
      <c r="AA363" s="3">
        <f t="shared" si="243"/>
        <v>-1.5620838552693295E-3</v>
      </c>
      <c r="AB363" s="3">
        <f t="shared" si="244"/>
        <v>2.1466185015708425E-3</v>
      </c>
      <c r="AC363" s="3">
        <f t="shared" si="245"/>
        <v>-1.7584603906160387E-4</v>
      </c>
      <c r="AD363" s="3">
        <f t="shared" si="246"/>
        <v>2.4164794969505976E-4</v>
      </c>
      <c r="AE363" s="3">
        <f t="shared" si="222"/>
        <v>0.99785651371900852</v>
      </c>
      <c r="AF363" s="3">
        <f t="shared" si="247"/>
        <v>0.58713385284349684</v>
      </c>
      <c r="AG363" s="3">
        <f t="shared" si="248"/>
        <v>-0.80684041843266918</v>
      </c>
      <c r="AH363" s="3">
        <f t="shared" si="249"/>
        <v>6.609450707350556E-2</v>
      </c>
      <c r="AI363" s="3">
        <f t="shared" si="250"/>
        <v>-9.0827192956123029E-2</v>
      </c>
      <c r="AJ363" s="3">
        <f t="shared" si="223"/>
        <v>0.12796667928006988</v>
      </c>
      <c r="AK363" s="3">
        <f t="shared" si="251"/>
        <v>7.5294963161860726E-2</v>
      </c>
      <c r="AL363" s="3">
        <f t="shared" si="252"/>
        <v>-0.10347047660285665</v>
      </c>
      <c r="AM363" s="3">
        <f t="shared" si="253"/>
        <v>8.4760629134213346E-3</v>
      </c>
      <c r="AN363" s="3">
        <f t="shared" si="254"/>
        <v>-1.1647821215904953E-2</v>
      </c>
      <c r="AO363" s="3">
        <f t="shared" si="224"/>
        <v>-0.98178632517014042</v>
      </c>
      <c r="AP363" s="3">
        <f t="shared" si="255"/>
        <v>-0.57767823313375244</v>
      </c>
      <c r="AQ363" s="3">
        <f t="shared" si="256"/>
        <v>0.7938464884689953</v>
      </c>
      <c r="AR363" s="3"/>
      <c r="AS363" s="2"/>
      <c r="AT363" s="2"/>
    </row>
    <row r="364" spans="1:46">
      <c r="A364">
        <f t="shared" si="257"/>
        <v>361</v>
      </c>
      <c r="B364" s="1">
        <f t="shared" si="215"/>
        <v>44.523212999999998</v>
      </c>
      <c r="C364" s="1">
        <f t="shared" si="216"/>
        <v>279.74759775002713</v>
      </c>
      <c r="D364" s="1">
        <f t="shared" si="217"/>
        <v>-0.14533502118572397</v>
      </c>
      <c r="E364" s="1">
        <f t="shared" si="218"/>
        <v>-0.98938250015701468</v>
      </c>
      <c r="F364" s="2">
        <f t="shared" si="219"/>
        <v>-4762.1926391926172</v>
      </c>
      <c r="G364" s="2">
        <f t="shared" si="220"/>
        <v>-32419.096382644901</v>
      </c>
      <c r="H364" s="2">
        <f t="shared" si="221"/>
        <v>-1190.5844935534508</v>
      </c>
      <c r="I364" s="3">
        <f t="shared" si="225"/>
        <v>0.32818115024604527</v>
      </c>
      <c r="J364" s="3">
        <f t="shared" si="226"/>
        <v>0.10770286737681734</v>
      </c>
      <c r="K364" s="3">
        <f t="shared" si="227"/>
        <v>0.58993097658576665</v>
      </c>
      <c r="L364" s="3">
        <f t="shared" si="228"/>
        <v>-8.573763098020723E-2</v>
      </c>
      <c r="M364" s="3">
        <f t="shared" si="229"/>
        <v>-0.58366738453449507</v>
      </c>
      <c r="N364" s="3">
        <f t="shared" si="230"/>
        <v>-9.2341886986637648E-3</v>
      </c>
      <c r="O364" s="3">
        <f t="shared" si="231"/>
        <v>-6.2862650908692572E-2</v>
      </c>
      <c r="P364" s="3">
        <f t="shared" si="232"/>
        <v>-0.77149012235648351</v>
      </c>
      <c r="Q364" s="3">
        <f t="shared" si="233"/>
        <v>0.11212453327725631</v>
      </c>
      <c r="R364" s="3">
        <f t="shared" si="234"/>
        <v>0.76329882610349886</v>
      </c>
      <c r="S364" s="3">
        <f t="shared" si="235"/>
        <v>1.2076133737247877E-2</v>
      </c>
      <c r="T364" s="3">
        <f t="shared" si="236"/>
        <v>8.220947223670548E-2</v>
      </c>
      <c r="U364" s="3">
        <f t="shared" si="237"/>
        <v>-0.68036420982713497</v>
      </c>
      <c r="V364" s="3">
        <f t="shared" si="238"/>
        <v>9.8880746849235007E-2</v>
      </c>
      <c r="W364" s="3">
        <f t="shared" si="239"/>
        <v>0.67314044293612252</v>
      </c>
      <c r="X364" s="3">
        <f t="shared" si="240"/>
        <v>1.0649739964023807E-2</v>
      </c>
      <c r="Y364" s="3">
        <f t="shared" si="241"/>
        <v>7.2499155851521294E-2</v>
      </c>
      <c r="Z364" s="3">
        <f t="shared" si="242"/>
        <v>0.69173856949346746</v>
      </c>
      <c r="AA364" s="3">
        <f t="shared" si="243"/>
        <v>-0.10053383965231549</v>
      </c>
      <c r="AB364" s="3">
        <f t="shared" si="244"/>
        <v>-0.68439403534048371</v>
      </c>
      <c r="AC364" s="3">
        <f t="shared" si="245"/>
        <v>-1.0827782798955556E-2</v>
      </c>
      <c r="AD364" s="3">
        <f t="shared" si="246"/>
        <v>-7.3711200021760959E-2</v>
      </c>
      <c r="AE364" s="3">
        <f t="shared" si="222"/>
        <v>0.76144905276201247</v>
      </c>
      <c r="AF364" s="3">
        <f t="shared" si="247"/>
        <v>-0.11066521421501653</v>
      </c>
      <c r="AG364" s="3">
        <f t="shared" si="248"/>
        <v>-0.75336436756387049</v>
      </c>
      <c r="AH364" s="3">
        <f t="shared" si="249"/>
        <v>-1.1918960889827005E-2</v>
      </c>
      <c r="AI364" s="3">
        <f t="shared" si="250"/>
        <v>-8.1139502566151406E-2</v>
      </c>
      <c r="AJ364" s="3">
        <f t="shared" si="223"/>
        <v>-0.60248233951152663</v>
      </c>
      <c r="AK364" s="3">
        <f t="shared" si="251"/>
        <v>8.756178357693227E-2</v>
      </c>
      <c r="AL364" s="3">
        <f t="shared" si="252"/>
        <v>0.59608548336636158</v>
      </c>
      <c r="AM364" s="3">
        <f t="shared" si="253"/>
        <v>9.4306551638639186E-3</v>
      </c>
      <c r="AN364" s="3">
        <f t="shared" si="254"/>
        <v>6.4200115760253293E-2</v>
      </c>
      <c r="AO364" s="3">
        <f t="shared" si="224"/>
        <v>-0.83207137747361093</v>
      </c>
      <c r="AP364" s="3">
        <f t="shared" si="255"/>
        <v>0.12092911127316178</v>
      </c>
      <c r="AQ364" s="3">
        <f t="shared" si="256"/>
        <v>0.82323685975393224</v>
      </c>
      <c r="AR364" s="3"/>
      <c r="AS364" s="2"/>
      <c r="AT364" s="2"/>
    </row>
    <row r="365" spans="1:46">
      <c r="A365">
        <f t="shared" si="257"/>
        <v>362</v>
      </c>
      <c r="B365" s="1">
        <f t="shared" si="215"/>
        <v>44.646546000000001</v>
      </c>
      <c r="C365" s="1">
        <f t="shared" si="216"/>
        <v>280.52252184351755</v>
      </c>
      <c r="D365" s="1">
        <f t="shared" si="217"/>
        <v>-0.79607129960427214</v>
      </c>
      <c r="E365" s="1">
        <f t="shared" si="218"/>
        <v>-0.60520284694172177</v>
      </c>
      <c r="F365" s="2">
        <f t="shared" si="219"/>
        <v>-26084.868274133187</v>
      </c>
      <c r="G365" s="2">
        <f t="shared" si="220"/>
        <v>-19830.681685739397</v>
      </c>
      <c r="H365" s="2">
        <f t="shared" si="221"/>
        <v>-6521.4160863581974</v>
      </c>
      <c r="I365" s="3">
        <f t="shared" si="225"/>
        <v>0.32082576981536765</v>
      </c>
      <c r="J365" s="3">
        <f t="shared" si="226"/>
        <v>0.10292917457762327</v>
      </c>
      <c r="K365" s="3">
        <f t="shared" si="227"/>
        <v>-0.12269890448868367</v>
      </c>
      <c r="L365" s="3">
        <f t="shared" si="228"/>
        <v>9.7677076356326872E-2</v>
      </c>
      <c r="M365" s="3">
        <f t="shared" si="229"/>
        <v>7.4257726313181768E-2</v>
      </c>
      <c r="N365" s="3">
        <f t="shared" si="230"/>
        <v>1.0053820844512206E-2</v>
      </c>
      <c r="O365" s="3">
        <f t="shared" si="231"/>
        <v>7.643286475426855E-3</v>
      </c>
      <c r="P365" s="3">
        <f t="shared" si="232"/>
        <v>-0.99765105296728485</v>
      </c>
      <c r="Q365" s="3">
        <f t="shared" si="233"/>
        <v>0.79420137028723703</v>
      </c>
      <c r="R365" s="3">
        <f t="shared" si="234"/>
        <v>0.60378125751020728</v>
      </c>
      <c r="S365" s="3">
        <f t="shared" si="235"/>
        <v>8.1746491492082629E-2</v>
      </c>
      <c r="T365" s="3">
        <f t="shared" si="236"/>
        <v>6.2146706460965033E-2</v>
      </c>
      <c r="U365" s="3">
        <f t="shared" si="237"/>
        <v>1.4099869012460825E-2</v>
      </c>
      <c r="V365" s="3">
        <f t="shared" si="238"/>
        <v>-1.1224501048999695E-2</v>
      </c>
      <c r="W365" s="3">
        <f t="shared" si="239"/>
        <v>-8.5332808678466546E-3</v>
      </c>
      <c r="X365" s="3">
        <f t="shared" si="240"/>
        <v>-1.155328628019205E-3</v>
      </c>
      <c r="Y365" s="3">
        <f t="shared" si="241"/>
        <v>-8.783235561664809E-4</v>
      </c>
      <c r="Z365" s="3">
        <f t="shared" si="242"/>
        <v>0.99918589039420502</v>
      </c>
      <c r="AA365" s="3">
        <f t="shared" si="243"/>
        <v>-0.79542321031236662</v>
      </c>
      <c r="AB365" s="3">
        <f t="shared" si="244"/>
        <v>-0.604710145490572</v>
      </c>
      <c r="AC365" s="3">
        <f t="shared" si="245"/>
        <v>-8.1872254477335135E-2</v>
      </c>
      <c r="AD365" s="3">
        <f t="shared" si="246"/>
        <v>-6.2242316134059054E-2</v>
      </c>
      <c r="AE365" s="3">
        <f t="shared" si="222"/>
        <v>9.4666240776649188E-2</v>
      </c>
      <c r="AF365" s="3">
        <f t="shared" si="247"/>
        <v>-7.5361077323718065E-2</v>
      </c>
      <c r="AG365" s="3">
        <f t="shared" si="248"/>
        <v>-5.7292278427298601E-2</v>
      </c>
      <c r="AH365" s="3">
        <f t="shared" si="249"/>
        <v>-7.756853484210742E-3</v>
      </c>
      <c r="AI365" s="3">
        <f t="shared" si="250"/>
        <v>-5.8970469281932171E-3</v>
      </c>
      <c r="AJ365" s="3">
        <f t="shared" si="223"/>
        <v>-0.98888102236451791</v>
      </c>
      <c r="AK365" s="3">
        <f t="shared" si="251"/>
        <v>0.78721980062772312</v>
      </c>
      <c r="AL365" s="3">
        <f t="shared" si="252"/>
        <v>0.59847361002164667</v>
      </c>
      <c r="AM365" s="3">
        <f t="shared" si="253"/>
        <v>8.1027884289772686E-2</v>
      </c>
      <c r="AN365" s="3">
        <f t="shared" si="254"/>
        <v>6.1600394686018495E-2</v>
      </c>
      <c r="AO365" s="3">
        <f t="shared" si="224"/>
        <v>-0.20231061694416375</v>
      </c>
      <c r="AP365" s="3">
        <f t="shared" si="255"/>
        <v>0.16105367575448251</v>
      </c>
      <c r="AQ365" s="3">
        <f t="shared" si="256"/>
        <v>0.12243896134114403</v>
      </c>
      <c r="AR365" s="3"/>
      <c r="AS365" s="2"/>
      <c r="AT365" s="2"/>
    </row>
    <row r="366" spans="1:46">
      <c r="A366">
        <f t="shared" si="257"/>
        <v>363</v>
      </c>
      <c r="B366" s="1">
        <f t="shared" si="215"/>
        <v>44.769878999999996</v>
      </c>
      <c r="C366" s="1">
        <f t="shared" si="216"/>
        <v>281.29744593700786</v>
      </c>
      <c r="D366" s="1">
        <f t="shared" si="217"/>
        <v>-0.99220970110615558</v>
      </c>
      <c r="E366" s="1">
        <f t="shared" si="218"/>
        <v>0.12457892691315595</v>
      </c>
      <c r="F366" s="2">
        <f t="shared" si="219"/>
        <v>-32511.735276145399</v>
      </c>
      <c r="G366" s="2">
        <f t="shared" si="220"/>
        <v>4082.0776981633808</v>
      </c>
      <c r="H366" s="2">
        <f t="shared" si="221"/>
        <v>-8128.1818714616265</v>
      </c>
      <c r="I366" s="3">
        <f t="shared" si="225"/>
        <v>0.31345098928008208</v>
      </c>
      <c r="J366" s="3">
        <f t="shared" si="226"/>
        <v>9.8251522680662132E-2</v>
      </c>
      <c r="K366" s="3">
        <f t="shared" si="227"/>
        <v>-0.76881828056825929</v>
      </c>
      <c r="L366" s="3">
        <f t="shared" si="228"/>
        <v>0.76282895636758097</v>
      </c>
      <c r="M366" s="3">
        <f t="shared" si="229"/>
        <v>-9.5778556384411392E-2</v>
      </c>
      <c r="N366" s="3">
        <f t="shared" si="230"/>
        <v>7.4949106508015201E-2</v>
      </c>
      <c r="O366" s="3">
        <f t="shared" si="231"/>
        <v>-9.4103890049240732E-3</v>
      </c>
      <c r="P366" s="3">
        <f t="shared" si="232"/>
        <v>-0.67728839386594808</v>
      </c>
      <c r="Q366" s="3">
        <f t="shared" si="233"/>
        <v>0.67201211484040058</v>
      </c>
      <c r="R366" s="3">
        <f t="shared" si="234"/>
        <v>-8.4375861318554721E-2</v>
      </c>
      <c r="S366" s="3">
        <f t="shared" si="235"/>
        <v>6.6026213542921347E-2</v>
      </c>
      <c r="T366" s="3">
        <f t="shared" si="236"/>
        <v>-8.2900568520403832E-3</v>
      </c>
      <c r="U366" s="3">
        <f t="shared" si="237"/>
        <v>0.70075849344652685</v>
      </c>
      <c r="V366" s="3">
        <f t="shared" si="238"/>
        <v>-0.69529937533017827</v>
      </c>
      <c r="W366" s="3">
        <f t="shared" si="239"/>
        <v>8.7299741138848141E-2</v>
      </c>
      <c r="X366" s="3">
        <f t="shared" si="240"/>
        <v>-6.8314222345103232E-2</v>
      </c>
      <c r="Y366" s="3">
        <f t="shared" si="241"/>
        <v>8.5773324965194714E-3</v>
      </c>
      <c r="Z366" s="3">
        <f t="shared" si="242"/>
        <v>0.74770665928971791</v>
      </c>
      <c r="AA366" s="3">
        <f t="shared" si="243"/>
        <v>-0.74188180092893308</v>
      </c>
      <c r="AB366" s="3">
        <f t="shared" si="244"/>
        <v>9.3148493260133761E-2</v>
      </c>
      <c r="AC366" s="3">
        <f t="shared" si="245"/>
        <v>-7.289101659033953E-2</v>
      </c>
      <c r="AD366" s="3">
        <f t="shared" si="246"/>
        <v>9.1519812982175357E-3</v>
      </c>
      <c r="AE366" s="3">
        <f t="shared" si="222"/>
        <v>-0.62562247085755129</v>
      </c>
      <c r="AF366" s="3">
        <f t="shared" si="247"/>
        <v>0.62074868481486545</v>
      </c>
      <c r="AG366" s="3">
        <f t="shared" si="248"/>
        <v>-7.7939376072190925E-2</v>
      </c>
      <c r="AH366" s="3">
        <f t="shared" si="249"/>
        <v>6.098950348507895E-2</v>
      </c>
      <c r="AI366" s="3">
        <f t="shared" si="250"/>
        <v>-7.6576623758735215E-3</v>
      </c>
      <c r="AJ366" s="3">
        <f t="shared" si="223"/>
        <v>-0.81057460826208383</v>
      </c>
      <c r="AK366" s="3">
        <f t="shared" si="251"/>
        <v>0.80425998978796132</v>
      </c>
      <c r="AL366" s="3">
        <f t="shared" si="252"/>
        <v>-0.10098051488034215</v>
      </c>
      <c r="AM366" s="3">
        <f t="shared" si="253"/>
        <v>7.9019768627800982E-2</v>
      </c>
      <c r="AN366" s="3">
        <f t="shared" si="254"/>
        <v>-9.9214893480708763E-3</v>
      </c>
      <c r="AO366" s="3">
        <f t="shared" si="224"/>
        <v>0.54416893380562148</v>
      </c>
      <c r="AP366" s="3">
        <f t="shared" si="255"/>
        <v>-0.53992969516253109</v>
      </c>
      <c r="AQ366" s="3">
        <f t="shared" si="256"/>
        <v>6.7791981832980519E-2</v>
      </c>
      <c r="AR366" s="3"/>
      <c r="AS366" s="2"/>
      <c r="AT366" s="2"/>
    </row>
    <row r="367" spans="1:46">
      <c r="A367">
        <f t="shared" si="257"/>
        <v>364</v>
      </c>
      <c r="B367" s="1">
        <f t="shared" si="215"/>
        <v>44.893211999999998</v>
      </c>
      <c r="C367" s="1">
        <f t="shared" si="216"/>
        <v>282.07237003049829</v>
      </c>
      <c r="D367" s="1">
        <f t="shared" si="217"/>
        <v>-0.621745056118162</v>
      </c>
      <c r="E367" s="1">
        <f t="shared" si="218"/>
        <v>0.78321969152506854</v>
      </c>
      <c r="F367" s="2">
        <f t="shared" si="219"/>
        <v>-20372.720253823813</v>
      </c>
      <c r="G367" s="2">
        <f t="shared" si="220"/>
        <v>25663.75963220192</v>
      </c>
      <c r="H367" s="2">
        <f t="shared" si="221"/>
        <v>-5093.3354997199831</v>
      </c>
      <c r="I367" s="3">
        <f t="shared" si="225"/>
        <v>0.30605725458788768</v>
      </c>
      <c r="J367" s="3">
        <f t="shared" si="226"/>
        <v>9.3671043085875094E-2</v>
      </c>
      <c r="K367" s="3">
        <f t="shared" si="227"/>
        <v>-0.99818990895594673</v>
      </c>
      <c r="L367" s="3">
        <f t="shared" si="228"/>
        <v>0.62061964096039812</v>
      </c>
      <c r="M367" s="3">
        <f t="shared" si="229"/>
        <v>-0.78180199257591287</v>
      </c>
      <c r="N367" s="3">
        <f t="shared" si="230"/>
        <v>5.8134089128341782E-2</v>
      </c>
      <c r="O367" s="3">
        <f t="shared" si="231"/>
        <v>-7.3232208131201335E-2</v>
      </c>
      <c r="P367" s="3">
        <f t="shared" si="232"/>
        <v>1.4099869012460825E-2</v>
      </c>
      <c r="Q367" s="3">
        <f t="shared" si="233"/>
        <v>-8.7665238504111894E-3</v>
      </c>
      <c r="R367" s="3">
        <f t="shared" si="234"/>
        <v>1.104329505848344E-2</v>
      </c>
      <c r="S367" s="3">
        <f t="shared" si="235"/>
        <v>-8.2116943330521816E-4</v>
      </c>
      <c r="T367" s="3">
        <f t="shared" si="236"/>
        <v>1.0344369672332337E-3</v>
      </c>
      <c r="U367" s="3">
        <f t="shared" si="237"/>
        <v>0.99948879988842654</v>
      </c>
      <c r="V367" s="3">
        <f t="shared" si="238"/>
        <v>-0.62142721997610417</v>
      </c>
      <c r="W367" s="3">
        <f t="shared" si="239"/>
        <v>0.78281930953137435</v>
      </c>
      <c r="X367" s="3">
        <f t="shared" si="240"/>
        <v>-5.8209735897117233E-2</v>
      </c>
      <c r="Y367" s="3">
        <f t="shared" si="241"/>
        <v>7.3327501271568368E-2</v>
      </c>
      <c r="Z367" s="3">
        <f t="shared" si="242"/>
        <v>7.7973818916149976E-2</v>
      </c>
      <c r="AA367" s="3">
        <f t="shared" si="243"/>
        <v>-4.8479836417769068E-2</v>
      </c>
      <c r="AB367" s="3">
        <f t="shared" si="244"/>
        <v>6.1070630398538536E-2</v>
      </c>
      <c r="AC367" s="3">
        <f t="shared" si="245"/>
        <v>-4.5411568458850228E-3</v>
      </c>
      <c r="AD367" s="3">
        <f t="shared" si="246"/>
        <v>5.7205496513430569E-3</v>
      </c>
      <c r="AE367" s="3">
        <f t="shared" si="222"/>
        <v>-0.99230579086391979</v>
      </c>
      <c r="AF367" s="3">
        <f t="shared" si="247"/>
        <v>0.61696121962706496</v>
      </c>
      <c r="AG367" s="3">
        <f t="shared" si="248"/>
        <v>-0.77719343541897845</v>
      </c>
      <c r="AH367" s="3">
        <f t="shared" si="249"/>
        <v>5.7791400986000843E-2</v>
      </c>
      <c r="AI367" s="3">
        <f t="shared" si="250"/>
        <v>-7.2800519775190406E-2</v>
      </c>
      <c r="AJ367" s="3">
        <f t="shared" si="223"/>
        <v>-0.16938580245014601</v>
      </c>
      <c r="AK367" s="3">
        <f t="shared" si="251"/>
        <v>0.10531478524998593</v>
      </c>
      <c r="AL367" s="3">
        <f t="shared" si="252"/>
        <v>-0.13266629594372956</v>
      </c>
      <c r="AM367" s="3">
        <f t="shared" si="253"/>
        <v>9.8649457867311142E-3</v>
      </c>
      <c r="AN367" s="3">
        <f t="shared" si="254"/>
        <v>-1.2426990323388547E-2</v>
      </c>
      <c r="AO367" s="3">
        <f t="shared" si="224"/>
        <v>0.97670183860745574</v>
      </c>
      <c r="AP367" s="3">
        <f t="shared" si="255"/>
        <v>-0.60725953945570454</v>
      </c>
      <c r="AQ367" s="3">
        <f t="shared" si="256"/>
        <v>0.76497211274609878</v>
      </c>
      <c r="AR367" s="3"/>
      <c r="AS367" s="2"/>
      <c r="AT367" s="2"/>
    </row>
    <row r="368" spans="1:46">
      <c r="A368">
        <f t="shared" si="257"/>
        <v>365</v>
      </c>
      <c r="B368" s="1">
        <f t="shared" si="215"/>
        <v>45.016545000000001</v>
      </c>
      <c r="C368" s="1">
        <f t="shared" si="216"/>
        <v>282.84729412398866</v>
      </c>
      <c r="D368" s="1">
        <f t="shared" si="217"/>
        <v>0.10376816634676794</v>
      </c>
      <c r="E368" s="1">
        <f t="shared" si="218"/>
        <v>0.99460151199011837</v>
      </c>
      <c r="F368" s="2">
        <f t="shared" si="219"/>
        <v>3400.171506684545</v>
      </c>
      <c r="G368" s="2">
        <f t="shared" si="220"/>
        <v>32590.107743380209</v>
      </c>
      <c r="H368" s="2">
        <f t="shared" si="221"/>
        <v>850.06881871272299</v>
      </c>
      <c r="I368" s="3">
        <f t="shared" si="225"/>
        <v>0.29864501283262646</v>
      </c>
      <c r="J368" s="3">
        <f t="shared" si="226"/>
        <v>8.9188843689799624E-2</v>
      </c>
      <c r="K368" s="3">
        <f t="shared" si="227"/>
        <v>-0.68647997510680636</v>
      </c>
      <c r="L368" s="3">
        <f t="shared" si="228"/>
        <v>-7.1234768250608205E-2</v>
      </c>
      <c r="M368" s="3">
        <f t="shared" si="229"/>
        <v>-0.68277402119216846</v>
      </c>
      <c r="N368" s="3">
        <f t="shared" si="230"/>
        <v>-6.3533466107825957E-3</v>
      </c>
      <c r="O368" s="3">
        <f t="shared" si="231"/>
        <v>-6.0895825451564245E-2</v>
      </c>
      <c r="P368" s="3">
        <f t="shared" si="232"/>
        <v>0.69776407746903402</v>
      </c>
      <c r="Q368" s="3">
        <f t="shared" si="233"/>
        <v>7.2405698861605791E-2</v>
      </c>
      <c r="R368" s="3">
        <f t="shared" si="234"/>
        <v>0.69399720646309127</v>
      </c>
      <c r="S368" s="3">
        <f t="shared" si="235"/>
        <v>6.4577805580184619E-3</v>
      </c>
      <c r="T368" s="3">
        <f t="shared" si="236"/>
        <v>6.1896808368394243E-2</v>
      </c>
      <c r="U368" s="3">
        <f t="shared" si="237"/>
        <v>0.74491862889232241</v>
      </c>
      <c r="V368" s="3">
        <f t="shared" si="238"/>
        <v>7.7298840197704805E-2</v>
      </c>
      <c r="W368" s="3">
        <f t="shared" si="239"/>
        <v>0.74089719460590975</v>
      </c>
      <c r="X368" s="3">
        <f t="shared" si="240"/>
        <v>6.8941941757958937E-3</v>
      </c>
      <c r="Y368" s="3">
        <f t="shared" si="241"/>
        <v>6.607976407991753E-2</v>
      </c>
      <c r="Z368" s="3">
        <f t="shared" si="242"/>
        <v>-0.63537616834916022</v>
      </c>
      <c r="AA368" s="3">
        <f t="shared" si="243"/>
        <v>-6.5931819930027696E-2</v>
      </c>
      <c r="AB368" s="3">
        <f t="shared" si="244"/>
        <v>-0.63194609772256272</v>
      </c>
      <c r="AC368" s="3">
        <f t="shared" si="245"/>
        <v>-5.8803827819232553E-3</v>
      </c>
      <c r="AD368" s="3">
        <f t="shared" si="246"/>
        <v>-5.6362541730156486E-2</v>
      </c>
      <c r="AE368" s="3">
        <f t="shared" si="222"/>
        <v>-0.79813221371945808</v>
      </c>
      <c r="AF368" s="3">
        <f t="shared" si="247"/>
        <v>-8.2820716319954871E-2</v>
      </c>
      <c r="AG368" s="3">
        <f t="shared" si="248"/>
        <v>-0.79382350653339329</v>
      </c>
      <c r="AH368" s="3">
        <f t="shared" si="249"/>
        <v>-7.3866839221376915E-3</v>
      </c>
      <c r="AI368" s="3">
        <f t="shared" si="250"/>
        <v>-7.0800200641495448E-2</v>
      </c>
      <c r="AJ368" s="3">
        <f t="shared" si="223"/>
        <v>0.56853155192550731</v>
      </c>
      <c r="AK368" s="3">
        <f t="shared" si="251"/>
        <v>5.8995476653592178E-2</v>
      </c>
      <c r="AL368" s="3">
        <f t="shared" si="252"/>
        <v>0.56546234115919802</v>
      </c>
      <c r="AM368" s="3">
        <f t="shared" si="253"/>
        <v>5.2617383456624563E-3</v>
      </c>
      <c r="AN368" s="3">
        <f t="shared" si="254"/>
        <v>5.0432932358115863E-2</v>
      </c>
      <c r="AO368" s="3">
        <f t="shared" si="224"/>
        <v>0.84574747452458943</v>
      </c>
      <c r="AP368" s="3">
        <f t="shared" si="255"/>
        <v>8.776166462382648E-2</v>
      </c>
      <c r="AQ368" s="3">
        <f t="shared" si="256"/>
        <v>0.8411817169239808</v>
      </c>
      <c r="AR368" s="3"/>
      <c r="AS368" s="2"/>
      <c r="AT368" s="2"/>
    </row>
    <row r="369" spans="1:46">
      <c r="A369">
        <f t="shared" si="257"/>
        <v>366</v>
      </c>
      <c r="B369" s="1">
        <f t="shared" si="215"/>
        <v>45.139877999999996</v>
      </c>
      <c r="C369" s="1">
        <f t="shared" si="216"/>
        <v>283.62221821747903</v>
      </c>
      <c r="D369" s="1">
        <f t="shared" si="217"/>
        <v>0.77002439997637551</v>
      </c>
      <c r="E369" s="1">
        <f t="shared" si="218"/>
        <v>0.63801443827003068</v>
      </c>
      <c r="F369" s="2">
        <f t="shared" si="219"/>
        <v>25231.389514025897</v>
      </c>
      <c r="G369" s="2">
        <f t="shared" si="220"/>
        <v>20905.819098794094</v>
      </c>
      <c r="H369" s="2">
        <f t="shared" si="221"/>
        <v>6308.0398846064681</v>
      </c>
      <c r="I369" s="3">
        <f t="shared" si="225"/>
        <v>0.29121471222725231</v>
      </c>
      <c r="J369" s="3">
        <f t="shared" si="226"/>
        <v>8.4806008617601375E-2</v>
      </c>
      <c r="K369" s="3">
        <f t="shared" si="227"/>
        <v>-2.6548214558006233E-3</v>
      </c>
      <c r="L369" s="3">
        <f t="shared" si="228"/>
        <v>-2.0442772985472825E-3</v>
      </c>
      <c r="M369" s="3">
        <f t="shared" si="229"/>
        <v>-1.6938144198298598E-3</v>
      </c>
      <c r="N369" s="3">
        <f t="shared" si="230"/>
        <v>-1.7336699819736772E-4</v>
      </c>
      <c r="O369" s="3">
        <f t="shared" si="231"/>
        <v>-1.4364564028470855E-4</v>
      </c>
      <c r="P369" s="3">
        <f t="shared" si="232"/>
        <v>0.99918589039420502</v>
      </c>
      <c r="Q369" s="3">
        <f t="shared" si="233"/>
        <v>0.76939751571565818</v>
      </c>
      <c r="R369" s="3">
        <f t="shared" si="234"/>
        <v>0.6374950245871992</v>
      </c>
      <c r="S369" s="3">
        <f t="shared" si="235"/>
        <v>6.5249532348143194E-2</v>
      </c>
      <c r="T369" s="3">
        <f t="shared" si="236"/>
        <v>5.4063408548820011E-2</v>
      </c>
      <c r="U369" s="3">
        <f t="shared" si="237"/>
        <v>7.7973818916149976E-2</v>
      </c>
      <c r="V369" s="3">
        <f t="shared" si="238"/>
        <v>6.0041743124774942E-2</v>
      </c>
      <c r="W369" s="3">
        <f t="shared" si="239"/>
        <v>4.9748422275556523E-2</v>
      </c>
      <c r="X369" s="3">
        <f t="shared" si="240"/>
        <v>5.0919005848554721E-3</v>
      </c>
      <c r="Y369" s="3">
        <f t="shared" si="241"/>
        <v>4.2189651282129184E-3</v>
      </c>
      <c r="Z369" s="3">
        <f t="shared" si="242"/>
        <v>-0.99330819543735704</v>
      </c>
      <c r="AA369" s="3">
        <f t="shared" si="243"/>
        <v>-0.76487154718326722</v>
      </c>
      <c r="AB369" s="3">
        <f t="shared" si="244"/>
        <v>-0.6337449703409832</v>
      </c>
      <c r="AC369" s="3">
        <f t="shared" si="245"/>
        <v>-6.4865703021782253E-2</v>
      </c>
      <c r="AD369" s="3">
        <f t="shared" si="246"/>
        <v>-5.3745381416098949E-2</v>
      </c>
      <c r="AE369" s="3">
        <f t="shared" si="222"/>
        <v>-0.15284975358329622</v>
      </c>
      <c r="AF369" s="3">
        <f t="shared" si="247"/>
        <v>-0.11769803978951453</v>
      </c>
      <c r="AG369" s="3">
        <f t="shared" si="248"/>
        <v>-9.7520349672159348E-2</v>
      </c>
      <c r="AH369" s="3">
        <f t="shared" si="249"/>
        <v>-9.9815009766643596E-3</v>
      </c>
      <c r="AI369" s="3">
        <f t="shared" si="250"/>
        <v>-8.2703116146886461E-3</v>
      </c>
      <c r="AJ369" s="3">
        <f t="shared" si="223"/>
        <v>0.98178632517013831</v>
      </c>
      <c r="AK369" s="3">
        <f t="shared" si="251"/>
        <v>0.75599942594414649</v>
      </c>
      <c r="AL369" s="3">
        <f t="shared" si="252"/>
        <v>0.6263938507546235</v>
      </c>
      <c r="AM369" s="3">
        <f t="shared" si="253"/>
        <v>6.4113293831520979E-2</v>
      </c>
      <c r="AN369" s="3">
        <f t="shared" si="254"/>
        <v>5.3121962305109106E-2</v>
      </c>
      <c r="AO369" s="3">
        <f t="shared" si="224"/>
        <v>0.22685716546030119</v>
      </c>
      <c r="AP369" s="3">
        <f t="shared" si="255"/>
        <v>0.17468555271390976</v>
      </c>
      <c r="AQ369" s="3">
        <f t="shared" si="256"/>
        <v>0.14473814698868548</v>
      </c>
      <c r="AR369" s="3"/>
      <c r="AS369" s="2"/>
      <c r="AT369" s="2"/>
    </row>
    <row r="370" spans="1:46">
      <c r="A370">
        <f t="shared" si="257"/>
        <v>367</v>
      </c>
      <c r="B370" s="1">
        <f t="shared" si="215"/>
        <v>45.263210999999998</v>
      </c>
      <c r="C370" s="1">
        <f t="shared" si="216"/>
        <v>284.3971423109694</v>
      </c>
      <c r="D370" s="1">
        <f t="shared" si="217"/>
        <v>0.9965568832619347</v>
      </c>
      <c r="E370" s="1">
        <f t="shared" si="218"/>
        <v>-8.2911871425380063E-2</v>
      </c>
      <c r="F370" s="2">
        <f t="shared" si="219"/>
        <v>32654.179393843813</v>
      </c>
      <c r="G370" s="2">
        <f t="shared" si="220"/>
        <v>-2716.7732909954284</v>
      </c>
      <c r="H370" s="2">
        <f t="shared" si="221"/>
        <v>8163.7939876817691</v>
      </c>
      <c r="I370" s="3">
        <f t="shared" si="225"/>
        <v>0.28376680207672161</v>
      </c>
      <c r="J370" s="3">
        <f t="shared" si="226"/>
        <v>8.0523597960849291E-2</v>
      </c>
      <c r="K370" s="3">
        <f t="shared" si="227"/>
        <v>0.68260941200139724</v>
      </c>
      <c r="L370" s="3">
        <f t="shared" si="228"/>
        <v>0.68025910810937429</v>
      </c>
      <c r="M370" s="3">
        <f t="shared" si="229"/>
        <v>-5.6596423801614136E-2</v>
      </c>
      <c r="N370" s="3">
        <f t="shared" si="230"/>
        <v>5.4776910930605167E-2</v>
      </c>
      <c r="O370" s="3">
        <f t="shared" si="231"/>
        <v>-4.5573476762230183E-3</v>
      </c>
      <c r="P370" s="3">
        <f t="shared" si="232"/>
        <v>0.75324331375272502</v>
      </c>
      <c r="Q370" s="3">
        <f t="shared" si="233"/>
        <v>0.75064980909130719</v>
      </c>
      <c r="R370" s="3">
        <f t="shared" si="234"/>
        <v>-6.2452812781893151E-2</v>
      </c>
      <c r="S370" s="3">
        <f t="shared" si="235"/>
        <v>6.0445023436656697E-2</v>
      </c>
      <c r="T370" s="3">
        <f t="shared" si="236"/>
        <v>-5.028925187973354E-3</v>
      </c>
      <c r="U370" s="3">
        <f t="shared" si="237"/>
        <v>-0.63213600825555805</v>
      </c>
      <c r="V370" s="3">
        <f t="shared" si="238"/>
        <v>-0.62995949018479958</v>
      </c>
      <c r="W370" s="3">
        <f t="shared" si="239"/>
        <v>5.2411579439837819E-2</v>
      </c>
      <c r="X370" s="3">
        <f t="shared" si="240"/>
        <v>-5.0726604719262387E-2</v>
      </c>
      <c r="Y370" s="3">
        <f t="shared" si="241"/>
        <v>4.2203689513066155E-3</v>
      </c>
      <c r="Z370" s="3">
        <f t="shared" si="242"/>
        <v>-0.79560154698812036</v>
      </c>
      <c r="AA370" s="3">
        <f t="shared" si="243"/>
        <v>-0.79286219798485491</v>
      </c>
      <c r="AB370" s="3">
        <f t="shared" si="244"/>
        <v>6.5964813169712505E-2</v>
      </c>
      <c r="AC370" s="3">
        <f t="shared" si="245"/>
        <v>-6.3844116868887746E-2</v>
      </c>
      <c r="AD370" s="3">
        <f t="shared" si="246"/>
        <v>5.3117240952404669E-3</v>
      </c>
      <c r="AE370" s="3">
        <f t="shared" si="222"/>
        <v>0.57882425975579632</v>
      </c>
      <c r="AF370" s="3">
        <f t="shared" si="247"/>
        <v>0.57683130025863283</v>
      </c>
      <c r="AG370" s="3">
        <f t="shared" si="248"/>
        <v>-4.7991402602763376E-2</v>
      </c>
      <c r="AH370" s="3">
        <f t="shared" si="249"/>
        <v>4.6448531713260098E-2</v>
      </c>
      <c r="AI370" s="3">
        <f t="shared" si="250"/>
        <v>-3.8644404087621741E-3</v>
      </c>
      <c r="AJ370" s="3">
        <f t="shared" si="223"/>
        <v>0.83438746121680152</v>
      </c>
      <c r="AK370" s="3">
        <f t="shared" si="251"/>
        <v>0.8315145677830541</v>
      </c>
      <c r="AL370" s="3">
        <f t="shared" si="252"/>
        <v>-6.9180625903356746E-2</v>
      </c>
      <c r="AM370" s="3">
        <f t="shared" si="253"/>
        <v>6.6956544754752018E-2</v>
      </c>
      <c r="AN370" s="3">
        <f t="shared" si="254"/>
        <v>-5.570672906921815E-3</v>
      </c>
      <c r="AO370" s="3">
        <f t="shared" si="224"/>
        <v>-0.52291354081340868</v>
      </c>
      <c r="AP370" s="3">
        <f t="shared" si="255"/>
        <v>-0.52111308844847304</v>
      </c>
      <c r="AQ370" s="3">
        <f t="shared" si="256"/>
        <v>4.3355740262511572E-2</v>
      </c>
      <c r="AR370" s="3"/>
      <c r="AS370" s="2"/>
      <c r="AT370" s="2"/>
    </row>
    <row r="371" spans="1:46">
      <c r="A371">
        <f t="shared" si="257"/>
        <v>368</v>
      </c>
      <c r="B371" s="1">
        <f t="shared" si="215"/>
        <v>45.386544000000001</v>
      </c>
      <c r="C371" s="1">
        <f t="shared" si="216"/>
        <v>285.17206640445983</v>
      </c>
      <c r="D371" s="1">
        <f t="shared" si="217"/>
        <v>0.65400385425386842</v>
      </c>
      <c r="E371" s="1">
        <f t="shared" si="218"/>
        <v>-0.75649121516451523</v>
      </c>
      <c r="F371" s="2">
        <f t="shared" si="219"/>
        <v>21429.744292336505</v>
      </c>
      <c r="G371" s="2">
        <f t="shared" si="220"/>
        <v>-24787.94764729567</v>
      </c>
      <c r="H371" s="2">
        <f t="shared" si="221"/>
        <v>5357.5995740476901</v>
      </c>
      <c r="I371" s="3">
        <f t="shared" si="225"/>
        <v>0.27630173275083048</v>
      </c>
      <c r="J371" s="3">
        <f t="shared" si="226"/>
        <v>7.6342647521111348E-2</v>
      </c>
      <c r="K371" s="3">
        <f t="shared" si="227"/>
        <v>0.99785651371900852</v>
      </c>
      <c r="L371" s="3">
        <f t="shared" si="228"/>
        <v>0.65260200596455975</v>
      </c>
      <c r="M371" s="3">
        <f t="shared" si="229"/>
        <v>-0.75486968662311948</v>
      </c>
      <c r="N371" s="3">
        <f t="shared" si="230"/>
        <v>4.9821364912922585E-2</v>
      </c>
      <c r="O371" s="3">
        <f t="shared" si="231"/>
        <v>-5.7628750410240591E-2</v>
      </c>
      <c r="P371" s="3">
        <f t="shared" si="232"/>
        <v>9.4666240776649188E-2</v>
      </c>
      <c r="Q371" s="3">
        <f t="shared" si="233"/>
        <v>6.1912086335653288E-2</v>
      </c>
      <c r="R371" s="3">
        <f t="shared" si="234"/>
        <v>-7.1614179520183924E-2</v>
      </c>
      <c r="S371" s="3">
        <f t="shared" si="235"/>
        <v>4.7265325844193934E-3</v>
      </c>
      <c r="T371" s="3">
        <f t="shared" si="236"/>
        <v>-5.4672160646229923E-3</v>
      </c>
      <c r="U371" s="3">
        <f t="shared" si="237"/>
        <v>-0.99230579086391979</v>
      </c>
      <c r="V371" s="3">
        <f t="shared" si="238"/>
        <v>-0.64897181182343666</v>
      </c>
      <c r="W371" s="3">
        <f t="shared" si="239"/>
        <v>0.75067061354543196</v>
      </c>
      <c r="X371" s="3">
        <f t="shared" si="240"/>
        <v>-4.954422628117363E-2</v>
      </c>
      <c r="Y371" s="3">
        <f t="shared" si="241"/>
        <v>5.7308182054355311E-2</v>
      </c>
      <c r="Z371" s="3">
        <f t="shared" si="242"/>
        <v>-0.15284975358329622</v>
      </c>
      <c r="AA371" s="3">
        <f t="shared" si="243"/>
        <v>-9.9964327965229763E-2</v>
      </c>
      <c r="AB371" s="3">
        <f t="shared" si="244"/>
        <v>0.11562949582582448</v>
      </c>
      <c r="AC371" s="3">
        <f t="shared" si="245"/>
        <v>-7.631541454534309E-3</v>
      </c>
      <c r="AD371" s="3">
        <f t="shared" si="246"/>
        <v>8.8274618428747335E-3</v>
      </c>
      <c r="AE371" s="3">
        <f t="shared" si="222"/>
        <v>0.98334349750940464</v>
      </c>
      <c r="AF371" s="3">
        <f t="shared" si="247"/>
        <v>0.64311043742662988</v>
      </c>
      <c r="AG371" s="3">
        <f t="shared" si="248"/>
        <v>-0.743890717355014</v>
      </c>
      <c r="AH371" s="3">
        <f t="shared" si="249"/>
        <v>4.9096753441608937E-2</v>
      </c>
      <c r="AI371" s="3">
        <f t="shared" si="250"/>
        <v>-5.6790586829260498E-2</v>
      </c>
      <c r="AJ371" s="3">
        <f t="shared" si="223"/>
        <v>0.2105077653650422</v>
      </c>
      <c r="AK371" s="3">
        <f t="shared" si="251"/>
        <v>0.13767288989910659</v>
      </c>
      <c r="AL371" s="3">
        <f t="shared" si="252"/>
        <v>-0.15924727522256743</v>
      </c>
      <c r="AM371" s="3">
        <f t="shared" si="253"/>
        <v>1.0510312906780266E-2</v>
      </c>
      <c r="AN371" s="3">
        <f t="shared" si="254"/>
        <v>-1.2157358601013874E-2</v>
      </c>
      <c r="AO371" s="3">
        <f t="shared" si="224"/>
        <v>-0.97100044622943993</v>
      </c>
      <c r="AP371" s="3">
        <f t="shared" si="255"/>
        <v>-0.63503803431627981</v>
      </c>
      <c r="AQ371" s="3">
        <f t="shared" si="256"/>
        <v>0.73455330749339554</v>
      </c>
      <c r="AR371" s="3"/>
      <c r="AS371" s="2"/>
      <c r="AT371" s="2"/>
    </row>
    <row r="372" spans="1:46">
      <c r="A372">
        <f t="shared" si="257"/>
        <v>369</v>
      </c>
      <c r="B372" s="1">
        <f t="shared" si="215"/>
        <v>45.509876999999996</v>
      </c>
      <c r="C372" s="1">
        <f t="shared" si="216"/>
        <v>285.94699049795014</v>
      </c>
      <c r="D372" s="1">
        <f t="shared" si="217"/>
        <v>-6.2019194068844451E-2</v>
      </c>
      <c r="E372" s="1">
        <f t="shared" si="218"/>
        <v>-0.99807495688803405</v>
      </c>
      <c r="F372" s="2">
        <f t="shared" si="219"/>
        <v>-2032.1829320538261</v>
      </c>
      <c r="G372" s="2">
        <f t="shared" si="220"/>
        <v>-32703.92211235021</v>
      </c>
      <c r="H372" s="2">
        <f t="shared" si="221"/>
        <v>-508.06123781197374</v>
      </c>
      <c r="I372" s="3">
        <f t="shared" si="225"/>
        <v>0.26881995565697531</v>
      </c>
      <c r="J372" s="3">
        <f t="shared" si="226"/>
        <v>7.2264168559418168E-2</v>
      </c>
      <c r="K372" s="3">
        <f t="shared" si="227"/>
        <v>0.77220277433711304</v>
      </c>
      <c r="L372" s="3">
        <f t="shared" si="228"/>
        <v>-4.7891393722113512E-2</v>
      </c>
      <c r="M372" s="3">
        <f t="shared" si="229"/>
        <v>-0.77071625070533434</v>
      </c>
      <c r="N372" s="3">
        <f t="shared" si="230"/>
        <v>-3.4608317484802718E-3</v>
      </c>
      <c r="O372" s="3">
        <f t="shared" si="231"/>
        <v>-5.5695169052453072E-2</v>
      </c>
      <c r="P372" s="3">
        <f t="shared" si="232"/>
        <v>-0.61576998032539287</v>
      </c>
      <c r="Q372" s="3">
        <f t="shared" si="233"/>
        <v>3.8189557911569069E-2</v>
      </c>
      <c r="R372" s="3">
        <f t="shared" si="234"/>
        <v>0.61458459656621212</v>
      </c>
      <c r="S372" s="3">
        <f t="shared" si="235"/>
        <v>2.7597366501312891E-3</v>
      </c>
      <c r="T372" s="3">
        <f t="shared" si="236"/>
        <v>4.4412444880282766E-2</v>
      </c>
      <c r="U372" s="3">
        <f t="shared" si="237"/>
        <v>-0.80315149109057138</v>
      </c>
      <c r="V372" s="3">
        <f t="shared" si="238"/>
        <v>4.9810808192627939E-2</v>
      </c>
      <c r="W372" s="3">
        <f t="shared" si="239"/>
        <v>0.80160538984478225</v>
      </c>
      <c r="X372" s="3">
        <f t="shared" si="240"/>
        <v>3.5995366393129129E-3</v>
      </c>
      <c r="Y372" s="3">
        <f t="shared" si="241"/>
        <v>5.7927347009881461E-2</v>
      </c>
      <c r="Z372" s="3">
        <f t="shared" si="242"/>
        <v>0.57540343307223585</v>
      </c>
      <c r="AA372" s="3">
        <f t="shared" si="243"/>
        <v>-3.5686057183586348E-2</v>
      </c>
      <c r="AB372" s="3">
        <f t="shared" si="244"/>
        <v>-0.57429575665679855</v>
      </c>
      <c r="AC372" s="3">
        <f t="shared" si="245"/>
        <v>-2.5788232515357194E-3</v>
      </c>
      <c r="AD372" s="3">
        <f t="shared" si="246"/>
        <v>-4.1501005362005496E-2</v>
      </c>
      <c r="AE372" s="3">
        <f t="shared" si="222"/>
        <v>0.83207137747358539</v>
      </c>
      <c r="AF372" s="3">
        <f t="shared" si="247"/>
        <v>-5.1604396238665022E-2</v>
      </c>
      <c r="AG372" s="3">
        <f t="shared" si="248"/>
        <v>-0.83046960419971583</v>
      </c>
      <c r="AH372" s="3">
        <f t="shared" si="249"/>
        <v>-3.7291487881978935E-3</v>
      </c>
      <c r="AI372" s="3">
        <f t="shared" si="250"/>
        <v>-6.0013195461361551E-2</v>
      </c>
      <c r="AJ372" s="3">
        <f t="shared" si="223"/>
        <v>-0.53358336680904328</v>
      </c>
      <c r="AK372" s="3">
        <f t="shared" si="251"/>
        <v>3.3092410378037472E-2</v>
      </c>
      <c r="AL372" s="3">
        <f t="shared" si="252"/>
        <v>0.53255619582410796</v>
      </c>
      <c r="AM372" s="3">
        <f t="shared" si="253"/>
        <v>2.3913955215959389E-3</v>
      </c>
      <c r="AN372" s="3">
        <f t="shared" si="254"/>
        <v>3.8484730702395845E-2</v>
      </c>
      <c r="AO372" s="3">
        <f t="shared" si="224"/>
        <v>-0.85888937934338427</v>
      </c>
      <c r="AP372" s="3">
        <f t="shared" si="255"/>
        <v>5.3267627101166712E-2</v>
      </c>
      <c r="AQ372" s="3">
        <f t="shared" si="256"/>
        <v>0.85723598025973857</v>
      </c>
      <c r="AR372" s="3"/>
      <c r="AS372" s="2"/>
      <c r="AT372" s="2"/>
    </row>
    <row r="373" spans="1:46">
      <c r="A373">
        <f t="shared" si="257"/>
        <v>370</v>
      </c>
      <c r="B373" s="1">
        <f t="shared" si="215"/>
        <v>45.633209999999998</v>
      </c>
      <c r="C373" s="1">
        <f t="shared" si="216"/>
        <v>286.72191459144057</v>
      </c>
      <c r="D373" s="1">
        <f t="shared" si="217"/>
        <v>-0.74262607556614002</v>
      </c>
      <c r="E373" s="1">
        <f t="shared" si="218"/>
        <v>-0.66970628777788388</v>
      </c>
      <c r="F373" s="2">
        <f t="shared" si="219"/>
        <v>-24333.628618075709</v>
      </c>
      <c r="G373" s="2">
        <f t="shared" si="220"/>
        <v>-21944.26593161792</v>
      </c>
      <c r="H373" s="2">
        <f t="shared" si="221"/>
        <v>-6083.592811037819</v>
      </c>
      <c r="I373" s="3">
        <f t="shared" si="225"/>
        <v>0.2613219232128608</v>
      </c>
      <c r="J373" s="3">
        <f t="shared" si="226"/>
        <v>6.8289147551668317E-2</v>
      </c>
      <c r="K373" s="3">
        <f t="shared" si="227"/>
        <v>0.12796667928006988</v>
      </c>
      <c r="L373" s="3">
        <f t="shared" si="228"/>
        <v>-9.5031392836989179E-2</v>
      </c>
      <c r="M373" s="3">
        <f t="shared" si="229"/>
        <v>-8.5700089739918647E-2</v>
      </c>
      <c r="N373" s="3">
        <f t="shared" si="230"/>
        <v>-6.4896128074857099E-3</v>
      </c>
      <c r="O373" s="3">
        <f t="shared" si="231"/>
        <v>-5.8523860734405212E-3</v>
      </c>
      <c r="P373" s="3">
        <f t="shared" si="232"/>
        <v>-0.98888102236451791</v>
      </c>
      <c r="Q373" s="3">
        <f t="shared" si="233"/>
        <v>0.73436883284039423</v>
      </c>
      <c r="R373" s="3">
        <f t="shared" si="234"/>
        <v>0.66225983854173986</v>
      </c>
      <c r="S373" s="3">
        <f t="shared" si="235"/>
        <v>5.0149421583184126E-2</v>
      </c>
      <c r="T373" s="3">
        <f t="shared" si="236"/>
        <v>4.5225159831720908E-2</v>
      </c>
      <c r="U373" s="3">
        <f t="shared" si="237"/>
        <v>-0.16938580245014601</v>
      </c>
      <c r="V373" s="3">
        <f t="shared" si="238"/>
        <v>0.12579031373017338</v>
      </c>
      <c r="W373" s="3">
        <f t="shared" si="239"/>
        <v>0.11343873696116527</v>
      </c>
      <c r="X373" s="3">
        <f t="shared" si="240"/>
        <v>8.5901132948904609E-3</v>
      </c>
      <c r="Y373" s="3">
        <f t="shared" si="241"/>
        <v>7.7466346464159057E-3</v>
      </c>
      <c r="Z373" s="3">
        <f t="shared" si="242"/>
        <v>0.98178632517013831</v>
      </c>
      <c r="AA373" s="3">
        <f t="shared" si="243"/>
        <v>-0.72910012570560201</v>
      </c>
      <c r="AB373" s="3">
        <f t="shared" si="244"/>
        <v>-0.65750847522078371</v>
      </c>
      <c r="AC373" s="3">
        <f t="shared" si="245"/>
        <v>-4.9789626064249776E-2</v>
      </c>
      <c r="AD373" s="3">
        <f t="shared" si="246"/>
        <v>-4.490069328082455E-2</v>
      </c>
      <c r="AE373" s="3">
        <f t="shared" si="222"/>
        <v>0.2105077653650422</v>
      </c>
      <c r="AF373" s="3">
        <f t="shared" si="247"/>
        <v>-0.15632855566923912</v>
      </c>
      <c r="AG373" s="3">
        <f t="shared" si="248"/>
        <v>-0.14097837409104022</v>
      </c>
      <c r="AH373" s="3">
        <f t="shared" si="249"/>
        <v>-1.0675543804635864E-2</v>
      </c>
      <c r="AI373" s="3">
        <f t="shared" si="250"/>
        <v>-9.6272929898973385E-3</v>
      </c>
      <c r="AJ373" s="3">
        <f t="shared" si="223"/>
        <v>-0.97296924114817573</v>
      </c>
      <c r="AK373" s="3">
        <f t="shared" si="251"/>
        <v>0.72255232920043511</v>
      </c>
      <c r="AL373" s="3">
        <f t="shared" si="252"/>
        <v>0.65160361861140947</v>
      </c>
      <c r="AM373" s="3">
        <f t="shared" si="253"/>
        <v>4.9342482622570134E-2</v>
      </c>
      <c r="AN373" s="3">
        <f t="shared" si="254"/>
        <v>4.4497455656555551E-2</v>
      </c>
      <c r="AO373" s="3">
        <f t="shared" si="224"/>
        <v>-0.25126042612846888</v>
      </c>
      <c r="AP373" s="3">
        <f t="shared" si="255"/>
        <v>0.18659254420086088</v>
      </c>
      <c r="AQ373" s="3">
        <f t="shared" si="256"/>
        <v>0.16827068724798611</v>
      </c>
      <c r="AR373" s="3"/>
      <c r="AS373" s="2"/>
      <c r="AT373" s="2"/>
    </row>
    <row r="374" spans="1:46">
      <c r="A374">
        <f t="shared" si="257"/>
        <v>371</v>
      </c>
      <c r="B374" s="1">
        <f t="shared" si="215"/>
        <v>45.756543000000001</v>
      </c>
      <c r="C374" s="1">
        <f t="shared" si="216"/>
        <v>287.49683868493094</v>
      </c>
      <c r="D374" s="1">
        <f t="shared" si="217"/>
        <v>-0.99915506672478116</v>
      </c>
      <c r="E374" s="1">
        <f t="shared" si="218"/>
        <v>4.1099302161935962E-2</v>
      </c>
      <c r="F374" s="2">
        <f t="shared" si="219"/>
        <v>-32739.314071370904</v>
      </c>
      <c r="G374" s="2">
        <f t="shared" si="220"/>
        <v>1346.7008339401557</v>
      </c>
      <c r="H374" s="2">
        <f t="shared" si="221"/>
        <v>-8185.0783066094073</v>
      </c>
      <c r="I374" s="3">
        <f t="shared" si="225"/>
        <v>0.25380808881914069</v>
      </c>
      <c r="J374" s="3">
        <f t="shared" si="226"/>
        <v>6.4418545950024803E-2</v>
      </c>
      <c r="K374" s="3">
        <f t="shared" si="227"/>
        <v>-0.58563538523621883</v>
      </c>
      <c r="L374" s="3">
        <f t="shared" si="228"/>
        <v>0.58514056241208712</v>
      </c>
      <c r="M374" s="3">
        <f t="shared" si="229"/>
        <v>-2.406920565454513E-2</v>
      </c>
      <c r="N374" s="3">
        <f t="shared" si="230"/>
        <v>3.7693904206966396E-2</v>
      </c>
      <c r="O374" s="3">
        <f t="shared" si="231"/>
        <v>-1.5505032304379122E-3</v>
      </c>
      <c r="P374" s="3">
        <f t="shared" si="232"/>
        <v>-0.82027278837679296</v>
      </c>
      <c r="Q374" s="3">
        <f t="shared" si="233"/>
        <v>0.81957971260313689</v>
      </c>
      <c r="R374" s="3">
        <f t="shared" si="234"/>
        <v>-3.3712639184711568E-2</v>
      </c>
      <c r="S374" s="3">
        <f t="shared" si="235"/>
        <v>5.2796133376033297E-2</v>
      </c>
      <c r="T374" s="3">
        <f t="shared" si="236"/>
        <v>-2.1717191964169486E-3</v>
      </c>
      <c r="U374" s="3">
        <f t="shared" si="237"/>
        <v>0.55814906637249506</v>
      </c>
      <c r="V374" s="3">
        <f t="shared" si="238"/>
        <v>-0.55767746765378456</v>
      </c>
      <c r="W374" s="3">
        <f t="shared" si="239"/>
        <v>2.2939537130245626E-2</v>
      </c>
      <c r="X374" s="3">
        <f t="shared" si="240"/>
        <v>-3.5924771575348791E-2</v>
      </c>
      <c r="Y374" s="3">
        <f t="shared" si="241"/>
        <v>1.4777316266970277E-3</v>
      </c>
      <c r="Z374" s="3">
        <f t="shared" si="242"/>
        <v>0.83897566799094836</v>
      </c>
      <c r="AA374" s="3">
        <f t="shared" si="243"/>
        <v>-0.83826678953196387</v>
      </c>
      <c r="AB374" s="3">
        <f t="shared" si="244"/>
        <v>3.4481314485272051E-2</v>
      </c>
      <c r="AC374" s="3">
        <f t="shared" si="245"/>
        <v>-5.3999927699844581E-2</v>
      </c>
      <c r="AD374" s="3">
        <f t="shared" si="246"/>
        <v>2.2212361415867533E-3</v>
      </c>
      <c r="AE374" s="3">
        <f t="shared" si="222"/>
        <v>-0.53003603732168403</v>
      </c>
      <c r="AF374" s="3">
        <f t="shared" si="247"/>
        <v>0.52958819223668585</v>
      </c>
      <c r="AG374" s="3">
        <f t="shared" si="248"/>
        <v>-2.1784111254599059E-2</v>
      </c>
      <c r="AH374" s="3">
        <f t="shared" si="249"/>
        <v>3.4115301296189518E-2</v>
      </c>
      <c r="AI374" s="3">
        <f t="shared" si="250"/>
        <v>-1.403300771834842E-3</v>
      </c>
      <c r="AJ374" s="3">
        <f t="shared" si="223"/>
        <v>-0.85673651503778081</v>
      </c>
      <c r="AK374" s="3">
        <f t="shared" si="251"/>
        <v>0.85601262984813031</v>
      </c>
      <c r="AL374" s="3">
        <f t="shared" si="252"/>
        <v>-3.5211272904701746E-2</v>
      </c>
      <c r="AM374" s="3">
        <f t="shared" si="253"/>
        <v>5.5143088929673359E-2</v>
      </c>
      <c r="AN374" s="3">
        <f t="shared" si="254"/>
        <v>-2.2682590015703926E-3</v>
      </c>
      <c r="AO374" s="3">
        <f t="shared" si="224"/>
        <v>0.50132786442095467</v>
      </c>
      <c r="AP374" s="3">
        <f t="shared" si="255"/>
        <v>-0.50090427582651098</v>
      </c>
      <c r="AQ374" s="3">
        <f t="shared" si="256"/>
        <v>2.060422538203488E-2</v>
      </c>
      <c r="AR374" s="3"/>
      <c r="AS374" s="2"/>
      <c r="AT374" s="2"/>
    </row>
    <row r="375" spans="1:46">
      <c r="A375">
        <f t="shared" si="257"/>
        <v>372</v>
      </c>
      <c r="B375" s="1">
        <f t="shared" si="215"/>
        <v>45.879875999999996</v>
      </c>
      <c r="C375" s="1">
        <f t="shared" si="216"/>
        <v>288.27176277842131</v>
      </c>
      <c r="D375" s="1">
        <f t="shared" si="217"/>
        <v>-0.68511484848050197</v>
      </c>
      <c r="E375" s="1">
        <f t="shared" si="218"/>
        <v>0.72843506532259883</v>
      </c>
      <c r="F375" s="2">
        <f t="shared" si="219"/>
        <v>-22449.158240160607</v>
      </c>
      <c r="G375" s="2">
        <f t="shared" si="220"/>
        <v>23868.631785425598</v>
      </c>
      <c r="H375" s="2">
        <f t="shared" si="221"/>
        <v>-5612.4608387522721</v>
      </c>
      <c r="I375" s="3">
        <f t="shared" si="225"/>
        <v>0.24627890683200182</v>
      </c>
      <c r="J375" s="3">
        <f t="shared" si="226"/>
        <v>6.0653299950365835E-2</v>
      </c>
      <c r="K375" s="3">
        <f t="shared" si="227"/>
        <v>-0.98178632517014042</v>
      </c>
      <c r="L375" s="3">
        <f t="shared" si="228"/>
        <v>0.67263638940916959</v>
      </c>
      <c r="M375" s="3">
        <f t="shared" si="229"/>
        <v>-0.71516758590814544</v>
      </c>
      <c r="N375" s="3">
        <f t="shared" si="230"/>
        <v>4.0797616684365441E-2</v>
      </c>
      <c r="O375" s="3">
        <f t="shared" si="231"/>
        <v>-4.3377274102865779E-2</v>
      </c>
      <c r="P375" s="3">
        <f t="shared" si="232"/>
        <v>-0.20231061694416375</v>
      </c>
      <c r="Q375" s="3">
        <f t="shared" si="233"/>
        <v>0.13860600767369763</v>
      </c>
      <c r="R375" s="3">
        <f t="shared" si="234"/>
        <v>-0.14737014746917718</v>
      </c>
      <c r="S375" s="3">
        <f t="shared" si="235"/>
        <v>8.4069117583554908E-3</v>
      </c>
      <c r="T375" s="3">
        <f t="shared" si="236"/>
        <v>-8.9384857581776504E-3</v>
      </c>
      <c r="U375" s="3">
        <f t="shared" si="237"/>
        <v>0.97670183860745574</v>
      </c>
      <c r="V375" s="3">
        <f t="shared" si="238"/>
        <v>-0.66915293216817473</v>
      </c>
      <c r="W375" s="3">
        <f t="shared" si="239"/>
        <v>0.71146386760672442</v>
      </c>
      <c r="X375" s="3">
        <f t="shared" si="240"/>
        <v>-4.0586333507463108E-2</v>
      </c>
      <c r="Y375" s="3">
        <f t="shared" si="241"/>
        <v>4.3152631365798021E-2</v>
      </c>
      <c r="Z375" s="3">
        <f t="shared" si="242"/>
        <v>0.22685716546030119</v>
      </c>
      <c r="AA375" s="3">
        <f t="shared" si="243"/>
        <v>-0.1554232125410504</v>
      </c>
      <c r="AB375" s="3">
        <f t="shared" si="244"/>
        <v>0.16525071414097411</v>
      </c>
      <c r="AC375" s="3">
        <f t="shared" si="245"/>
        <v>-9.4269307295017906E-3</v>
      </c>
      <c r="AD375" s="3">
        <f t="shared" si="246"/>
        <v>1.0023001131804663E-2</v>
      </c>
      <c r="AE375" s="3">
        <f t="shared" si="222"/>
        <v>-0.97100044622943993</v>
      </c>
      <c r="AF375" s="3">
        <f t="shared" si="247"/>
        <v>0.66524682359298248</v>
      </c>
      <c r="AG375" s="3">
        <f t="shared" si="248"/>
        <v>-0.70731077347741467</v>
      </c>
      <c r="AH375" s="3">
        <f t="shared" si="249"/>
        <v>4.0349415132413274E-2</v>
      </c>
      <c r="AI375" s="3">
        <f t="shared" si="250"/>
        <v>-4.2900732501850898E-2</v>
      </c>
      <c r="AJ375" s="3">
        <f t="shared" si="223"/>
        <v>-0.25126042612846888</v>
      </c>
      <c r="AK375" s="3">
        <f t="shared" si="251"/>
        <v>0.17214224877615231</v>
      </c>
      <c r="AL375" s="3">
        <f t="shared" si="252"/>
        <v>-0.18302690491987525</v>
      </c>
      <c r="AM375" s="3">
        <f t="shared" si="253"/>
        <v>1.0440995449150461E-2</v>
      </c>
      <c r="AN375" s="3">
        <f t="shared" si="254"/>
        <v>-1.1101185763092282E-2</v>
      </c>
      <c r="AO375" s="3">
        <f t="shared" si="224"/>
        <v>0.96468574915777061</v>
      </c>
      <c r="AP375" s="3">
        <f t="shared" si="255"/>
        <v>-0.66092053086552549</v>
      </c>
      <c r="AQ375" s="3">
        <f t="shared" si="256"/>
        <v>0.70271092670352087</v>
      </c>
      <c r="AR375" s="3"/>
      <c r="AS375" s="2"/>
      <c r="AT375" s="2"/>
    </row>
    <row r="376" spans="1:46">
      <c r="A376">
        <f t="shared" si="257"/>
        <v>373</v>
      </c>
      <c r="B376" s="1">
        <f t="shared" si="215"/>
        <v>46.003208999999998</v>
      </c>
      <c r="C376" s="1">
        <f t="shared" si="216"/>
        <v>289.04668687191167</v>
      </c>
      <c r="D376" s="1">
        <f t="shared" si="217"/>
        <v>2.0161375531235558E-2</v>
      </c>
      <c r="E376" s="1">
        <f t="shared" si="218"/>
        <v>0.99979673881078868</v>
      </c>
      <c r="F376" s="2">
        <f t="shared" si="219"/>
        <v>660.62779203199557</v>
      </c>
      <c r="G376" s="2">
        <f t="shared" si="220"/>
        <v>32760.339740613112</v>
      </c>
      <c r="H376" s="2">
        <f t="shared" si="221"/>
        <v>165.16198835188169</v>
      </c>
      <c r="I376" s="3">
        <f t="shared" si="225"/>
        <v>0.23873483253568717</v>
      </c>
      <c r="J376" s="3">
        <f t="shared" si="226"/>
        <v>5.6994320265842599E-2</v>
      </c>
      <c r="K376" s="3">
        <f t="shared" si="227"/>
        <v>-0.84574747452458376</v>
      </c>
      <c r="L376" s="3">
        <f t="shared" si="228"/>
        <v>-1.7051432438484213E-2</v>
      </c>
      <c r="M376" s="3">
        <f t="shared" si="229"/>
        <v>-0.84557556688713942</v>
      </c>
      <c r="N376" s="3">
        <f t="shared" si="230"/>
        <v>-9.7183480139034653E-4</v>
      </c>
      <c r="O376" s="3">
        <f t="shared" si="231"/>
        <v>-4.8193004668137029E-2</v>
      </c>
      <c r="P376" s="3">
        <f t="shared" si="232"/>
        <v>0.52647940785498315</v>
      </c>
      <c r="Q376" s="3">
        <f t="shared" si="233"/>
        <v>1.0614549051226843E-2</v>
      </c>
      <c r="R376" s="3">
        <f t="shared" si="234"/>
        <v>0.52637239502444733</v>
      </c>
      <c r="S376" s="3">
        <f t="shared" si="235"/>
        <v>6.0496900810311834E-4</v>
      </c>
      <c r="T376" s="3">
        <f t="shared" si="236"/>
        <v>3.0000236861121958E-2</v>
      </c>
      <c r="U376" s="3">
        <f t="shared" si="237"/>
        <v>0.85456861848666177</v>
      </c>
      <c r="V376" s="3">
        <f t="shared" si="238"/>
        <v>1.7229278834518757E-2</v>
      </c>
      <c r="W376" s="3">
        <f t="shared" si="239"/>
        <v>0.85439491785300548</v>
      </c>
      <c r="X376" s="3">
        <f t="shared" si="240"/>
        <v>9.8197103584406545E-4</v>
      </c>
      <c r="Y376" s="3">
        <f t="shared" si="241"/>
        <v>4.8695657581622476E-2</v>
      </c>
      <c r="Z376" s="3">
        <f t="shared" si="242"/>
        <v>-0.51216114070782548</v>
      </c>
      <c r="AA376" s="3">
        <f t="shared" si="243"/>
        <v>-1.0325873090316445E-2</v>
      </c>
      <c r="AB376" s="3">
        <f t="shared" si="244"/>
        <v>-0.51205703822529736</v>
      </c>
      <c r="AC376" s="3">
        <f t="shared" si="245"/>
        <v>-5.8851611793394123E-4</v>
      </c>
      <c r="AD376" s="3">
        <f t="shared" si="246"/>
        <v>-2.9184342830991403E-2</v>
      </c>
      <c r="AE376" s="3">
        <f t="shared" si="222"/>
        <v>-0.86314986038629826</v>
      </c>
      <c r="AF376" s="3">
        <f t="shared" si="247"/>
        <v>-1.7402288474981702E-2</v>
      </c>
      <c r="AG376" s="3">
        <f t="shared" si="248"/>
        <v>-0.8629744155192085</v>
      </c>
      <c r="AH376" s="3">
        <f t="shared" si="249"/>
        <v>-9.9183160270168856E-4</v>
      </c>
      <c r="AI376" s="3">
        <f t="shared" si="250"/>
        <v>-4.9184640219330097E-2</v>
      </c>
      <c r="AJ376" s="3">
        <f t="shared" si="223"/>
        <v>0.49769909515439686</v>
      </c>
      <c r="AK376" s="3">
        <f t="shared" si="251"/>
        <v>1.0034298358963934E-2</v>
      </c>
      <c r="AL376" s="3">
        <f t="shared" si="252"/>
        <v>0.49759793224444637</v>
      </c>
      <c r="AM376" s="3">
        <f t="shared" si="253"/>
        <v>5.718980143138093E-4</v>
      </c>
      <c r="AN376" s="3">
        <f t="shared" si="254"/>
        <v>2.8360255913961026E-2</v>
      </c>
      <c r="AO376" s="3">
        <f t="shared" si="224"/>
        <v>0.87148879122126754</v>
      </c>
      <c r="AP376" s="3">
        <f t="shared" si="255"/>
        <v>1.7570412791074515E-2</v>
      </c>
      <c r="AQ376" s="3">
        <f t="shared" si="256"/>
        <v>0.87131165137317956</v>
      </c>
      <c r="AR376" s="3"/>
      <c r="AS376" s="2"/>
      <c r="AT376" s="2"/>
    </row>
    <row r="377" spans="1:46">
      <c r="A377">
        <f t="shared" si="257"/>
        <v>374</v>
      </c>
      <c r="B377" s="1">
        <f t="shared" si="215"/>
        <v>46.126542000000001</v>
      </c>
      <c r="C377" s="1">
        <f t="shared" si="216"/>
        <v>289.8216109654021</v>
      </c>
      <c r="D377" s="1">
        <f t="shared" si="217"/>
        <v>0.71392441157005815</v>
      </c>
      <c r="E377" s="1">
        <f t="shared" si="218"/>
        <v>0.70022277495404717</v>
      </c>
      <c r="F377" s="2">
        <f t="shared" si="219"/>
        <v>23393.161193916094</v>
      </c>
      <c r="G377" s="2">
        <f t="shared" si="220"/>
        <v>22944.199666919263</v>
      </c>
      <c r="H377" s="2">
        <f t="shared" si="221"/>
        <v>5848.4687795819164</v>
      </c>
      <c r="I377" s="3">
        <f t="shared" si="225"/>
        <v>0.23117632211496961</v>
      </c>
      <c r="J377" s="3">
        <f t="shared" si="226"/>
        <v>5.3442491906604182E-2</v>
      </c>
      <c r="K377" s="3">
        <f t="shared" si="227"/>
        <v>-0.25126042612844801</v>
      </c>
      <c r="L377" s="3">
        <f t="shared" si="228"/>
        <v>-0.1793809518745943</v>
      </c>
      <c r="M377" s="3">
        <f t="shared" si="229"/>
        <v>-0.17593827281979824</v>
      </c>
      <c r="N377" s="3">
        <f t="shared" si="230"/>
        <v>-9.5865650687569602E-3</v>
      </c>
      <c r="O377" s="3">
        <f t="shared" si="231"/>
        <v>-9.4025797212339869E-3</v>
      </c>
      <c r="P377" s="3">
        <f t="shared" si="232"/>
        <v>0.96685855488815053</v>
      </c>
      <c r="Q377" s="3">
        <f t="shared" si="233"/>
        <v>0.69026392486999966</v>
      </c>
      <c r="R377" s="3">
        <f t="shared" si="234"/>
        <v>0.67701638029184075</v>
      </c>
      <c r="S377" s="3">
        <f t="shared" si="235"/>
        <v>3.6889424218285796E-2</v>
      </c>
      <c r="T377" s="3">
        <f t="shared" si="236"/>
        <v>3.618144242438516E-2</v>
      </c>
      <c r="U377" s="3">
        <f t="shared" si="237"/>
        <v>0.25936033772986256</v>
      </c>
      <c r="V377" s="3">
        <f t="shared" si="238"/>
        <v>0.18516367649840368</v>
      </c>
      <c r="W377" s="3">
        <f t="shared" si="239"/>
        <v>0.18161001539822322</v>
      </c>
      <c r="X377" s="3">
        <f t="shared" si="240"/>
        <v>9.895608282663013E-3</v>
      </c>
      <c r="Y377" s="3">
        <f t="shared" si="241"/>
        <v>9.7056917780778042E-3</v>
      </c>
      <c r="Z377" s="3">
        <f t="shared" si="242"/>
        <v>-0.9646857491577735</v>
      </c>
      <c r="AA377" s="3">
        <f t="shared" si="243"/>
        <v>-0.68871270581748412</v>
      </c>
      <c r="AB377" s="3">
        <f t="shared" si="244"/>
        <v>-0.67549493223388002</v>
      </c>
      <c r="AC377" s="3">
        <f t="shared" si="245"/>
        <v>-3.680652320662637E-2</v>
      </c>
      <c r="AD377" s="3">
        <f t="shared" si="246"/>
        <v>-3.6100132448861275E-2</v>
      </c>
      <c r="AE377" s="3">
        <f t="shared" si="222"/>
        <v>-0.26744204652984227</v>
      </c>
      <c r="AF377" s="3">
        <f t="shared" si="247"/>
        <v>-0.19093340569790976</v>
      </c>
      <c r="AG377" s="3">
        <f t="shared" si="248"/>
        <v>-0.18726901196051554</v>
      </c>
      <c r="AH377" s="3">
        <f t="shared" si="249"/>
        <v>-1.0203956988710915E-2</v>
      </c>
      <c r="AI377" s="3">
        <f t="shared" si="250"/>
        <v>-1.0008122656057614E-2</v>
      </c>
      <c r="AJ377" s="3">
        <f t="shared" si="223"/>
        <v>0.96244523846007013</v>
      </c>
      <c r="AK377" s="3">
        <f t="shared" si="251"/>
        <v>0.68711315053600985</v>
      </c>
      <c r="AL377" s="3">
        <f t="shared" si="252"/>
        <v>0.67392607561581996</v>
      </c>
      <c r="AM377" s="3">
        <f t="shared" si="253"/>
        <v>3.6721038986442009E-2</v>
      </c>
      <c r="AN377" s="3">
        <f t="shared" si="254"/>
        <v>3.601628884174797E-2</v>
      </c>
      <c r="AO377" s="3">
        <f t="shared" si="224"/>
        <v>0.27550498532612838</v>
      </c>
      <c r="AP377" s="3">
        <f t="shared" si="255"/>
        <v>0.19668973453357372</v>
      </c>
      <c r="AQ377" s="3">
        <f t="shared" si="256"/>
        <v>0.19291486533873567</v>
      </c>
      <c r="AR377" s="3"/>
      <c r="AS377" s="2"/>
      <c r="AT377" s="2"/>
    </row>
    <row r="378" spans="1:46">
      <c r="A378">
        <f t="shared" si="257"/>
        <v>375</v>
      </c>
      <c r="B378" s="1">
        <f t="shared" si="215"/>
        <v>46.249874999999996</v>
      </c>
      <c r="C378" s="1">
        <f t="shared" si="216"/>
        <v>290.59653505889241</v>
      </c>
      <c r="D378" s="1">
        <f t="shared" si="217"/>
        <v>0.99999969157487822</v>
      </c>
      <c r="E378" s="1">
        <f t="shared" si="218"/>
        <v>7.8539808271518082E-4</v>
      </c>
      <c r="F378" s="2">
        <f t="shared" si="219"/>
        <v>32766.989893834034</v>
      </c>
      <c r="G378" s="2">
        <f t="shared" si="220"/>
        <v>25.735138976328329</v>
      </c>
      <c r="H378" s="2">
        <f t="shared" si="221"/>
        <v>8191.9974733814024</v>
      </c>
      <c r="I378" s="3">
        <f t="shared" si="225"/>
        <v>0.22360383262756284</v>
      </c>
      <c r="J378" s="3">
        <f t="shared" si="226"/>
        <v>4.9998673965735138E-2</v>
      </c>
      <c r="K378" s="3">
        <f t="shared" si="227"/>
        <v>0.47942553860419956</v>
      </c>
      <c r="L378" s="3">
        <f t="shared" si="228"/>
        <v>0.47942539073731943</v>
      </c>
      <c r="M378" s="3">
        <f t="shared" si="229"/>
        <v>3.7653989882443123E-4</v>
      </c>
      <c r="N378" s="3">
        <f t="shared" si="230"/>
        <v>2.3970633802370408E-2</v>
      </c>
      <c r="O378" s="3">
        <f t="shared" si="231"/>
        <v>1.8826495636413634E-5</v>
      </c>
      <c r="P378" s="3">
        <f t="shared" si="232"/>
        <v>0.8775825618903772</v>
      </c>
      <c r="Q378" s="3">
        <f t="shared" si="233"/>
        <v>0.8775822912218687</v>
      </c>
      <c r="R378" s="3">
        <f t="shared" si="234"/>
        <v>6.8925166153297878E-4</v>
      </c>
      <c r="S378" s="3">
        <f t="shared" si="235"/>
        <v>4.3877950856905039E-2</v>
      </c>
      <c r="T378" s="3">
        <f t="shared" si="236"/>
        <v>3.4461669105328633E-5</v>
      </c>
      <c r="U378" s="3">
        <f t="shared" si="237"/>
        <v>-0.47942553860419007</v>
      </c>
      <c r="V378" s="3">
        <f t="shared" si="238"/>
        <v>-0.47942539073730994</v>
      </c>
      <c r="W378" s="3">
        <f t="shared" si="239"/>
        <v>-3.7653989882442381E-4</v>
      </c>
      <c r="X378" s="3">
        <f t="shared" si="240"/>
        <v>-2.3970633802369933E-2</v>
      </c>
      <c r="Y378" s="3">
        <f t="shared" si="241"/>
        <v>-1.8826495636413258E-5</v>
      </c>
      <c r="Z378" s="3">
        <f t="shared" si="242"/>
        <v>-0.87758256189038231</v>
      </c>
      <c r="AA378" s="3">
        <f t="shared" si="243"/>
        <v>-0.87758229122187381</v>
      </c>
      <c r="AB378" s="3">
        <f t="shared" si="244"/>
        <v>-6.8925166153298279E-4</v>
      </c>
      <c r="AC378" s="3">
        <f t="shared" si="245"/>
        <v>-4.3877950856905296E-2</v>
      </c>
      <c r="AD378" s="3">
        <f t="shared" si="246"/>
        <v>-3.4461669105328836E-5</v>
      </c>
      <c r="AE378" s="3">
        <f t="shared" si="222"/>
        <v>0.47942553860418063</v>
      </c>
      <c r="AF378" s="3">
        <f t="shared" si="247"/>
        <v>0.47942539073730051</v>
      </c>
      <c r="AG378" s="3">
        <f t="shared" si="248"/>
        <v>3.7653989882441638E-4</v>
      </c>
      <c r="AH378" s="3">
        <f t="shared" si="249"/>
        <v>2.3970633802369461E-2</v>
      </c>
      <c r="AI378" s="3">
        <f t="shared" si="250"/>
        <v>1.8826495636412889E-5</v>
      </c>
      <c r="AJ378" s="3">
        <f t="shared" si="223"/>
        <v>0.87758256189038752</v>
      </c>
      <c r="AK378" s="3">
        <f t="shared" si="251"/>
        <v>0.87758229122187903</v>
      </c>
      <c r="AL378" s="3">
        <f t="shared" si="252"/>
        <v>6.8925166153298691E-4</v>
      </c>
      <c r="AM378" s="3">
        <f t="shared" si="253"/>
        <v>4.3877950856905559E-2</v>
      </c>
      <c r="AN378" s="3">
        <f t="shared" si="254"/>
        <v>3.4461669105329039E-5</v>
      </c>
      <c r="AO378" s="3">
        <f t="shared" si="224"/>
        <v>-0.4794255386041712</v>
      </c>
      <c r="AP378" s="3">
        <f t="shared" si="255"/>
        <v>-0.47942539073729107</v>
      </c>
      <c r="AQ378" s="3">
        <f t="shared" si="256"/>
        <v>-3.7653989882440895E-4</v>
      </c>
      <c r="AR378" s="3"/>
      <c r="AS378" s="2"/>
      <c r="AT378" s="2"/>
    </row>
    <row r="379" spans="1:46">
      <c r="A379">
        <f t="shared" si="257"/>
        <v>376</v>
      </c>
      <c r="B379" s="1">
        <f t="shared" si="215"/>
        <v>46.373207999999998</v>
      </c>
      <c r="C379" s="1">
        <f t="shared" si="216"/>
        <v>291.37145915238284</v>
      </c>
      <c r="D379" s="1">
        <f t="shared" si="217"/>
        <v>0.71502343771182619</v>
      </c>
      <c r="E379" s="1">
        <f t="shared" si="218"/>
        <v>-0.69910048170685901</v>
      </c>
      <c r="F379" s="2">
        <f t="shared" si="219"/>
        <v>23429.172983503409</v>
      </c>
      <c r="G379" s="2">
        <f t="shared" si="220"/>
        <v>-22907.42548408865</v>
      </c>
      <c r="H379" s="2">
        <f t="shared" si="221"/>
        <v>5857.4720017352802</v>
      </c>
      <c r="I379" s="3">
        <f t="shared" si="225"/>
        <v>0.21601782197648339</v>
      </c>
      <c r="J379" s="3">
        <f t="shared" si="226"/>
        <v>4.6663699411463672E-2</v>
      </c>
      <c r="K379" s="3">
        <f t="shared" si="227"/>
        <v>0.95023277978260878</v>
      </c>
      <c r="L379" s="3">
        <f t="shared" si="228"/>
        <v>0.6794387088266256</v>
      </c>
      <c r="M379" s="3">
        <f t="shared" si="229"/>
        <v>-0.66430819407966946</v>
      </c>
      <c r="N379" s="3">
        <f t="shared" si="230"/>
        <v>3.1705123677198646E-2</v>
      </c>
      <c r="O379" s="3">
        <f t="shared" si="231"/>
        <v>-3.0999077885105968E-2</v>
      </c>
      <c r="P379" s="3">
        <f t="shared" si="232"/>
        <v>0.30755774337227626</v>
      </c>
      <c r="Q379" s="3">
        <f t="shared" si="233"/>
        <v>0.21991099496093661</v>
      </c>
      <c r="R379" s="3">
        <f t="shared" si="234"/>
        <v>-0.21501376654423285</v>
      </c>
      <c r="S379" s="3">
        <f t="shared" si="235"/>
        <v>1.0261860566133048E-2</v>
      </c>
      <c r="T379" s="3">
        <f t="shared" si="236"/>
        <v>-1.0033337771346707E-2</v>
      </c>
      <c r="U379" s="3">
        <f t="shared" si="237"/>
        <v>-0.95280936197352151</v>
      </c>
      <c r="V379" s="3">
        <f t="shared" si="238"/>
        <v>-0.68128102548231906</v>
      </c>
      <c r="W379" s="3">
        <f t="shared" si="239"/>
        <v>0.66610948393049385</v>
      </c>
      <c r="X379" s="3">
        <f t="shared" si="240"/>
        <v>-3.1791092987840663E-2</v>
      </c>
      <c r="Y379" s="3">
        <f t="shared" si="241"/>
        <v>3.1083132733257759E-2</v>
      </c>
      <c r="Z379" s="3">
        <f t="shared" si="242"/>
        <v>-0.29957552967002643</v>
      </c>
      <c r="AA379" s="3">
        <f t="shared" si="243"/>
        <v>-0.21420352507900348</v>
      </c>
      <c r="AB379" s="3">
        <f t="shared" si="244"/>
        <v>0.20943339709990291</v>
      </c>
      <c r="AC379" s="3">
        <f t="shared" si="245"/>
        <v>-9.9955289071625378E-3</v>
      </c>
      <c r="AD379" s="3">
        <f t="shared" si="246"/>
        <v>9.7729370889915769E-3</v>
      </c>
      <c r="AE379" s="3">
        <f t="shared" si="222"/>
        <v>0.95531907272283412</v>
      </c>
      <c r="AF379" s="3">
        <f t="shared" si="247"/>
        <v>0.68307552748995493</v>
      </c>
      <c r="AG379" s="3">
        <f t="shared" si="248"/>
        <v>-0.66786402392428323</v>
      </c>
      <c r="AH379" s="3">
        <f t="shared" si="249"/>
        <v>3.1874831090118246E-2</v>
      </c>
      <c r="AI379" s="3">
        <f t="shared" si="250"/>
        <v>-3.1165006060133334E-2</v>
      </c>
      <c r="AJ379" s="3">
        <f t="shared" si="223"/>
        <v>0.29157229072559993</v>
      </c>
      <c r="AK379" s="3">
        <f t="shared" si="251"/>
        <v>0.20848102165613047</v>
      </c>
      <c r="AL379" s="3">
        <f t="shared" si="252"/>
        <v>-0.20383832889863926</v>
      </c>
      <c r="AM379" s="3">
        <f t="shared" si="253"/>
        <v>9.7284957275565204E-3</v>
      </c>
      <c r="AN379" s="3">
        <f t="shared" si="254"/>
        <v>-9.5118505082611698E-3</v>
      </c>
      <c r="AO379" s="3">
        <f t="shared" si="224"/>
        <v>-0.95776173589043934</v>
      </c>
      <c r="AP379" s="3">
        <f t="shared" si="255"/>
        <v>-0.68482208890522811</v>
      </c>
      <c r="AQ379" s="3">
        <f t="shared" si="256"/>
        <v>0.66957169092140367</v>
      </c>
      <c r="AR379" s="3"/>
      <c r="AS379" s="2"/>
      <c r="AT379" s="2"/>
    </row>
    <row r="380" spans="1:46">
      <c r="A380">
        <f t="shared" si="257"/>
        <v>377</v>
      </c>
      <c r="B380" s="1">
        <f t="shared" si="215"/>
        <v>46.496541000000001</v>
      </c>
      <c r="C380" s="1">
        <f t="shared" si="216"/>
        <v>292.14638324587321</v>
      </c>
      <c r="D380" s="1">
        <f t="shared" si="217"/>
        <v>2.1731827057242997E-2</v>
      </c>
      <c r="E380" s="1">
        <f t="shared" si="218"/>
        <v>-0.99976383595965002</v>
      </c>
      <c r="F380" s="2">
        <f t="shared" si="219"/>
        <v>712.0867771846813</v>
      </c>
      <c r="G380" s="2">
        <f t="shared" si="220"/>
        <v>-32759.261612889852</v>
      </c>
      <c r="H380" s="2">
        <f t="shared" si="221"/>
        <v>178.02712725293463</v>
      </c>
      <c r="I380" s="3">
        <f t="shared" si="225"/>
        <v>0.20841874888236595</v>
      </c>
      <c r="J380" s="3">
        <f t="shared" si="226"/>
        <v>4.3438374885690717E-2</v>
      </c>
      <c r="K380" s="3">
        <f t="shared" si="227"/>
        <v>0.90595423181372192</v>
      </c>
      <c r="L380" s="3">
        <f t="shared" si="228"/>
        <v>1.9688040687553237E-2</v>
      </c>
      <c r="M380" s="3">
        <f t="shared" si="229"/>
        <v>-0.90574027800196466</v>
      </c>
      <c r="N380" s="3">
        <f t="shared" si="230"/>
        <v>8.5521649215066951E-4</v>
      </c>
      <c r="O380" s="3">
        <f t="shared" si="231"/>
        <v>-3.9343885744919073E-2</v>
      </c>
      <c r="P380" s="3">
        <f t="shared" si="232"/>
        <v>-0.43095039549275826</v>
      </c>
      <c r="Q380" s="3">
        <f t="shared" si="233"/>
        <v>-9.365339465099095E-3</v>
      </c>
      <c r="R380" s="3">
        <f t="shared" si="234"/>
        <v>0.43084862050616829</v>
      </c>
      <c r="S380" s="3">
        <f t="shared" si="235"/>
        <v>-4.0681512661672864E-4</v>
      </c>
      <c r="T380" s="3">
        <f t="shared" si="236"/>
        <v>1.8715363896529631E-2</v>
      </c>
      <c r="U380" s="3">
        <f t="shared" si="237"/>
        <v>-0.89873367309398033</v>
      </c>
      <c r="V380" s="3">
        <f t="shared" si="238"/>
        <v>-1.9531124754199145E-2</v>
      </c>
      <c r="W380" s="3">
        <f t="shared" si="239"/>
        <v>0.89852142451854389</v>
      </c>
      <c r="X380" s="3">
        <f t="shared" si="240"/>
        <v>-8.4840031901209638E-4</v>
      </c>
      <c r="Y380" s="3">
        <f t="shared" si="241"/>
        <v>3.9030310481061363E-2</v>
      </c>
      <c r="Z380" s="3">
        <f t="shared" si="242"/>
        <v>0.4460086465766383</v>
      </c>
      <c r="AA380" s="3">
        <f t="shared" si="243"/>
        <v>9.692582773438518E-3</v>
      </c>
      <c r="AB380" s="3">
        <f t="shared" si="244"/>
        <v>-0.44590331537263173</v>
      </c>
      <c r="AC380" s="3">
        <f t="shared" si="245"/>
        <v>4.2103004412321016E-4</v>
      </c>
      <c r="AD380" s="3">
        <f t="shared" si="246"/>
        <v>-1.9369315375928751E-2</v>
      </c>
      <c r="AE380" s="3">
        <f t="shared" si="222"/>
        <v>0.89126081390691048</v>
      </c>
      <c r="AF380" s="3">
        <f t="shared" si="247"/>
        <v>1.9368725870722612E-2</v>
      </c>
      <c r="AG380" s="3">
        <f t="shared" si="248"/>
        <v>-0.89105033015209256</v>
      </c>
      <c r="AH380" s="3">
        <f t="shared" si="249"/>
        <v>8.4134597543062512E-4</v>
      </c>
      <c r="AI380" s="3">
        <f t="shared" si="250"/>
        <v>-3.8705778283165078E-2</v>
      </c>
      <c r="AJ380" s="3">
        <f t="shared" si="223"/>
        <v>-0.46094169016761144</v>
      </c>
      <c r="AK380" s="3">
        <f t="shared" si="251"/>
        <v>-1.0017105094195816E-2</v>
      </c>
      <c r="AL380" s="3">
        <f t="shared" si="252"/>
        <v>0.46083283231569572</v>
      </c>
      <c r="AM380" s="3">
        <f t="shared" si="253"/>
        <v>-4.3512676635104012E-4</v>
      </c>
      <c r="AN380" s="3">
        <f t="shared" si="254"/>
        <v>2.0017829329763839E-2</v>
      </c>
      <c r="AO380" s="3">
        <f t="shared" si="224"/>
        <v>-0.88353775209970231</v>
      </c>
      <c r="AP380" s="3">
        <f t="shared" si="255"/>
        <v>-1.9200889627175966E-2</v>
      </c>
      <c r="AQ380" s="3">
        <f t="shared" si="256"/>
        <v>0.88332909225436473</v>
      </c>
      <c r="AR380" s="3"/>
      <c r="AS380" s="2"/>
      <c r="AT380" s="2"/>
    </row>
    <row r="381" spans="1:46">
      <c r="A381">
        <f t="shared" si="257"/>
        <v>378</v>
      </c>
      <c r="B381" s="1">
        <f t="shared" si="215"/>
        <v>46.619873999999996</v>
      </c>
      <c r="C381" s="1">
        <f t="shared" si="216"/>
        <v>292.92130733936358</v>
      </c>
      <c r="D381" s="1">
        <f t="shared" si="217"/>
        <v>-0.68396978059968494</v>
      </c>
      <c r="E381" s="1">
        <f t="shared" si="218"/>
        <v>-0.72951034209695675</v>
      </c>
      <c r="F381" s="2">
        <f t="shared" si="219"/>
        <v>-22411.637800909877</v>
      </c>
      <c r="G381" s="2">
        <f t="shared" si="220"/>
        <v>-23903.865379490981</v>
      </c>
      <c r="H381" s="2">
        <f t="shared" si="221"/>
        <v>-5603.080442672619</v>
      </c>
      <c r="I381" s="3">
        <f t="shared" si="225"/>
        <v>0.20080707285571828</v>
      </c>
      <c r="J381" s="3">
        <f t="shared" si="226"/>
        <v>4.0323480508881751E-2</v>
      </c>
      <c r="K381" s="3">
        <f t="shared" si="227"/>
        <v>0.3705916459611327</v>
      </c>
      <c r="L381" s="3">
        <f t="shared" si="228"/>
        <v>-0.25347348678011206</v>
      </c>
      <c r="M381" s="3">
        <f t="shared" si="229"/>
        <v>-0.27035043842338019</v>
      </c>
      <c r="N381" s="3">
        <f t="shared" si="230"/>
        <v>-1.0220933203696145E-2</v>
      </c>
      <c r="O381" s="3">
        <f t="shared" si="231"/>
        <v>-1.0901470634332808E-2</v>
      </c>
      <c r="P381" s="3">
        <f t="shared" si="232"/>
        <v>-0.93337943993695527</v>
      </c>
      <c r="Q381" s="3">
        <f t="shared" si="233"/>
        <v>0.63840333074993605</v>
      </c>
      <c r="R381" s="3">
        <f t="shared" si="234"/>
        <v>0.68090995453467418</v>
      </c>
      <c r="S381" s="3">
        <f t="shared" si="235"/>
        <v>2.5742644264300237E-2</v>
      </c>
      <c r="T381" s="3">
        <f t="shared" si="236"/>
        <v>2.745665927998249E-2</v>
      </c>
      <c r="U381" s="3">
        <f t="shared" si="237"/>
        <v>-0.34713387942403273</v>
      </c>
      <c r="V381" s="3">
        <f t="shared" si="238"/>
        <v>0.23742908334837315</v>
      </c>
      <c r="W381" s="3">
        <f t="shared" si="239"/>
        <v>0.25323775513206986</v>
      </c>
      <c r="X381" s="3">
        <f t="shared" si="240"/>
        <v>9.5739670146397851E-3</v>
      </c>
      <c r="Y381" s="3">
        <f t="shared" si="241"/>
        <v>1.021142768318099E-2</v>
      </c>
      <c r="Z381" s="3">
        <f t="shared" si="242"/>
        <v>0.94210363628436655</v>
      </c>
      <c r="AA381" s="3">
        <f t="shared" si="243"/>
        <v>-0.64437041741158352</v>
      </c>
      <c r="AB381" s="3">
        <f t="shared" si="244"/>
        <v>-0.6872743459965952</v>
      </c>
      <c r="AC381" s="3">
        <f t="shared" si="245"/>
        <v>-2.5983257966995986E-2</v>
      </c>
      <c r="AD381" s="3">
        <f t="shared" si="246"/>
        <v>-2.7713293695048158E-2</v>
      </c>
      <c r="AE381" s="3">
        <f t="shared" si="222"/>
        <v>0.32345685568842925</v>
      </c>
      <c r="AF381" s="3">
        <f t="shared" si="247"/>
        <v>-0.22123471461867891</v>
      </c>
      <c r="AG381" s="3">
        <f t="shared" si="248"/>
        <v>-0.23596512144687198</v>
      </c>
      <c r="AH381" s="3">
        <f t="shared" si="249"/>
        <v>-8.920953702814316E-3</v>
      </c>
      <c r="AI381" s="3">
        <f t="shared" si="250"/>
        <v>-9.5149349754388574E-3</v>
      </c>
      <c r="AJ381" s="3">
        <f t="shared" si="223"/>
        <v>-0.95023277978259868</v>
      </c>
      <c r="AK381" s="3">
        <f t="shared" si="251"/>
        <v>0.64993050590653278</v>
      </c>
      <c r="AL381" s="3">
        <f t="shared" si="252"/>
        <v>0.69320464025094575</v>
      </c>
      <c r="AM381" s="3">
        <f t="shared" si="253"/>
        <v>2.6207460087049727E-2</v>
      </c>
      <c r="AN381" s="3">
        <f t="shared" si="254"/>
        <v>2.7952423799825394E-2</v>
      </c>
      <c r="AO381" s="3">
        <f t="shared" si="224"/>
        <v>-0.29957552966999274</v>
      </c>
      <c r="AP381" s="3">
        <f t="shared" si="255"/>
        <v>0.20490060930141935</v>
      </c>
      <c r="AQ381" s="3">
        <f t="shared" si="256"/>
        <v>0.21854344713343341</v>
      </c>
      <c r="AR381" s="3"/>
      <c r="AS381" s="2"/>
      <c r="AT381" s="2"/>
    </row>
    <row r="382" spans="1:46">
      <c r="A382">
        <f t="shared" si="257"/>
        <v>379</v>
      </c>
      <c r="B382" s="1">
        <f t="shared" si="215"/>
        <v>46.743206999999998</v>
      </c>
      <c r="C382" s="1">
        <f t="shared" si="216"/>
        <v>293.69623143285395</v>
      </c>
      <c r="D382" s="1">
        <f t="shared" si="217"/>
        <v>-0.99908927546055504</v>
      </c>
      <c r="E382" s="1">
        <f t="shared" si="218"/>
        <v>-4.2668719921075848E-2</v>
      </c>
      <c r="F382" s="2">
        <f t="shared" si="219"/>
        <v>-32737.158289016006</v>
      </c>
      <c r="G382" s="2">
        <f t="shared" si="220"/>
        <v>-1398.1259456538924</v>
      </c>
      <c r="H382" s="2">
        <f t="shared" si="221"/>
        <v>-8184.5393445728669</v>
      </c>
      <c r="I382" s="3">
        <f t="shared" si="225"/>
        <v>0.19318325416914195</v>
      </c>
      <c r="J382" s="3">
        <f t="shared" si="226"/>
        <v>3.7319769691379304E-2</v>
      </c>
      <c r="K382" s="3">
        <f t="shared" si="227"/>
        <v>-0.36565486483345533</v>
      </c>
      <c r="L382" s="3">
        <f t="shared" si="228"/>
        <v>0.36532185397508404</v>
      </c>
      <c r="M382" s="3">
        <f t="shared" si="229"/>
        <v>1.5602025015357552E-2</v>
      </c>
      <c r="N382" s="3">
        <f t="shared" si="230"/>
        <v>1.3633727453577838E-2</v>
      </c>
      <c r="O382" s="3">
        <f t="shared" si="231"/>
        <v>5.8226398029228253E-4</v>
      </c>
      <c r="P382" s="3">
        <f t="shared" si="232"/>
        <v>-0.92449355060673988</v>
      </c>
      <c r="Q382" s="3">
        <f t="shared" si="233"/>
        <v>0.92365159164364374</v>
      </c>
      <c r="R382" s="3">
        <f t="shared" si="234"/>
        <v>3.9446956379679946E-2</v>
      </c>
      <c r="S382" s="3">
        <f t="shared" si="235"/>
        <v>3.4470464675216708E-2</v>
      </c>
      <c r="T382" s="3">
        <f t="shared" si="236"/>
        <v>1.4721513271155411E-3</v>
      </c>
      <c r="U382" s="3">
        <f t="shared" si="237"/>
        <v>0.39663349155311201</v>
      </c>
      <c r="V382" s="3">
        <f t="shared" si="238"/>
        <v>-0.39627226769918883</v>
      </c>
      <c r="W382" s="3">
        <f t="shared" si="239"/>
        <v>-1.692384336239814E-2</v>
      </c>
      <c r="X382" s="3">
        <f t="shared" si="240"/>
        <v>-1.4788789765614332E-2</v>
      </c>
      <c r="Y382" s="3">
        <f t="shared" si="241"/>
        <v>-6.315939365776768E-4</v>
      </c>
      <c r="Z382" s="3">
        <f t="shared" si="242"/>
        <v>0.9112028566140643</v>
      </c>
      <c r="AA382" s="3">
        <f t="shared" si="243"/>
        <v>-0.91037300181213354</v>
      </c>
      <c r="AB382" s="3">
        <f t="shared" si="244"/>
        <v>-3.8879859480149742E-2</v>
      </c>
      <c r="AC382" s="3">
        <f t="shared" si="245"/>
        <v>-3.3974910760878461E-2</v>
      </c>
      <c r="AD382" s="3">
        <f t="shared" si="246"/>
        <v>-1.4509874014323788E-3</v>
      </c>
      <c r="AE382" s="3">
        <f t="shared" si="222"/>
        <v>-0.42716676368070872</v>
      </c>
      <c r="AF382" s="3">
        <f t="shared" si="247"/>
        <v>0.4267777324265894</v>
      </c>
      <c r="AG382" s="3">
        <f t="shared" si="248"/>
        <v>1.8226658999084554E-2</v>
      </c>
      <c r="AH382" s="3">
        <f t="shared" si="249"/>
        <v>1.5927246683569419E-2</v>
      </c>
      <c r="AI382" s="3">
        <f t="shared" si="250"/>
        <v>6.8021471608914171E-4</v>
      </c>
      <c r="AJ382" s="3">
        <f t="shared" si="223"/>
        <v>-0.89688903072485127</v>
      </c>
      <c r="AK382" s="3">
        <f t="shared" si="251"/>
        <v>0.89607221187541108</v>
      </c>
      <c r="AL382" s="3">
        <f t="shared" si="252"/>
        <v>3.8269106852283873E-2</v>
      </c>
      <c r="AM382" s="3">
        <f t="shared" si="253"/>
        <v>3.3441208574035187E-2</v>
      </c>
      <c r="AN382" s="3">
        <f t="shared" si="254"/>
        <v>1.4281942540220198E-3</v>
      </c>
      <c r="AO382" s="3">
        <f t="shared" si="224"/>
        <v>0.45722039734153591</v>
      </c>
      <c r="AP382" s="3">
        <f t="shared" si="255"/>
        <v>-0.45680399550574219</v>
      </c>
      <c r="AQ382" s="3">
        <f t="shared" si="256"/>
        <v>-1.9509009076369009E-2</v>
      </c>
      <c r="AR382" s="3"/>
      <c r="AS382" s="2"/>
      <c r="AT382" s="2"/>
    </row>
    <row r="383" spans="1:46">
      <c r="A383">
        <f t="shared" si="257"/>
        <v>380</v>
      </c>
      <c r="B383" s="1">
        <f t="shared" si="215"/>
        <v>46.866540000000001</v>
      </c>
      <c r="C383" s="1">
        <f t="shared" si="216"/>
        <v>294.47115552634438</v>
      </c>
      <c r="D383" s="1">
        <f t="shared" si="217"/>
        <v>-0.74367713113240574</v>
      </c>
      <c r="E383" s="1">
        <f t="shared" si="218"/>
        <v>0.66853894772905686</v>
      </c>
      <c r="F383" s="2">
        <f t="shared" si="219"/>
        <v>-24368.068555815538</v>
      </c>
      <c r="G383" s="2">
        <f t="shared" si="220"/>
        <v>21906.015700238007</v>
      </c>
      <c r="H383" s="2">
        <f t="shared" si="221"/>
        <v>-6092.2030582366679</v>
      </c>
      <c r="I383" s="3">
        <f t="shared" si="225"/>
        <v>0.18554775382949343</v>
      </c>
      <c r="J383" s="3">
        <f t="shared" si="226"/>
        <v>3.4427968951170292E-2</v>
      </c>
      <c r="K383" s="3">
        <f t="shared" si="227"/>
        <v>-0.9036934958163777</v>
      </c>
      <c r="L383" s="3">
        <f t="shared" si="228"/>
        <v>0.67205618639173847</v>
      </c>
      <c r="M383" s="3">
        <f t="shared" si="229"/>
        <v>-0.60415429876267401</v>
      </c>
      <c r="N383" s="3">
        <f t="shared" si="230"/>
        <v>2.3137529518536686E-2</v>
      </c>
      <c r="O383" s="3">
        <f t="shared" si="231"/>
        <v>-2.0799805439517403E-2</v>
      </c>
      <c r="P383" s="3">
        <f t="shared" si="232"/>
        <v>-0.40916050979948115</v>
      </c>
      <c r="Q383" s="3">
        <f t="shared" si="233"/>
        <v>0.30428331410035075</v>
      </c>
      <c r="R383" s="3">
        <f t="shared" si="234"/>
        <v>-0.27353973667362957</v>
      </c>
      <c r="S383" s="3">
        <f t="shared" si="235"/>
        <v>1.0475856490206072E-2</v>
      </c>
      <c r="T383" s="3">
        <f t="shared" si="236"/>
        <v>-9.4174175611110179E-3</v>
      </c>
      <c r="U383" s="3">
        <f t="shared" si="237"/>
        <v>0.92083111820818464</v>
      </c>
      <c r="V383" s="3">
        <f t="shared" si="238"/>
        <v>-0.6848010442465079</v>
      </c>
      <c r="W383" s="3">
        <f t="shared" si="239"/>
        <v>0.61561146680307055</v>
      </c>
      <c r="X383" s="3">
        <f t="shared" si="240"/>
        <v>-2.3576309089047766E-2</v>
      </c>
      <c r="Y383" s="3">
        <f t="shared" si="241"/>
        <v>2.1194252465080513E-2</v>
      </c>
      <c r="Z383" s="3">
        <f t="shared" si="242"/>
        <v>0.37059164596115274</v>
      </c>
      <c r="AA383" s="3">
        <f t="shared" si="243"/>
        <v>-0.27560053209002627</v>
      </c>
      <c r="AB383" s="3">
        <f t="shared" si="244"/>
        <v>0.24775494902804823</v>
      </c>
      <c r="AC383" s="3">
        <f t="shared" si="245"/>
        <v>-9.4883665617214365E-3</v>
      </c>
      <c r="AD383" s="3">
        <f t="shared" si="246"/>
        <v>8.5296996926364239E-3</v>
      </c>
      <c r="AE383" s="3">
        <f t="shared" si="222"/>
        <v>-0.93635328991816003</v>
      </c>
      <c r="AF383" s="3">
        <f t="shared" si="247"/>
        <v>0.69634452837272698</v>
      </c>
      <c r="AG383" s="3">
        <f t="shared" si="248"/>
        <v>-0.62598864314452718</v>
      </c>
      <c r="AH383" s="3">
        <f t="shared" si="249"/>
        <v>2.3973727802133568E-2</v>
      </c>
      <c r="AI383" s="3">
        <f t="shared" si="250"/>
        <v>-2.1551517569965005E-2</v>
      </c>
      <c r="AJ383" s="3">
        <f t="shared" si="223"/>
        <v>-0.33137263844786818</v>
      </c>
      <c r="AK383" s="3">
        <f t="shared" si="251"/>
        <v>0.24643425309668654</v>
      </c>
      <c r="AL383" s="3">
        <f t="shared" si="252"/>
        <v>-0.22153551501413901</v>
      </c>
      <c r="AM383" s="3">
        <f t="shared" si="253"/>
        <v>8.4842308141175656E-3</v>
      </c>
      <c r="AN383" s="3">
        <f t="shared" si="254"/>
        <v>-7.6270178324882986E-3</v>
      </c>
      <c r="AO383" s="3">
        <f t="shared" si="224"/>
        <v>0.950232779782613</v>
      </c>
      <c r="AP383" s="3">
        <f t="shared" si="255"/>
        <v>-0.70666638757670475</v>
      </c>
      <c r="AQ383" s="3">
        <f t="shared" si="256"/>
        <v>0.63526762269352477</v>
      </c>
      <c r="AR383" s="3"/>
      <c r="AS383" s="2"/>
      <c r="AT383" s="2"/>
    </row>
    <row r="384" spans="1:46">
      <c r="A384">
        <f t="shared" si="257"/>
        <v>381</v>
      </c>
      <c r="B384" s="1">
        <f t="shared" si="215"/>
        <v>46.989872999999996</v>
      </c>
      <c r="C384" s="1">
        <f t="shared" si="216"/>
        <v>295.24607961983475</v>
      </c>
      <c r="D384" s="1">
        <f t="shared" si="217"/>
        <v>-6.3586889387241025E-2</v>
      </c>
      <c r="E384" s="1">
        <f t="shared" si="218"/>
        <v>0.99797630608048749</v>
      </c>
      <c r="F384" s="2">
        <f t="shared" si="219"/>
        <v>-2083.5516045517265</v>
      </c>
      <c r="G384" s="2">
        <f t="shared" si="220"/>
        <v>32700.689621339334</v>
      </c>
      <c r="H384" s="2">
        <f t="shared" si="221"/>
        <v>-520.90379786027847</v>
      </c>
      <c r="I384" s="3">
        <f t="shared" si="225"/>
        <v>0.17790103355001211</v>
      </c>
      <c r="J384" s="3">
        <f t="shared" si="226"/>
        <v>3.1648777738162534E-2</v>
      </c>
      <c r="K384" s="3">
        <f t="shared" si="227"/>
        <v>-0.95187354967635851</v>
      </c>
      <c r="L384" s="3">
        <f t="shared" si="228"/>
        <v>6.0526678113911082E-2</v>
      </c>
      <c r="M384" s="3">
        <f t="shared" si="229"/>
        <v>-0.94994724896173366</v>
      </c>
      <c r="N384" s="3">
        <f t="shared" si="230"/>
        <v>1.9155953828564787E-3</v>
      </c>
      <c r="O384" s="3">
        <f t="shared" si="231"/>
        <v>-3.0064669345368861E-2</v>
      </c>
      <c r="P384" s="3">
        <f t="shared" si="232"/>
        <v>0.33031490014469206</v>
      </c>
      <c r="Q384" s="3">
        <f t="shared" si="233"/>
        <v>-2.1003697018458098E-2</v>
      </c>
      <c r="R384" s="3">
        <f t="shared" si="234"/>
        <v>0.32964644388974484</v>
      </c>
      <c r="S384" s="3">
        <f t="shared" si="235"/>
        <v>-6.6474133861688751E-4</v>
      </c>
      <c r="T384" s="3">
        <f t="shared" si="236"/>
        <v>1.0432907034842202E-2</v>
      </c>
      <c r="U384" s="3">
        <f t="shared" si="237"/>
        <v>0.93527185974236582</v>
      </c>
      <c r="V384" s="3">
        <f t="shared" si="238"/>
        <v>-5.9471028292437014E-2</v>
      </c>
      <c r="W384" s="3">
        <f t="shared" si="239"/>
        <v>0.93337915576671404</v>
      </c>
      <c r="X384" s="3">
        <f t="shared" si="240"/>
        <v>-1.8821853562873147E-3</v>
      </c>
      <c r="Y384" s="3">
        <f t="shared" si="241"/>
        <v>2.9540309446294519E-2</v>
      </c>
      <c r="Z384" s="3">
        <f t="shared" si="242"/>
        <v>-0.3773218423462934</v>
      </c>
      <c r="AA384" s="3">
        <f t="shared" si="243"/>
        <v>2.3992722252663756E-2</v>
      </c>
      <c r="AB384" s="3">
        <f t="shared" si="244"/>
        <v>-0.37655825842823792</v>
      </c>
      <c r="AC384" s="3">
        <f t="shared" si="245"/>
        <v>7.5934033390802152E-4</v>
      </c>
      <c r="AD384" s="3">
        <f t="shared" si="246"/>
        <v>-1.1917608626464873E-2</v>
      </c>
      <c r="AE384" s="3">
        <f t="shared" si="222"/>
        <v>-0.91630759192034383</v>
      </c>
      <c r="AF384" s="3">
        <f t="shared" si="247"/>
        <v>5.826514949212809E-2</v>
      </c>
      <c r="AG384" s="3">
        <f t="shared" si="248"/>
        <v>-0.91445326581817143</v>
      </c>
      <c r="AH384" s="3">
        <f t="shared" si="249"/>
        <v>1.8440207661571755E-3</v>
      </c>
      <c r="AI384" s="3">
        <f t="shared" si="250"/>
        <v>-2.894132816181617E-2</v>
      </c>
      <c r="AJ384" s="3">
        <f t="shared" si="223"/>
        <v>0.42337563682713264</v>
      </c>
      <c r="AK384" s="3">
        <f t="shared" si="251"/>
        <v>-2.6921139788179612E-2</v>
      </c>
      <c r="AL384" s="3">
        <f t="shared" si="252"/>
        <v>0.42251885412521584</v>
      </c>
      <c r="AM384" s="3">
        <f t="shared" si="253"/>
        <v>-8.5202116961410055E-4</v>
      </c>
      <c r="AN384" s="3">
        <f t="shared" si="254"/>
        <v>1.3372205304392074E-2</v>
      </c>
      <c r="AO384" s="3">
        <f t="shared" si="224"/>
        <v>0.89502865159663847</v>
      </c>
      <c r="AP384" s="3">
        <f t="shared" si="255"/>
        <v>-5.6912087867486937E-2</v>
      </c>
      <c r="AQ384" s="3">
        <f t="shared" si="256"/>
        <v>0.89321738755661284</v>
      </c>
      <c r="AR384" s="3"/>
      <c r="AS384" s="2"/>
      <c r="AT384" s="2"/>
    </row>
    <row r="385" spans="1:46">
      <c r="A385">
        <f t="shared" si="257"/>
        <v>382</v>
      </c>
      <c r="B385" s="1">
        <f t="shared" si="215"/>
        <v>47.113205999999998</v>
      </c>
      <c r="C385" s="1">
        <f t="shared" si="216"/>
        <v>296.02100371332511</v>
      </c>
      <c r="D385" s="1">
        <f t="shared" si="217"/>
        <v>0.65281475427574298</v>
      </c>
      <c r="E385" s="1">
        <f t="shared" si="218"/>
        <v>0.75751758831059579</v>
      </c>
      <c r="F385" s="2">
        <f t="shared" si="219"/>
        <v>21390.781053353272</v>
      </c>
      <c r="G385" s="2">
        <f t="shared" si="220"/>
        <v>24821.578816173293</v>
      </c>
      <c r="H385" s="2">
        <f t="shared" si="221"/>
        <v>5347.8584670268865</v>
      </c>
      <c r="I385" s="3">
        <f t="shared" si="225"/>
        <v>0.17024355572239869</v>
      </c>
      <c r="J385" s="3">
        <f t="shared" si="226"/>
        <v>2.8982868265005467E-2</v>
      </c>
      <c r="K385" s="3">
        <f t="shared" si="227"/>
        <v>-0.48407841415624037</v>
      </c>
      <c r="L385" s="3">
        <f t="shared" si="228"/>
        <v>-0.31601353098759738</v>
      </c>
      <c r="M385" s="3">
        <f t="shared" si="229"/>
        <v>-0.36669791284485298</v>
      </c>
      <c r="N385" s="3">
        <f t="shared" si="230"/>
        <v>-9.1589785385727575E-3</v>
      </c>
      <c r="O385" s="3">
        <f t="shared" si="231"/>
        <v>-1.0627957301034829E-2</v>
      </c>
      <c r="P385" s="3">
        <f t="shared" si="232"/>
        <v>0.88884038333292215</v>
      </c>
      <c r="Q385" s="3">
        <f t="shared" si="233"/>
        <v>0.58024811643583873</v>
      </c>
      <c r="R385" s="3">
        <f t="shared" si="234"/>
        <v>0.67331222357542064</v>
      </c>
      <c r="S385" s="3">
        <f t="shared" si="235"/>
        <v>1.6817254719677467E-2</v>
      </c>
      <c r="T385" s="3">
        <f t="shared" si="236"/>
        <v>1.9514519477104326E-2</v>
      </c>
      <c r="U385" s="3">
        <f t="shared" si="237"/>
        <v>0.43196156035689659</v>
      </c>
      <c r="V385" s="3">
        <f t="shared" si="238"/>
        <v>0.28199087988095395</v>
      </c>
      <c r="W385" s="3">
        <f t="shared" si="239"/>
        <v>0.32721847944443816</v>
      </c>
      <c r="X385" s="3">
        <f t="shared" si="240"/>
        <v>8.1729045235226696E-3</v>
      </c>
      <c r="Y385" s="3">
        <f t="shared" si="241"/>
        <v>9.4837300836135511E-3</v>
      </c>
      <c r="Z385" s="3">
        <f t="shared" si="242"/>
        <v>-0.91416830261991644</v>
      </c>
      <c r="AA385" s="3">
        <f t="shared" si="243"/>
        <v>-0.59678255584149376</v>
      </c>
      <c r="AB385" s="3">
        <f t="shared" si="244"/>
        <v>-0.69249856791063003</v>
      </c>
      <c r="AC385" s="3">
        <f t="shared" si="245"/>
        <v>-1.7296470198807284E-2</v>
      </c>
      <c r="AD385" s="3">
        <f t="shared" si="246"/>
        <v>-2.0070594767458733E-2</v>
      </c>
      <c r="AE385" s="3">
        <f t="shared" si="222"/>
        <v>-0.37835961261794387</v>
      </c>
      <c r="AF385" s="3">
        <f t="shared" si="247"/>
        <v>-0.24699873753904833</v>
      </c>
      <c r="AG385" s="3">
        <f t="shared" si="248"/>
        <v>-0.28661406126447614</v>
      </c>
      <c r="AH385" s="3">
        <f t="shared" si="249"/>
        <v>-7.1587318717168981E-3</v>
      </c>
      <c r="AI385" s="3">
        <f t="shared" si="250"/>
        <v>-8.3068975805265163E-3</v>
      </c>
      <c r="AJ385" s="3">
        <f t="shared" si="223"/>
        <v>0.93635328991815625</v>
      </c>
      <c r="AK385" s="3">
        <f t="shared" si="251"/>
        <v>0.61126524287320472</v>
      </c>
      <c r="AL385" s="3">
        <f t="shared" si="252"/>
        <v>0.70930408598549388</v>
      </c>
      <c r="AM385" s="3">
        <f t="shared" si="253"/>
        <v>1.7716220009170666E-2</v>
      </c>
      <c r="AN385" s="3">
        <f t="shared" si="254"/>
        <v>2.0557666883947678E-2</v>
      </c>
      <c r="AO385" s="3">
        <f t="shared" si="224"/>
        <v>0.32345685568844967</v>
      </c>
      <c r="AP385" s="3">
        <f t="shared" si="255"/>
        <v>0.21115740776505973</v>
      </c>
      <c r="AQ385" s="3">
        <f t="shared" si="256"/>
        <v>0.24502425724364282</v>
      </c>
      <c r="AR385" s="3"/>
      <c r="AS385" s="2"/>
      <c r="AT385" s="2"/>
    </row>
    <row r="386" spans="1:46">
      <c r="A386">
        <f t="shared" si="257"/>
        <v>383</v>
      </c>
      <c r="B386" s="1">
        <f t="shared" si="215"/>
        <v>47.236539</v>
      </c>
      <c r="C386" s="1">
        <f t="shared" si="216"/>
        <v>296.79592780681548</v>
      </c>
      <c r="D386" s="1">
        <f t="shared" si="217"/>
        <v>0.9964254161998819</v>
      </c>
      <c r="E386" s="1">
        <f t="shared" si="218"/>
        <v>8.4477156384979227E-2</v>
      </c>
      <c r="F386" s="2">
        <f t="shared" si="219"/>
        <v>32649.871612621529</v>
      </c>
      <c r="G386" s="2">
        <f t="shared" si="220"/>
        <v>2768.0629832666145</v>
      </c>
      <c r="H386" s="2">
        <f t="shared" si="221"/>
        <v>8162.7170095094325</v>
      </c>
      <c r="I386" s="3">
        <f t="shared" si="225"/>
        <v>0.16257578338885553</v>
      </c>
      <c r="J386" s="3">
        <f t="shared" si="226"/>
        <v>2.6430885344500075E-2</v>
      </c>
      <c r="K386" s="3">
        <f t="shared" si="227"/>
        <v>0.24611759541271253</v>
      </c>
      <c r="L386" s="3">
        <f t="shared" si="228"/>
        <v>0.24523782744322623</v>
      </c>
      <c r="M386" s="3">
        <f t="shared" si="229"/>
        <v>2.0791314596774763E-2</v>
      </c>
      <c r="N386" s="3">
        <f t="shared" si="230"/>
        <v>6.481852899286206E-3</v>
      </c>
      <c r="O386" s="3">
        <f t="shared" si="231"/>
        <v>5.4953285226878455E-4</v>
      </c>
      <c r="P386" s="3">
        <f t="shared" si="232"/>
        <v>0.96044988970190892</v>
      </c>
      <c r="Q386" s="3">
        <f t="shared" si="233"/>
        <v>0.9570166810853552</v>
      </c>
      <c r="R386" s="3">
        <f t="shared" si="234"/>
        <v>8.1136075532284205E-2</v>
      </c>
      <c r="S386" s="3">
        <f t="shared" si="235"/>
        <v>2.5294798170541019E-2</v>
      </c>
      <c r="T386" s="3">
        <f t="shared" si="236"/>
        <v>2.1444983096965018E-3</v>
      </c>
      <c r="U386" s="3">
        <f t="shared" si="237"/>
        <v>-0.31047551824516084</v>
      </c>
      <c r="V386" s="3">
        <f t="shared" si="238"/>
        <v>-0.30936569748730841</v>
      </c>
      <c r="W386" s="3">
        <f t="shared" si="239"/>
        <v>-2.6228088908503925E-2</v>
      </c>
      <c r="X386" s="3">
        <f t="shared" si="240"/>
        <v>-8.1768092798083433E-3</v>
      </c>
      <c r="Y386" s="3">
        <f t="shared" si="241"/>
        <v>-6.9323161074602135E-4</v>
      </c>
      <c r="Z386" s="3">
        <f t="shared" si="242"/>
        <v>-0.93964551494083937</v>
      </c>
      <c r="AA386" s="3">
        <f t="shared" si="243"/>
        <v>-0.93628667330527826</v>
      </c>
      <c r="AB386" s="3">
        <f t="shared" si="244"/>
        <v>-7.9378581112101623E-2</v>
      </c>
      <c r="AC386" s="3">
        <f t="shared" si="245"/>
        <v>-2.4746885711715207E-2</v>
      </c>
      <c r="AD386" s="3">
        <f t="shared" si="246"/>
        <v>-2.0980461761830574E-3</v>
      </c>
      <c r="AE386" s="3">
        <f t="shared" si="222"/>
        <v>0.37343937944065497</v>
      </c>
      <c r="AF386" s="3">
        <f t="shared" si="247"/>
        <v>0.37210448908458027</v>
      </c>
      <c r="AG386" s="3">
        <f t="shared" si="248"/>
        <v>3.1547096857317804E-2</v>
      </c>
      <c r="AH386" s="3">
        <f t="shared" si="249"/>
        <v>9.8350510871683203E-3</v>
      </c>
      <c r="AI386" s="3">
        <f t="shared" si="250"/>
        <v>8.3381769998760568E-4</v>
      </c>
      <c r="AJ386" s="3">
        <f t="shared" si="223"/>
        <v>0.91462205143448372</v>
      </c>
      <c r="AK386" s="3">
        <f t="shared" si="251"/>
        <v>0.91135265826619527</v>
      </c>
      <c r="AL386" s="3">
        <f t="shared" si="252"/>
        <v>7.7264670072181393E-2</v>
      </c>
      <c r="AM386" s="3">
        <f t="shared" si="253"/>
        <v>2.4087857619039164E-2</v>
      </c>
      <c r="AN386" s="3">
        <f t="shared" si="254"/>
        <v>2.0421736358584527E-3</v>
      </c>
      <c r="AO386" s="3">
        <f t="shared" si="224"/>
        <v>-0.43472646587610159</v>
      </c>
      <c r="AP386" s="3">
        <f t="shared" si="255"/>
        <v>-0.43317249969369825</v>
      </c>
      <c r="AQ386" s="3">
        <f t="shared" si="256"/>
        <v>-3.6724455642504768E-2</v>
      </c>
      <c r="AR386" s="3"/>
      <c r="AS386" s="2"/>
      <c r="AT386" s="2"/>
    </row>
    <row r="387" spans="1:46">
      <c r="A387">
        <f t="shared" si="257"/>
        <v>384</v>
      </c>
      <c r="B387" s="1">
        <f t="shared" ref="B387:B407" si="258">A387*0.123333</f>
        <v>47.359871999999996</v>
      </c>
      <c r="C387" s="1">
        <f t="shared" ref="C387:C407" si="259">2*PI() * B387</f>
        <v>297.57085190030585</v>
      </c>
      <c r="D387" s="1">
        <f t="shared" ref="D387:D407" si="260">SIN(C387)</f>
        <v>0.7710256403210316</v>
      </c>
      <c r="E387" s="1">
        <f t="shared" ref="E387:E407" si="261">COS(C387)</f>
        <v>-0.63680410014975808</v>
      </c>
      <c r="F387" s="2">
        <f t="shared" ref="F387:F407" si="262">32767*D387</f>
        <v>25264.197156399241</v>
      </c>
      <c r="G387" s="2">
        <f t="shared" ref="G387:G407" si="263">32767*E387</f>
        <v>-20866.159949607121</v>
      </c>
      <c r="H387" s="2">
        <f t="shared" ref="H387:H407" si="264">8192*SIN(C387)</f>
        <v>6316.2420455098909</v>
      </c>
      <c r="I387" s="3">
        <f t="shared" si="225"/>
        <v>0.15489818021408469</v>
      </c>
      <c r="J387" s="3">
        <f t="shared" si="226"/>
        <v>2.3993446233635057E-2</v>
      </c>
      <c r="K387" s="3">
        <f t="shared" si="227"/>
        <v>0.84290242558077333</v>
      </c>
      <c r="L387" s="3">
        <f t="shared" si="228"/>
        <v>0.64989938241156642</v>
      </c>
      <c r="M387" s="3">
        <f t="shared" si="229"/>
        <v>-0.53676372063601274</v>
      </c>
      <c r="N387" s="3">
        <f t="shared" si="230"/>
        <v>1.5593325889164549E-2</v>
      </c>
      <c r="O387" s="3">
        <f t="shared" si="231"/>
        <v>-1.2878811471246081E-2</v>
      </c>
      <c r="P387" s="3">
        <f t="shared" si="232"/>
        <v>0.5059149892692536</v>
      </c>
      <c r="Q387" s="3">
        <f t="shared" si="233"/>
        <v>0.39007342854933408</v>
      </c>
      <c r="R387" s="3">
        <f t="shared" si="234"/>
        <v>-0.32216873949388153</v>
      </c>
      <c r="S387" s="3">
        <f t="shared" si="235"/>
        <v>9.3592058350681333E-3</v>
      </c>
      <c r="T387" s="3">
        <f t="shared" si="236"/>
        <v>-7.7299383292044263E-3</v>
      </c>
      <c r="U387" s="3">
        <f t="shared" si="237"/>
        <v>-0.88103848230278881</v>
      </c>
      <c r="V387" s="3">
        <f t="shared" si="238"/>
        <v>-0.67930325996497765</v>
      </c>
      <c r="W387" s="3">
        <f t="shared" si="239"/>
        <v>0.561048917920136</v>
      </c>
      <c r="X387" s="3">
        <f t="shared" si="240"/>
        <v>-1.6298826244302709E-2</v>
      </c>
      <c r="Y387" s="3">
        <f t="shared" si="241"/>
        <v>1.3461497046555911E-2</v>
      </c>
      <c r="Z387" s="3">
        <f t="shared" si="242"/>
        <v>-0.43950198659476175</v>
      </c>
      <c r="AA387" s="3">
        <f t="shared" si="243"/>
        <v>-0.33886730063659165</v>
      </c>
      <c r="AB387" s="3">
        <f t="shared" si="244"/>
        <v>0.2798766670875083</v>
      </c>
      <c r="AC387" s="3">
        <f t="shared" si="245"/>
        <v>-8.1305943581611081E-3</v>
      </c>
      <c r="AD387" s="3">
        <f t="shared" si="246"/>
        <v>6.7152057638131092E-3</v>
      </c>
      <c r="AE387" s="3">
        <f t="shared" ref="AE387:AE407" si="265">SIN(0.5+A387*92/750*2*PI())</f>
        <v>0.91416830261991211</v>
      </c>
      <c r="AF387" s="3">
        <f t="shared" si="247"/>
        <v>0.70484720088870834</v>
      </c>
      <c r="AG387" s="3">
        <f t="shared" si="248"/>
        <v>-0.58214612333530491</v>
      </c>
      <c r="AH387" s="3">
        <f t="shared" si="249"/>
        <v>1.6911713417451391E-2</v>
      </c>
      <c r="AI387" s="3">
        <f t="shared" si="250"/>
        <v>-1.3967691710364721E-2</v>
      </c>
      <c r="AJ387" s="3">
        <f t="shared" ref="AJ387:AJ407" si="266">SIN(0.5+A387*92.5/750*2*PI())</f>
        <v>0.37059164596111993</v>
      </c>
      <c r="AK387" s="3">
        <f t="shared" si="251"/>
        <v>0.28573566112479754</v>
      </c>
      <c r="AL387" s="3">
        <f t="shared" si="252"/>
        <v>-0.23599427962928871</v>
      </c>
      <c r="AM387" s="3">
        <f t="shared" si="253"/>
        <v>6.8557832222299973E-3</v>
      </c>
      <c r="AN387" s="3">
        <f t="shared" si="254"/>
        <v>-5.6623160597307756E-3</v>
      </c>
      <c r="AO387" s="3">
        <f t="shared" ref="AO387:AO407" si="267">SIN(0.5+A387*93/750*2*PI())</f>
        <v>-0.94210363628435567</v>
      </c>
      <c r="AP387" s="3">
        <f t="shared" si="255"/>
        <v>-0.72638605941491763</v>
      </c>
      <c r="AQ387" s="3">
        <f t="shared" si="256"/>
        <v>0.59993545835187412</v>
      </c>
      <c r="AR387" s="3"/>
      <c r="AS387" s="2"/>
      <c r="AT387" s="2"/>
    </row>
    <row r="388" spans="1:46">
      <c r="A388">
        <f t="shared" si="257"/>
        <v>385</v>
      </c>
      <c r="B388" s="1">
        <f t="shared" si="258"/>
        <v>47.483204999999998</v>
      </c>
      <c r="C388" s="1">
        <f t="shared" si="259"/>
        <v>298.34577599379628</v>
      </c>
      <c r="D388" s="1">
        <f t="shared" si="260"/>
        <v>0.10533035408714501</v>
      </c>
      <c r="E388" s="1">
        <f t="shared" si="261"/>
        <v>-0.99443728636243156</v>
      </c>
      <c r="F388" s="2">
        <f t="shared" si="262"/>
        <v>3451.3597123734808</v>
      </c>
      <c r="G388" s="2">
        <f t="shared" si="263"/>
        <v>-32584.726562237796</v>
      </c>
      <c r="H388" s="2">
        <f t="shared" si="264"/>
        <v>862.86626068189196</v>
      </c>
      <c r="I388" s="3">
        <f t="shared" ref="I388:I407" si="268">SIN(PI()*A388/404)</f>
        <v>0.14721121045725472</v>
      </c>
      <c r="J388" s="3">
        <f t="shared" ref="J388:J407" si="269">I388*I388</f>
        <v>2.1671140484290141E-2</v>
      </c>
      <c r="K388" s="3">
        <f t="shared" ref="K388:K407" si="270">SIN(0.5+A388*90/750*2*PI())</f>
        <v>0.98278125303889841</v>
      </c>
      <c r="L388" s="3">
        <f t="shared" ref="L388:L407" si="271">K388*D388</f>
        <v>0.10351669737279523</v>
      </c>
      <c r="M388" s="3">
        <f t="shared" ref="M388:M407" si="272">K388*E388</f>
        <v>-0.97731432235987237</v>
      </c>
      <c r="N388" s="3">
        <f t="shared" ref="N388:N407" si="273">K388*J388*D388</f>
        <v>2.2433248912355937E-3</v>
      </c>
      <c r="O388" s="3">
        <f t="shared" ref="O388:O407" si="274">K388*J388*E388</f>
        <v>-2.1179515977169616E-2</v>
      </c>
      <c r="P388" s="3">
        <f t="shared" ref="P388:P407" si="275">SIN(0.5+A388*90.5/750*2*PI())</f>
        <v>-0.22576538723168998</v>
      </c>
      <c r="Q388" s="3">
        <f t="shared" ref="Q388:Q407" si="276">P388*D388</f>
        <v>-2.3779948177735315E-2</v>
      </c>
      <c r="R388" s="3">
        <f t="shared" ref="R388:R407" si="277">P388*E388</f>
        <v>0.22450951903324534</v>
      </c>
      <c r="S388" s="3">
        <f t="shared" ref="S388:S407" si="278">P388*J388*D388</f>
        <v>-5.1533859766884134E-4</v>
      </c>
      <c r="T388" s="3">
        <f t="shared" ref="T388:T407" si="279">P388*J388*E388</f>
        <v>4.8653773270298708E-3</v>
      </c>
      <c r="U388" s="3">
        <f t="shared" ref="U388:U407" si="280">SIN(0.5+A388*91/750*2*PI())</f>
        <v>-0.96387310667938741</v>
      </c>
      <c r="V388" s="3">
        <f t="shared" ref="V388:V407" si="281">U388*D388</f>
        <v>-0.10152509562161638</v>
      </c>
      <c r="W388" s="3">
        <f t="shared" ref="W388:W407" si="282">U388*E388</f>
        <v>0.95851135660397657</v>
      </c>
      <c r="X388" s="3">
        <f t="shared" ref="X388:X407" si="283">U388*J388*D388</f>
        <v>-2.2001646098970384E-3</v>
      </c>
      <c r="Y388" s="3">
        <f t="shared" ref="Y388:Y407" si="284">U388*J388*E388</f>
        <v>2.0772034264752302E-2</v>
      </c>
      <c r="Z388" s="3">
        <f t="shared" ref="Z388:Z407" si="285">SIN(0.5+A388*91.5/750*2*PI())</f>
        <v>0.30649102014009044</v>
      </c>
      <c r="AA388" s="3">
        <f t="shared" ref="AA388:AA407" si="286">Z388*D388</f>
        <v>3.2282807675886017E-2</v>
      </c>
      <c r="AB388" s="3">
        <f t="shared" ref="AB388:AB407" si="287">Z388*E388</f>
        <v>-0.30478609836256487</v>
      </c>
      <c r="AC388" s="3">
        <f t="shared" ref="AC388:AC407" si="288">Z388*J388*D388</f>
        <v>6.9960526037144604E-4</v>
      </c>
      <c r="AD388" s="3">
        <f t="shared" ref="AD388:AD407" si="289">Z388*J388*E388</f>
        <v>-6.6050623552738174E-3</v>
      </c>
      <c r="AE388" s="3">
        <f t="shared" si="265"/>
        <v>0.9382040830183902</v>
      </c>
      <c r="AF388" s="3">
        <f t="shared" ref="AF388:AF407" si="290">AE388*D388</f>
        <v>9.8821368270332235E-2</v>
      </c>
      <c r="AG388" s="3">
        <f t="shared" ref="AG388:AG407" si="291">AE388*E388</f>
        <v>-0.93298512237096143</v>
      </c>
      <c r="AH388" s="3">
        <f t="shared" ref="AH388:AH407" si="292">AE388*J388*D388</f>
        <v>2.1415717546361419E-3</v>
      </c>
      <c r="AI388" s="3">
        <f t="shared" ref="AI388:AI407" si="293">AE388*J388*E388</f>
        <v>-2.0218851656653731E-2</v>
      </c>
      <c r="AJ388" s="3">
        <f t="shared" si="266"/>
        <v>-0.38506683875570163</v>
      </c>
      <c r="AK388" s="3">
        <f t="shared" ref="AK388:AK407" si="294">AJ388*D388</f>
        <v>-4.0559226473355629E-2</v>
      </c>
      <c r="AL388" s="3">
        <f t="shared" ref="AL388:AL407" si="295">AJ388*E388</f>
        <v>0.38292482220037993</v>
      </c>
      <c r="AM388" s="3">
        <f t="shared" ref="AM388:AM407" si="296">AJ388*J388*D388</f>
        <v>-8.7896469483822969E-4</v>
      </c>
      <c r="AN388" s="3">
        <f t="shared" ref="AN388:AN407" si="297">AJ388*J388*E388</f>
        <v>8.2984176168262591E-3</v>
      </c>
      <c r="AO388" s="3">
        <f t="shared" si="267"/>
        <v>-0.90595423181372059</v>
      </c>
      <c r="AP388" s="3">
        <f t="shared" ref="AP388:AP407" si="298">AO388*D388</f>
        <v>-9.5424480023686642E-2</v>
      </c>
      <c r="AQ388" s="3">
        <f t="shared" ref="AQ388:AQ407" si="299">AO388*E388</f>
        <v>0.90091466785339758</v>
      </c>
      <c r="AR388" s="3"/>
      <c r="AS388" s="2"/>
      <c r="AT388" s="2"/>
    </row>
    <row r="389" spans="1:46">
      <c r="A389">
        <f t="shared" ref="A389:A407" si="300">A388+1</f>
        <v>386</v>
      </c>
      <c r="B389" s="1">
        <f t="shared" si="258"/>
        <v>47.606538</v>
      </c>
      <c r="C389" s="1">
        <f t="shared" si="259"/>
        <v>299.12070008728665</v>
      </c>
      <c r="D389" s="1">
        <f t="shared" si="260"/>
        <v>-0.62051401096250258</v>
      </c>
      <c r="E389" s="1">
        <f t="shared" si="261"/>
        <v>-0.7841953597154393</v>
      </c>
      <c r="F389" s="2">
        <f t="shared" si="262"/>
        <v>-20332.382597208321</v>
      </c>
      <c r="G389" s="2">
        <f t="shared" si="263"/>
        <v>-25695.729351795799</v>
      </c>
      <c r="H389" s="2">
        <f t="shared" si="264"/>
        <v>-5083.2507778048212</v>
      </c>
      <c r="I389" s="3">
        <f t="shared" si="268"/>
        <v>0.1395153389439234</v>
      </c>
      <c r="J389" s="3">
        <f t="shared" si="269"/>
        <v>1.9464529800637828E-2</v>
      </c>
      <c r="K389" s="3">
        <f t="shared" si="270"/>
        <v>0.58993097658577298</v>
      </c>
      <c r="L389" s="3">
        <f t="shared" si="271"/>
        <v>-0.36606043647226422</v>
      </c>
      <c r="M389" s="3">
        <f t="shared" si="272"/>
        <v>-0.46262113439096064</v>
      </c>
      <c r="N389" s="3">
        <f t="shared" si="273"/>
        <v>-7.1251942745488763E-3</v>
      </c>
      <c r="O389" s="3">
        <f t="shared" si="274"/>
        <v>-9.0047028567577306E-3</v>
      </c>
      <c r="P389" s="3">
        <f t="shared" si="275"/>
        <v>-0.83376914404120095</v>
      </c>
      <c r="Q389" s="3">
        <f t="shared" si="276"/>
        <v>0.5173654357857782</v>
      </c>
      <c r="R389" s="3">
        <f t="shared" si="277"/>
        <v>0.65383789383102353</v>
      </c>
      <c r="S389" s="3">
        <f t="shared" si="278"/>
        <v>1.0070274942672255E-2</v>
      </c>
      <c r="T389" s="3">
        <f t="shared" si="279"/>
        <v>1.272664716926023E-2</v>
      </c>
      <c r="U389" s="3">
        <f t="shared" si="280"/>
        <v>-0.51312351262864742</v>
      </c>
      <c r="V389" s="3">
        <f t="shared" si="281"/>
        <v>0.31840032894037035</v>
      </c>
      <c r="W389" s="3">
        <f t="shared" si="282"/>
        <v>0.40238907756427195</v>
      </c>
      <c r="X389" s="3">
        <f t="shared" si="283"/>
        <v>6.197512691192726E-3</v>
      </c>
      <c r="Y389" s="3">
        <f t="shared" si="284"/>
        <v>7.8323141917009363E-3</v>
      </c>
      <c r="Z389" s="3">
        <f t="shared" si="285"/>
        <v>0.8810384823027837</v>
      </c>
      <c r="AA389" s="3">
        <f t="shared" si="286"/>
        <v>-0.54669672246601619</v>
      </c>
      <c r="AB389" s="3">
        <f t="shared" si="287"/>
        <v>-0.69090628955257616</v>
      </c>
      <c r="AC389" s="3">
        <f t="shared" si="288"/>
        <v>-1.0641194646350799E-2</v>
      </c>
      <c r="AD389" s="3">
        <f t="shared" si="289"/>
        <v>-1.3448166062444226E-2</v>
      </c>
      <c r="AE389" s="3">
        <f t="shared" si="265"/>
        <v>0.43196156035686478</v>
      </c>
      <c r="AF389" s="3">
        <f t="shared" si="290"/>
        <v>-0.26803820039865933</v>
      </c>
      <c r="AG389" s="3">
        <f t="shared" si="291"/>
        <v>-0.33874225120729401</v>
      </c>
      <c r="AH389" s="3">
        <f t="shared" si="292"/>
        <v>-5.2172375393690386E-3</v>
      </c>
      <c r="AI389" s="3">
        <f t="shared" si="293"/>
        <v>-6.5934586433595201E-3</v>
      </c>
      <c r="AJ389" s="3">
        <f t="shared" si="266"/>
        <v>-0.92083111820819419</v>
      </c>
      <c r="AK389" s="3">
        <f t="shared" si="294"/>
        <v>0.57138861057845292</v>
      </c>
      <c r="AL389" s="3">
        <f t="shared" si="295"/>
        <v>0.72211148998044505</v>
      </c>
      <c r="AM389" s="3">
        <f t="shared" si="296"/>
        <v>1.112181063834934E-2</v>
      </c>
      <c r="AN389" s="3">
        <f t="shared" si="297"/>
        <v>1.4055560616107358E-2</v>
      </c>
      <c r="AO389" s="3">
        <f t="shared" si="267"/>
        <v>-0.3471338794240732</v>
      </c>
      <c r="AP389" s="3">
        <f t="shared" si="298"/>
        <v>0.2154014358624054</v>
      </c>
      <c r="AQ389" s="3">
        <f t="shared" si="299"/>
        <v>0.272220777444377</v>
      </c>
      <c r="AR389" s="3"/>
      <c r="AS389" s="2"/>
      <c r="AT389" s="2"/>
    </row>
    <row r="390" spans="1:46">
      <c r="A390">
        <f t="shared" si="300"/>
        <v>387</v>
      </c>
      <c r="B390" s="1">
        <f t="shared" si="258"/>
        <v>47.729871000000003</v>
      </c>
      <c r="C390" s="1">
        <f t="shared" si="259"/>
        <v>299.89562418077702</v>
      </c>
      <c r="D390" s="1">
        <f t="shared" si="260"/>
        <v>-0.99201278897642664</v>
      </c>
      <c r="E390" s="1">
        <f t="shared" si="261"/>
        <v>-0.12613733193314203</v>
      </c>
      <c r="F390" s="2">
        <f t="shared" si="262"/>
        <v>-32505.28305639057</v>
      </c>
      <c r="G390" s="2">
        <f t="shared" si="263"/>
        <v>-4133.1419554532649</v>
      </c>
      <c r="H390" s="2">
        <f t="shared" si="264"/>
        <v>-8126.568767294887</v>
      </c>
      <c r="I390" s="3">
        <f t="shared" si="268"/>
        <v>0.13181103103793004</v>
      </c>
      <c r="J390" s="3">
        <f t="shared" si="269"/>
        <v>1.7374147903282157E-2</v>
      </c>
      <c r="K390" s="3">
        <f t="shared" si="270"/>
        <v>-0.12269890448873232</v>
      </c>
      <c r="L390" s="3">
        <f t="shared" si="271"/>
        <v>0.12171888244621953</v>
      </c>
      <c r="M390" s="3">
        <f t="shared" si="272"/>
        <v>1.5476912443328118E-2</v>
      </c>
      <c r="N390" s="3">
        <f t="shared" si="273"/>
        <v>2.1147618662428328E-3</v>
      </c>
      <c r="O390" s="3">
        <f t="shared" si="274"/>
        <v>2.6889816587653077E-4</v>
      </c>
      <c r="P390" s="3">
        <f t="shared" si="275"/>
        <v>-0.98502551985272202</v>
      </c>
      <c r="Q390" s="3">
        <f t="shared" si="276"/>
        <v>0.97715791316205325</v>
      </c>
      <c r="R390" s="3">
        <f t="shared" si="277"/>
        <v>0.12424849096027858</v>
      </c>
      <c r="S390" s="3">
        <f t="shared" si="278"/>
        <v>1.6977286108140057E-2</v>
      </c>
      <c r="T390" s="3">
        <f t="shared" si="279"/>
        <v>2.1587116587034961E-3</v>
      </c>
      <c r="U390" s="3">
        <f t="shared" si="280"/>
        <v>0.22168277575806122</v>
      </c>
      <c r="V390" s="3">
        <f t="shared" si="281"/>
        <v>-0.2199121486477901</v>
      </c>
      <c r="W390" s="3">
        <f t="shared" si="282"/>
        <v>-2.796247386965486E-2</v>
      </c>
      <c r="X390" s="3">
        <f t="shared" si="283"/>
        <v>-3.8207861963352762E-3</v>
      </c>
      <c r="Y390" s="3">
        <f t="shared" si="284"/>
        <v>-4.8582415675304608E-4</v>
      </c>
      <c r="Z390" s="3">
        <f t="shared" si="285"/>
        <v>0.9627489200123881</v>
      </c>
      <c r="AA390" s="3">
        <f t="shared" si="286"/>
        <v>-0.95505924122553176</v>
      </c>
      <c r="AB390" s="3">
        <f t="shared" si="287"/>
        <v>-0.12143858009187659</v>
      </c>
      <c r="AC390" s="3">
        <f t="shared" si="288"/>
        <v>-1.6593340513448823E-2</v>
      </c>
      <c r="AD390" s="3">
        <f t="shared" si="289"/>
        <v>-2.1098918516808405E-3</v>
      </c>
      <c r="AE390" s="3">
        <f t="shared" si="265"/>
        <v>-0.31842810188676335</v>
      </c>
      <c r="AF390" s="3">
        <f t="shared" si="290"/>
        <v>0.31588474944115785</v>
      </c>
      <c r="AG390" s="3">
        <f t="shared" si="291"/>
        <v>4.0165671184531036E-2</v>
      </c>
      <c r="AH390" s="3">
        <f t="shared" si="292"/>
        <v>5.4882283571819025E-3</v>
      </c>
      <c r="AI390" s="3">
        <f t="shared" si="293"/>
        <v>6.9784431179464054E-4</v>
      </c>
      <c r="AJ390" s="3">
        <f t="shared" si="266"/>
        <v>-0.93075051427523903</v>
      </c>
      <c r="AK390" s="3">
        <f t="shared" si="294"/>
        <v>0.92331641350742322</v>
      </c>
      <c r="AL390" s="3">
        <f t="shared" si="295"/>
        <v>0.11740238656607847</v>
      </c>
      <c r="AM390" s="3">
        <f t="shared" si="296"/>
        <v>1.6041835929805997E-2</v>
      </c>
      <c r="AN390" s="3">
        <f t="shared" si="297"/>
        <v>2.0397664283973533E-3</v>
      </c>
      <c r="AO390" s="3">
        <f t="shared" si="267"/>
        <v>0.41195795185720502</v>
      </c>
      <c r="AP390" s="3">
        <f t="shared" si="298"/>
        <v>-0.40866755676288247</v>
      </c>
      <c r="AQ390" s="3">
        <f t="shared" si="299"/>
        <v>-5.1963276915909615E-2</v>
      </c>
      <c r="AR390" s="3"/>
      <c r="AS390" s="2"/>
      <c r="AT390" s="2"/>
    </row>
    <row r="391" spans="1:46">
      <c r="A391">
        <f t="shared" si="300"/>
        <v>388</v>
      </c>
      <c r="B391" s="1">
        <f t="shared" si="258"/>
        <v>47.853203999999998</v>
      </c>
      <c r="C391" s="1">
        <f t="shared" si="259"/>
        <v>300.67054827426739</v>
      </c>
      <c r="D391" s="1">
        <f t="shared" si="260"/>
        <v>-0.79702096750888418</v>
      </c>
      <c r="E391" s="1">
        <f t="shared" si="261"/>
        <v>0.60395163494372806</v>
      </c>
      <c r="F391" s="2">
        <f t="shared" si="262"/>
        <v>-26115.986042363609</v>
      </c>
      <c r="G391" s="2">
        <f t="shared" si="263"/>
        <v>19789.683222201136</v>
      </c>
      <c r="H391" s="2">
        <f t="shared" si="264"/>
        <v>-6529.1957658327792</v>
      </c>
      <c r="I391" s="3">
        <f t="shared" si="268"/>
        <v>0.12409875261325964</v>
      </c>
      <c r="J391" s="3">
        <f t="shared" si="269"/>
        <v>1.5400500400167017E-2</v>
      </c>
      <c r="K391" s="3">
        <f t="shared" si="270"/>
        <v>-0.7688182805682543</v>
      </c>
      <c r="L391" s="3">
        <f t="shared" si="271"/>
        <v>0.6127642898170268</v>
      </c>
      <c r="M391" s="3">
        <f t="shared" si="272"/>
        <v>-0.46432905752382303</v>
      </c>
      <c r="N391" s="3">
        <f t="shared" si="273"/>
        <v>9.4368766905351797E-3</v>
      </c>
      <c r="O391" s="3">
        <f t="shared" si="274"/>
        <v>-7.1508998362048099E-3</v>
      </c>
      <c r="P391" s="3">
        <f t="shared" si="275"/>
        <v>-0.59667470388429533</v>
      </c>
      <c r="Q391" s="3">
        <f t="shared" si="276"/>
        <v>0.47556224977793804</v>
      </c>
      <c r="R391" s="3">
        <f t="shared" si="277"/>
        <v>-0.36036266294048497</v>
      </c>
      <c r="S391" s="3">
        <f t="shared" si="278"/>
        <v>7.3238966180094621E-3</v>
      </c>
      <c r="T391" s="3">
        <f t="shared" si="279"/>
        <v>-5.5497653348201914E-3</v>
      </c>
      <c r="U391" s="3">
        <f t="shared" si="280"/>
        <v>0.83376914404119495</v>
      </c>
      <c r="V391" s="3">
        <f t="shared" si="281"/>
        <v>-0.66453148986276744</v>
      </c>
      <c r="W391" s="3">
        <f t="shared" si="282"/>
        <v>0.50355623770931235</v>
      </c>
      <c r="X391" s="3">
        <f t="shared" si="283"/>
        <v>-1.0234117475555133E-2</v>
      </c>
      <c r="Y391" s="3">
        <f t="shared" si="284"/>
        <v>7.7550180403488629E-3</v>
      </c>
      <c r="Z391" s="3">
        <f t="shared" si="285"/>
        <v>0.50591498926922318</v>
      </c>
      <c r="AA391" s="3">
        <f t="shared" si="286"/>
        <v>-0.40322485422460302</v>
      </c>
      <c r="AB391" s="3">
        <f t="shared" si="287"/>
        <v>0.30554818491168595</v>
      </c>
      <c r="AC391" s="3">
        <f t="shared" si="288"/>
        <v>-6.2098645288432858E-3</v>
      </c>
      <c r="AD391" s="3">
        <f t="shared" si="289"/>
        <v>4.7055949440027254E-3</v>
      </c>
      <c r="AE391" s="3">
        <f t="shared" si="265"/>
        <v>-0.88884038333290738</v>
      </c>
      <c r="AF391" s="3">
        <f t="shared" si="290"/>
        <v>0.70842442228496139</v>
      </c>
      <c r="AG391" s="3">
        <f t="shared" si="291"/>
        <v>-0.53681660271791942</v>
      </c>
      <c r="AH391" s="3">
        <f t="shared" si="292"/>
        <v>1.0910090598887635E-2</v>
      </c>
      <c r="AI391" s="3">
        <f t="shared" si="293"/>
        <v>-8.2672443049736158E-3</v>
      </c>
      <c r="AJ391" s="3">
        <f t="shared" si="266"/>
        <v>-0.40916050979952046</v>
      </c>
      <c r="AK391" s="3">
        <f t="shared" si="294"/>
        <v>0.32610950538684208</v>
      </c>
      <c r="AL391" s="3">
        <f t="shared" si="295"/>
        <v>-0.24711315884782964</v>
      </c>
      <c r="AM391" s="3">
        <f t="shared" si="296"/>
        <v>5.0222495682083288E-3</v>
      </c>
      <c r="AN391" s="3">
        <f t="shared" si="297"/>
        <v>-3.8056663017225359E-3</v>
      </c>
      <c r="AO391" s="3">
        <f t="shared" si="267"/>
        <v>0.93337943993695638</v>
      </c>
      <c r="AP391" s="3">
        <f t="shared" si="298"/>
        <v>-0.74392298427145342</v>
      </c>
      <c r="AQ391" s="3">
        <f t="shared" si="299"/>
        <v>0.56371603877278598</v>
      </c>
      <c r="AR391" s="3"/>
      <c r="AS391" s="2"/>
      <c r="AT391" s="2"/>
    </row>
    <row r="392" spans="1:46">
      <c r="A392">
        <f t="shared" si="300"/>
        <v>389</v>
      </c>
      <c r="B392" s="1">
        <f t="shared" si="258"/>
        <v>47.976537</v>
      </c>
      <c r="C392" s="1">
        <f t="shared" si="259"/>
        <v>301.44547236775776</v>
      </c>
      <c r="D392" s="1">
        <f t="shared" si="260"/>
        <v>-0.14688895964387044</v>
      </c>
      <c r="E392" s="1">
        <f t="shared" si="261"/>
        <v>0.98915298793196871</v>
      </c>
      <c r="F392" s="2">
        <f t="shared" si="262"/>
        <v>-4813.1105406507031</v>
      </c>
      <c r="G392" s="2">
        <f t="shared" si="263"/>
        <v>32411.575955566819</v>
      </c>
      <c r="H392" s="2">
        <f t="shared" si="264"/>
        <v>-1203.3143574025867</v>
      </c>
      <c r="I392" s="3">
        <f t="shared" si="268"/>
        <v>0.11637897002586525</v>
      </c>
      <c r="J392" s="3">
        <f t="shared" si="269"/>
        <v>1.3544064664281243E-2</v>
      </c>
      <c r="K392" s="3">
        <f t="shared" si="270"/>
        <v>-0.99818990895594717</v>
      </c>
      <c r="L392" s="3">
        <f t="shared" si="271"/>
        <v>0.14662307725354884</v>
      </c>
      <c r="M392" s="3">
        <f t="shared" si="272"/>
        <v>-0.98736253096731497</v>
      </c>
      <c r="N392" s="3">
        <f t="shared" si="273"/>
        <v>1.9858724395979696E-3</v>
      </c>
      <c r="O392" s="3">
        <f t="shared" si="274"/>
        <v>-1.3372901966509705E-2</v>
      </c>
      <c r="P392" s="3">
        <f t="shared" si="275"/>
        <v>0.11854070074706792</v>
      </c>
      <c r="Q392" s="3">
        <f t="shared" si="276"/>
        <v>-1.7412320208192184E-2</v>
      </c>
      <c r="R392" s="3">
        <f t="shared" si="277"/>
        <v>0.11725488833551159</v>
      </c>
      <c r="S392" s="3">
        <f t="shared" si="278"/>
        <v>-2.3583359085492593E-4</v>
      </c>
      <c r="T392" s="3">
        <f t="shared" si="279"/>
        <v>1.5881077898192452E-3</v>
      </c>
      <c r="U392" s="3">
        <f t="shared" si="280"/>
        <v>0.98429469691290183</v>
      </c>
      <c r="V392" s="3">
        <f t="shared" si="281"/>
        <v>-0.14458202401251494</v>
      </c>
      <c r="W392" s="3">
        <f t="shared" si="282"/>
        <v>0.97361804045698841</v>
      </c>
      <c r="X392" s="3">
        <f t="shared" si="283"/>
        <v>-1.9582282825181653E-3</v>
      </c>
      <c r="Y392" s="3">
        <f t="shared" si="284"/>
        <v>1.3186745698260241E-2</v>
      </c>
      <c r="Z392" s="3">
        <f t="shared" si="285"/>
        <v>-0.23391865481899946</v>
      </c>
      <c r="AA392" s="3">
        <f t="shared" si="286"/>
        <v>3.4360067847656474E-2</v>
      </c>
      <c r="AB392" s="3">
        <f t="shared" si="287"/>
        <v>-0.23138133634724012</v>
      </c>
      <c r="AC392" s="3">
        <f t="shared" si="288"/>
        <v>4.6537498079775004E-4</v>
      </c>
      <c r="AD392" s="3">
        <f t="shared" si="289"/>
        <v>-3.1338437815948282E-3</v>
      </c>
      <c r="AE392" s="3">
        <f t="shared" si="265"/>
        <v>-0.9568750065529702</v>
      </c>
      <c r="AF392" s="3">
        <f t="shared" si="290"/>
        <v>0.14055437422178751</v>
      </c>
      <c r="AG392" s="3">
        <f t="shared" si="291"/>
        <v>-0.94649577180929256</v>
      </c>
      <c r="AH392" s="3">
        <f t="shared" si="292"/>
        <v>1.9036775333074747E-3</v>
      </c>
      <c r="AI392" s="3">
        <f t="shared" si="293"/>
        <v>-1.2819399937853844E-2</v>
      </c>
      <c r="AJ392" s="3">
        <f t="shared" si="266"/>
        <v>0.34608250260250228</v>
      </c>
      <c r="AK392" s="3">
        <f t="shared" si="294"/>
        <v>-5.0835698758228645E-2</v>
      </c>
      <c r="AL392" s="3">
        <f t="shared" si="295"/>
        <v>0.34232854152023845</v>
      </c>
      <c r="AM392" s="3">
        <f t="shared" si="296"/>
        <v>-6.8852199123537036E-4</v>
      </c>
      <c r="AN392" s="3">
        <f t="shared" si="297"/>
        <v>4.6365199027791956E-3</v>
      </c>
      <c r="AO392" s="3">
        <f t="shared" si="267"/>
        <v>0.91630759192033406</v>
      </c>
      <c r="AP392" s="3">
        <f t="shared" si="298"/>
        <v>-0.13459546889095805</v>
      </c>
      <c r="AQ392" s="3">
        <f t="shared" si="299"/>
        <v>0.90636839241274547</v>
      </c>
      <c r="AR392" s="3"/>
      <c r="AS392" s="2"/>
      <c r="AT392" s="2"/>
    </row>
    <row r="393" spans="1:46">
      <c r="A393">
        <f t="shared" si="300"/>
        <v>390</v>
      </c>
      <c r="B393" s="1">
        <f t="shared" si="258"/>
        <v>48.099870000000003</v>
      </c>
      <c r="C393" s="1">
        <f t="shared" si="259"/>
        <v>302.22039646124819</v>
      </c>
      <c r="D393" s="1">
        <f t="shared" si="260"/>
        <v>0.58712423980514428</v>
      </c>
      <c r="E393" s="1">
        <f t="shared" si="261"/>
        <v>0.80949683571539144</v>
      </c>
      <c r="F393" s="2">
        <f t="shared" si="262"/>
        <v>19238.299965695162</v>
      </c>
      <c r="G393" s="2">
        <f t="shared" si="263"/>
        <v>26524.782815886232</v>
      </c>
      <c r="H393" s="2">
        <f t="shared" si="264"/>
        <v>4809.7217724837419</v>
      </c>
      <c r="I393" s="3">
        <f t="shared" si="268"/>
        <v>0.10865215008547477</v>
      </c>
      <c r="J393" s="3">
        <f t="shared" si="269"/>
        <v>1.1805289718196535E-2</v>
      </c>
      <c r="K393" s="3">
        <f t="shared" si="270"/>
        <v>-0.68647997510681202</v>
      </c>
      <c r="L393" s="3">
        <f t="shared" si="271"/>
        <v>-0.40304903352604138</v>
      </c>
      <c r="M393" s="3">
        <f t="shared" si="272"/>
        <v>-0.55570336763094497</v>
      </c>
      <c r="N393" s="3">
        <f t="shared" si="273"/>
        <v>-4.7581106114140265E-3</v>
      </c>
      <c r="O393" s="3">
        <f t="shared" si="274"/>
        <v>-6.5602392522607841E-3</v>
      </c>
      <c r="P393" s="3">
        <f t="shared" si="275"/>
        <v>0.76881828056828372</v>
      </c>
      <c r="Q393" s="3">
        <f t="shared" si="276"/>
        <v>0.45139184852695169</v>
      </c>
      <c r="R393" s="3">
        <f t="shared" si="277"/>
        <v>0.62235596536017368</v>
      </c>
      <c r="S393" s="3">
        <f t="shared" si="278"/>
        <v>5.3288115482929511E-3</v>
      </c>
      <c r="T393" s="3">
        <f t="shared" si="279"/>
        <v>7.3470924789247371E-3</v>
      </c>
      <c r="U393" s="3">
        <f t="shared" si="280"/>
        <v>0.58993097658574445</v>
      </c>
      <c r="V393" s="3">
        <f t="shared" si="281"/>
        <v>0.34636277616541156</v>
      </c>
      <c r="W393" s="3">
        <f t="shared" si="282"/>
        <v>0.47754725883665083</v>
      </c>
      <c r="X393" s="3">
        <f t="shared" si="283"/>
        <v>4.0889129202315412E-3</v>
      </c>
      <c r="Y393" s="3">
        <f t="shared" si="284"/>
        <v>5.6375837446972533E-3</v>
      </c>
      <c r="Z393" s="3">
        <f t="shared" si="285"/>
        <v>-0.8429024255807559</v>
      </c>
      <c r="AA393" s="3">
        <f t="shared" si="286"/>
        <v>-0.49488844584901348</v>
      </c>
      <c r="AB393" s="3">
        <f t="shared" si="287"/>
        <v>-0.68232684632445006</v>
      </c>
      <c r="AC393" s="3">
        <f t="shared" si="288"/>
        <v>-5.8423014814356217E-3</v>
      </c>
      <c r="AD393" s="3">
        <f t="shared" si="289"/>
        <v>-8.0550661033634979E-3</v>
      </c>
      <c r="AE393" s="3">
        <f t="shared" si="265"/>
        <v>-0.48407841415627811</v>
      </c>
      <c r="AF393" s="3">
        <f t="shared" si="290"/>
        <v>-0.28421417091758455</v>
      </c>
      <c r="AG393" s="3">
        <f t="shared" si="291"/>
        <v>-0.3918599444976319</v>
      </c>
      <c r="AH393" s="3">
        <f t="shared" si="292"/>
        <v>-3.3552306296991139E-3</v>
      </c>
      <c r="AI393" s="3">
        <f t="shared" si="293"/>
        <v>-4.6260201737509587E-3</v>
      </c>
      <c r="AJ393" s="3">
        <f t="shared" si="266"/>
        <v>0.90369349581637892</v>
      </c>
      <c r="AK393" s="3">
        <f t="shared" si="294"/>
        <v>0.53058035674804482</v>
      </c>
      <c r="AL393" s="3">
        <f t="shared" si="295"/>
        <v>0.73153702531993903</v>
      </c>
      <c r="AM393" s="3">
        <f t="shared" si="296"/>
        <v>6.2636548301947424E-3</v>
      </c>
      <c r="AN393" s="3">
        <f t="shared" si="297"/>
        <v>8.6360065234895554E-3</v>
      </c>
      <c r="AO393" s="3">
        <f t="shared" si="267"/>
        <v>0.37059164596113997</v>
      </c>
      <c r="AP393" s="3">
        <f t="shared" si="298"/>
        <v>0.21758333841307148</v>
      </c>
      <c r="AQ393" s="3">
        <f t="shared" si="299"/>
        <v>0.29999276474810144</v>
      </c>
      <c r="AR393" s="3"/>
      <c r="AS393" s="2"/>
      <c r="AT393" s="2"/>
    </row>
    <row r="394" spans="1:46">
      <c r="A394">
        <f t="shared" si="300"/>
        <v>391</v>
      </c>
      <c r="B394" s="1">
        <f t="shared" si="258"/>
        <v>48.223202999999998</v>
      </c>
      <c r="C394" s="1">
        <f t="shared" si="259"/>
        <v>302.99532055473856</v>
      </c>
      <c r="D394" s="1">
        <f t="shared" si="260"/>
        <v>0.98585913813411574</v>
      </c>
      <c r="E394" s="1">
        <f t="shared" si="261"/>
        <v>0.16757613122834175</v>
      </c>
      <c r="F394" s="2">
        <f t="shared" si="262"/>
        <v>32303.64637924057</v>
      </c>
      <c r="G394" s="2">
        <f t="shared" si="263"/>
        <v>5490.9670919590744</v>
      </c>
      <c r="H394" s="2">
        <f t="shared" si="264"/>
        <v>8076.1580595946762</v>
      </c>
      <c r="I394" s="3">
        <f t="shared" si="268"/>
        <v>0.10091876002735672</v>
      </c>
      <c r="J394" s="3">
        <f t="shared" si="269"/>
        <v>1.0184596125459213E-2</v>
      </c>
      <c r="K394" s="3">
        <f t="shared" si="270"/>
        <v>-2.6548214558084638E-3</v>
      </c>
      <c r="L394" s="3">
        <f t="shared" si="271"/>
        <v>-2.6172799923232905E-3</v>
      </c>
      <c r="M394" s="3">
        <f t="shared" si="272"/>
        <v>-4.4488470866637644E-4</v>
      </c>
      <c r="N394" s="3">
        <f t="shared" si="273"/>
        <v>-2.6655939669057705E-5</v>
      </c>
      <c r="O394" s="3">
        <f t="shared" si="274"/>
        <v>-4.530971080159628E-6</v>
      </c>
      <c r="P394" s="3">
        <f t="shared" si="275"/>
        <v>0.99792923576372927</v>
      </c>
      <c r="Q394" s="3">
        <f t="shared" si="276"/>
        <v>0.98381765628886697</v>
      </c>
      <c r="R394" s="3">
        <f t="shared" si="277"/>
        <v>0.16722912056894149</v>
      </c>
      <c r="S394" s="3">
        <f t="shared" si="278"/>
        <v>1.0019785490397958E-2</v>
      </c>
      <c r="T394" s="3">
        <f t="shared" si="279"/>
        <v>1.7031610534103932E-3</v>
      </c>
      <c r="U394" s="3">
        <f t="shared" si="280"/>
        <v>-0.13100878044814093</v>
      </c>
      <c r="V394" s="3">
        <f t="shared" si="281"/>
        <v>-0.12915620338060582</v>
      </c>
      <c r="W394" s="3">
        <f t="shared" si="282"/>
        <v>-2.1953944584442678E-2</v>
      </c>
      <c r="X394" s="3">
        <f t="shared" si="283"/>
        <v>-1.3154037685291402E-3</v>
      </c>
      <c r="Y394" s="3">
        <f t="shared" si="284"/>
        <v>-2.2359205895326119E-4</v>
      </c>
      <c r="Z394" s="3">
        <f t="shared" si="285"/>
        <v>-0.98038179367246636</v>
      </c>
      <c r="AA394" s="3">
        <f t="shared" si="286"/>
        <v>-0.96651835015231613</v>
      </c>
      <c r="AB394" s="3">
        <f t="shared" si="287"/>
        <v>-0.16428858811033428</v>
      </c>
      <c r="AC394" s="3">
        <f t="shared" si="288"/>
        <v>-9.8435990441465091E-3</v>
      </c>
      <c r="AD394" s="3">
        <f t="shared" si="289"/>
        <v>-1.673212917925675E-3</v>
      </c>
      <c r="AE394" s="3">
        <f t="shared" si="265"/>
        <v>0.26232206107673045</v>
      </c>
      <c r="AF394" s="3">
        <f t="shared" si="290"/>
        <v>0.25861260104667033</v>
      </c>
      <c r="AG394" s="3">
        <f t="shared" si="291"/>
        <v>4.3958916131083263E-2</v>
      </c>
      <c r="AH394" s="3">
        <f t="shared" si="292"/>
        <v>2.633864894614848E-3</v>
      </c>
      <c r="AI394" s="3">
        <f t="shared" si="293"/>
        <v>4.4770380690801705E-4</v>
      </c>
      <c r="AJ394" s="3">
        <f t="shared" si="266"/>
        <v>0.94524612444280609</v>
      </c>
      <c r="AK394" s="3">
        <f t="shared" si="294"/>
        <v>0.93187952956779796</v>
      </c>
      <c r="AL394" s="3">
        <f t="shared" si="295"/>
        <v>0.15840068859270914</v>
      </c>
      <c r="AM394" s="3">
        <f t="shared" si="296"/>
        <v>9.4908166462309498E-3</v>
      </c>
      <c r="AN394" s="3">
        <f t="shared" si="297"/>
        <v>1.6132470393113768E-3</v>
      </c>
      <c r="AO394" s="3">
        <f t="shared" si="267"/>
        <v>-0.38892923636620413</v>
      </c>
      <c r="AP394" s="3">
        <f t="shared" si="298"/>
        <v>-0.38342944175914578</v>
      </c>
      <c r="AQ394" s="3">
        <f t="shared" si="299"/>
        <v>-6.517525675184177E-2</v>
      </c>
      <c r="AR394" s="3"/>
      <c r="AS394" s="2"/>
      <c r="AT394" s="2"/>
    </row>
    <row r="395" spans="1:46">
      <c r="A395">
        <f t="shared" si="300"/>
        <v>392</v>
      </c>
      <c r="B395" s="1">
        <f t="shared" si="258"/>
        <v>48.346536</v>
      </c>
      <c r="C395" s="1">
        <f t="shared" si="259"/>
        <v>303.77024464822892</v>
      </c>
      <c r="D395" s="1">
        <f t="shared" si="260"/>
        <v>0.821617489817832</v>
      </c>
      <c r="E395" s="1">
        <f t="shared" si="261"/>
        <v>-0.57003920955092624</v>
      </c>
      <c r="F395" s="2">
        <f t="shared" si="262"/>
        <v>26921.9402888609</v>
      </c>
      <c r="G395" s="2">
        <f t="shared" si="263"/>
        <v>-18678.474779355201</v>
      </c>
      <c r="H395" s="2">
        <f t="shared" si="264"/>
        <v>6730.6904765876798</v>
      </c>
      <c r="I395" s="3">
        <f t="shared" si="268"/>
        <v>9.3179267484071709E-2</v>
      </c>
      <c r="J395" s="3">
        <f t="shared" si="269"/>
        <v>8.682375888868183E-3</v>
      </c>
      <c r="K395" s="3">
        <f t="shared" si="270"/>
        <v>0.68260941200139147</v>
      </c>
      <c r="L395" s="3">
        <f t="shared" si="271"/>
        <v>0.5608438316146096</v>
      </c>
      <c r="M395" s="3">
        <f t="shared" si="272"/>
        <v>-0.38911412964929576</v>
      </c>
      <c r="N395" s="3">
        <f t="shared" si="273"/>
        <v>4.8694569610311335E-3</v>
      </c>
      <c r="O395" s="3">
        <f t="shared" si="274"/>
        <v>-3.3784351372849737E-3</v>
      </c>
      <c r="P395" s="3">
        <f t="shared" si="275"/>
        <v>0.68036420982714862</v>
      </c>
      <c r="Q395" s="3">
        <f t="shared" si="276"/>
        <v>0.55899913424007464</v>
      </c>
      <c r="R395" s="3">
        <f t="shared" si="277"/>
        <v>-0.38783427637660833</v>
      </c>
      <c r="S395" s="3">
        <f t="shared" si="278"/>
        <v>4.8534406050242127E-3</v>
      </c>
      <c r="T395" s="3">
        <f t="shared" si="279"/>
        <v>-3.3673229700889036E-3</v>
      </c>
      <c r="U395" s="3">
        <f t="shared" si="280"/>
        <v>-0.77942424228374307</v>
      </c>
      <c r="V395" s="3">
        <f t="shared" si="281"/>
        <v>-0.64038858944833466</v>
      </c>
      <c r="W395" s="3">
        <f t="shared" si="282"/>
        <v>0.44430237897625452</v>
      </c>
      <c r="X395" s="3">
        <f t="shared" si="283"/>
        <v>-5.5600944485325269E-3</v>
      </c>
      <c r="Y395" s="3">
        <f t="shared" si="284"/>
        <v>3.8576002625902062E-3</v>
      </c>
      <c r="Z395" s="3">
        <f t="shared" si="285"/>
        <v>-0.56945328205535672</v>
      </c>
      <c r="AA395" s="3">
        <f t="shared" si="286"/>
        <v>-0.46787277617084805</v>
      </c>
      <c r="AB395" s="3">
        <f t="shared" si="287"/>
        <v>0.32461069877901622</v>
      </c>
      <c r="AC395" s="3">
        <f t="shared" si="288"/>
        <v>-4.0622473108835912E-3</v>
      </c>
      <c r="AD395" s="3">
        <f t="shared" si="289"/>
        <v>2.818392104347583E-3</v>
      </c>
      <c r="AE395" s="3">
        <f t="shared" si="265"/>
        <v>0.86045661003557472</v>
      </c>
      <c r="AF395" s="3">
        <f t="shared" si="290"/>
        <v>0.7069662000345901</v>
      </c>
      <c r="AG395" s="3">
        <f t="shared" si="291"/>
        <v>-0.4904940058375486</v>
      </c>
      <c r="AH395" s="3">
        <f t="shared" si="292"/>
        <v>6.1381462894250852E-3</v>
      </c>
      <c r="AI395" s="3">
        <f t="shared" si="293"/>
        <v>-4.2586533299183013E-3</v>
      </c>
      <c r="AJ395" s="3">
        <f t="shared" si="266"/>
        <v>0.44701156707000461</v>
      </c>
      <c r="AK395" s="3">
        <f t="shared" si="294"/>
        <v>0.36727252165559265</v>
      </c>
      <c r="AL395" s="3">
        <f t="shared" si="295"/>
        <v>-0.25481412035270629</v>
      </c>
      <c r="AM395" s="3">
        <f t="shared" si="296"/>
        <v>3.1887980866663352E-3</v>
      </c>
      <c r="AN395" s="3">
        <f t="shared" si="297"/>
        <v>-2.2123919746934923E-3</v>
      </c>
      <c r="AO395" s="3">
        <f t="shared" si="267"/>
        <v>-0.92406570112977771</v>
      </c>
      <c r="AP395" s="3">
        <f t="shared" si="298"/>
        <v>-0.7592285417890029</v>
      </c>
      <c r="AQ395" s="3">
        <f t="shared" si="299"/>
        <v>0.52675368184514093</v>
      </c>
      <c r="AR395" s="3"/>
      <c r="AS395" s="2"/>
      <c r="AT395" s="2"/>
    </row>
    <row r="396" spans="1:46">
      <c r="A396">
        <f t="shared" si="300"/>
        <v>393</v>
      </c>
      <c r="B396" s="1">
        <f t="shared" si="258"/>
        <v>48.469869000000003</v>
      </c>
      <c r="C396" s="1">
        <f t="shared" si="259"/>
        <v>304.54516874171929</v>
      </c>
      <c r="D396" s="1">
        <f t="shared" si="260"/>
        <v>0.18818976897963277</v>
      </c>
      <c r="E396" s="1">
        <f t="shared" si="261"/>
        <v>-0.98213268495218731</v>
      </c>
      <c r="F396" s="2">
        <f t="shared" si="262"/>
        <v>6166.4141601556266</v>
      </c>
      <c r="G396" s="2">
        <f t="shared" si="263"/>
        <v>-32181.541687828321</v>
      </c>
      <c r="H396" s="2">
        <f t="shared" si="264"/>
        <v>1541.6505874811517</v>
      </c>
      <c r="I396" s="3">
        <f t="shared" si="268"/>
        <v>8.5434140457192817E-2</v>
      </c>
      <c r="J396" s="3">
        <f t="shared" si="269"/>
        <v>7.2989923556593507E-3</v>
      </c>
      <c r="K396" s="3">
        <f t="shared" si="270"/>
        <v>0.99785651371900796</v>
      </c>
      <c r="L396" s="3">
        <f t="shared" si="271"/>
        <v>0.18778638679160187</v>
      </c>
      <c r="M396" s="3">
        <f t="shared" si="272"/>
        <v>-0.98002749701587843</v>
      </c>
      <c r="N396" s="3">
        <f t="shared" si="273"/>
        <v>1.3706514016887921E-3</v>
      </c>
      <c r="O396" s="3">
        <f t="shared" si="274"/>
        <v>-7.153213209054864E-3</v>
      </c>
      <c r="P396" s="3">
        <f t="shared" si="275"/>
        <v>-9.9113837577953241E-3</v>
      </c>
      <c r="Q396" s="3">
        <f t="shared" si="276"/>
        <v>-1.8652210196479866E-3</v>
      </c>
      <c r="R396" s="3">
        <f t="shared" si="277"/>
        <v>9.7342939416350215E-3</v>
      </c>
      <c r="S396" s="3">
        <f t="shared" si="278"/>
        <v>-1.3614233964025793E-5</v>
      </c>
      <c r="T396" s="3">
        <f t="shared" si="279"/>
        <v>7.1050537067735153E-5</v>
      </c>
      <c r="U396" s="3">
        <f t="shared" si="280"/>
        <v>-0.99636332796533988</v>
      </c>
      <c r="V396" s="3">
        <f t="shared" si="281"/>
        <v>-0.18750538450957538</v>
      </c>
      <c r="W396" s="3">
        <f t="shared" si="282"/>
        <v>0.97856099048249601</v>
      </c>
      <c r="X396" s="3">
        <f t="shared" si="283"/>
        <v>-1.3686003681803579E-3</v>
      </c>
      <c r="Y396" s="3">
        <f t="shared" si="284"/>
        <v>7.1425091890781811E-3</v>
      </c>
      <c r="Z396" s="3">
        <f t="shared" si="285"/>
        <v>0.16001711703942118</v>
      </c>
      <c r="AA396" s="3">
        <f t="shared" si="286"/>
        <v>3.0113584288435531E-2</v>
      </c>
      <c r="AB396" s="3">
        <f t="shared" si="287"/>
        <v>-0.15715804079623513</v>
      </c>
      <c r="AC396" s="3">
        <f t="shared" si="288"/>
        <v>2.1979882152279448E-4</v>
      </c>
      <c r="AD396" s="3">
        <f t="shared" si="289"/>
        <v>-1.1470953384021207E-3</v>
      </c>
      <c r="AE396" s="3">
        <f t="shared" si="265"/>
        <v>0.9722561714526049</v>
      </c>
      <c r="AF396" s="3">
        <f t="shared" si="290"/>
        <v>0.18296866429468794</v>
      </c>
      <c r="AG396" s="3">
        <f t="shared" si="291"/>
        <v>-0.95488456413008105</v>
      </c>
      <c r="AH396" s="3">
        <f t="shared" si="292"/>
        <v>1.3354868820121292E-3</v>
      </c>
      <c r="AI396" s="3">
        <f t="shared" si="293"/>
        <v>-6.9696951341225721E-3</v>
      </c>
      <c r="AJ396" s="3">
        <f t="shared" si="266"/>
        <v>-0.30649102014011376</v>
      </c>
      <c r="AK396" s="3">
        <f t="shared" si="294"/>
        <v>-5.7678474274499986E-2</v>
      </c>
      <c r="AL396" s="3">
        <f t="shared" si="295"/>
        <v>0.30101484852394483</v>
      </c>
      <c r="AM396" s="3">
        <f t="shared" si="296"/>
        <v>-4.2099474281566992E-4</v>
      </c>
      <c r="AN396" s="3">
        <f t="shared" si="297"/>
        <v>2.1971050783162311E-3</v>
      </c>
      <c r="AO396" s="3">
        <f t="shared" si="267"/>
        <v>-0.92608219251230239</v>
      </c>
      <c r="AP396" s="3">
        <f t="shared" si="298"/>
        <v>-0.17427919386504198</v>
      </c>
      <c r="AQ396" s="3">
        <f t="shared" si="299"/>
        <v>0.90953559021851593</v>
      </c>
      <c r="AR396" s="3"/>
      <c r="AS396" s="2"/>
      <c r="AT396" s="2"/>
    </row>
    <row r="397" spans="1:46">
      <c r="A397">
        <f t="shared" si="300"/>
        <v>394</v>
      </c>
      <c r="B397" s="1">
        <f t="shared" si="258"/>
        <v>48.593201999999998</v>
      </c>
      <c r="C397" s="1">
        <f t="shared" si="259"/>
        <v>305.32009283520966</v>
      </c>
      <c r="D397" s="1">
        <f t="shared" si="260"/>
        <v>-0.55270404123786798</v>
      </c>
      <c r="E397" s="1">
        <f t="shared" si="261"/>
        <v>-0.83337761116994802</v>
      </c>
      <c r="F397" s="2">
        <f t="shared" si="262"/>
        <v>-18110.45331924122</v>
      </c>
      <c r="G397" s="2">
        <f t="shared" si="263"/>
        <v>-27307.284185205688</v>
      </c>
      <c r="H397" s="2">
        <f t="shared" si="264"/>
        <v>-4527.7515058206145</v>
      </c>
      <c r="I397" s="3">
        <f t="shared" si="268"/>
        <v>7.7683847289006736E-2</v>
      </c>
      <c r="J397" s="3">
        <f t="shared" si="269"/>
        <v>6.0347801296217187E-3</v>
      </c>
      <c r="K397" s="3">
        <f t="shared" si="270"/>
        <v>0.77220277433711804</v>
      </c>
      <c r="L397" s="3">
        <f t="shared" si="271"/>
        <v>-0.42679959403121853</v>
      </c>
      <c r="M397" s="3">
        <f t="shared" si="272"/>
        <v>-0.64353650341587387</v>
      </c>
      <c r="N397" s="3">
        <f t="shared" si="273"/>
        <v>-2.5756417093902141E-3</v>
      </c>
      <c r="O397" s="3">
        <f t="shared" si="274"/>
        <v>-3.883601303500355E-3</v>
      </c>
      <c r="P397" s="3">
        <f t="shared" si="275"/>
        <v>-0.69475741856643736</v>
      </c>
      <c r="Q397" s="3">
        <f t="shared" si="276"/>
        <v>0.38399523292165888</v>
      </c>
      <c r="R397" s="3">
        <f t="shared" si="277"/>
        <v>0.57899527782749727</v>
      </c>
      <c r="S397" s="3">
        <f t="shared" si="278"/>
        <v>2.3173268015050908E-3</v>
      </c>
      <c r="T397" s="3">
        <f t="shared" si="279"/>
        <v>3.4941091977781866E-3</v>
      </c>
      <c r="U397" s="3">
        <f t="shared" si="280"/>
        <v>-0.66173214579952933</v>
      </c>
      <c r="V397" s="3">
        <f t="shared" si="281"/>
        <v>0.36574203120040594</v>
      </c>
      <c r="W397" s="3">
        <f t="shared" si="282"/>
        <v>0.55147275490077552</v>
      </c>
      <c r="X397" s="3">
        <f t="shared" si="283"/>
        <v>2.2071727424556962E-3</v>
      </c>
      <c r="Y397" s="3">
        <f t="shared" si="284"/>
        <v>3.3280168233029484E-3</v>
      </c>
      <c r="Z397" s="3">
        <f t="shared" si="285"/>
        <v>0.79997682913543844</v>
      </c>
      <c r="AA397" s="3">
        <f t="shared" si="286"/>
        <v>-0.44215042635981222</v>
      </c>
      <c r="AB397" s="3">
        <f t="shared" si="287"/>
        <v>-0.66668277885620131</v>
      </c>
      <c r="AC397" s="3">
        <f t="shared" si="288"/>
        <v>-2.6682806072999658E-3</v>
      </c>
      <c r="AD397" s="3">
        <f t="shared" si="289"/>
        <v>-4.0232839866023943E-3</v>
      </c>
      <c r="AE397" s="3">
        <f t="shared" si="265"/>
        <v>0.53453099505478452</v>
      </c>
      <c r="AF397" s="3">
        <f t="shared" si="290"/>
        <v>-0.2954374411336782</v>
      </c>
      <c r="AG397" s="3">
        <f t="shared" si="291"/>
        <v>-0.4454661637550516</v>
      </c>
      <c r="AH397" s="3">
        <f t="shared" si="292"/>
        <v>-1.7828999992998077E-3</v>
      </c>
      <c r="AI397" s="3">
        <f t="shared" si="293"/>
        <v>-2.6882903534478004E-3</v>
      </c>
      <c r="AJ397" s="3">
        <f t="shared" si="266"/>
        <v>-0.8849704879557625</v>
      </c>
      <c r="AK397" s="3">
        <f t="shared" si="294"/>
        <v>0.4891267650693979</v>
      </c>
      <c r="AL397" s="3">
        <f t="shared" si="295"/>
        <v>0.73751459120847662</v>
      </c>
      <c r="AM397" s="3">
        <f t="shared" si="296"/>
        <v>2.951772482706953E-3</v>
      </c>
      <c r="AN397" s="3">
        <f t="shared" si="297"/>
        <v>4.4507384003309993E-3</v>
      </c>
      <c r="AO397" s="3">
        <f t="shared" si="267"/>
        <v>-0.39381533887157932</v>
      </c>
      <c r="AP397" s="3">
        <f t="shared" si="298"/>
        <v>0.21766332929578233</v>
      </c>
      <c r="AQ397" s="3">
        <f t="shared" si="299"/>
        <v>0.32819688635088035</v>
      </c>
      <c r="AR397" s="3"/>
      <c r="AS397" s="2"/>
      <c r="AT397" s="2"/>
    </row>
    <row r="398" spans="1:46">
      <c r="A398">
        <f t="shared" si="300"/>
        <v>395</v>
      </c>
      <c r="B398" s="1">
        <f t="shared" si="258"/>
        <v>48.716535</v>
      </c>
      <c r="C398" s="1">
        <f t="shared" si="259"/>
        <v>306.09501692870009</v>
      </c>
      <c r="D398" s="1">
        <f t="shared" si="260"/>
        <v>-0.97797526358558928</v>
      </c>
      <c r="E398" s="1">
        <f t="shared" si="261"/>
        <v>-0.2087208274578683</v>
      </c>
      <c r="F398" s="2">
        <f t="shared" si="262"/>
        <v>-32045.315461909006</v>
      </c>
      <c r="G398" s="2">
        <f t="shared" si="263"/>
        <v>-6839.1553533119704</v>
      </c>
      <c r="H398" s="2">
        <f t="shared" si="264"/>
        <v>-8011.5733592931474</v>
      </c>
      <c r="I398" s="3">
        <f t="shared" si="268"/>
        <v>6.9928856634191267E-2</v>
      </c>
      <c r="J398" s="3">
        <f t="shared" si="269"/>
        <v>4.8900449901652758E-3</v>
      </c>
      <c r="K398" s="3">
        <f t="shared" si="270"/>
        <v>0.12796667928007766</v>
      </c>
      <c r="L398" s="3">
        <f t="shared" si="271"/>
        <v>-0.1251482468991065</v>
      </c>
      <c r="M398" s="3">
        <f t="shared" si="272"/>
        <v>-2.6709311186373458E-2</v>
      </c>
      <c r="N398" s="3">
        <f t="shared" si="273"/>
        <v>-6.1198055777694283E-4</v>
      </c>
      <c r="O398" s="3">
        <f t="shared" si="274"/>
        <v>-1.3060973335769088E-4</v>
      </c>
      <c r="P398" s="3">
        <f t="shared" si="275"/>
        <v>-0.99900813676135747</v>
      </c>
      <c r="Q398" s="3">
        <f t="shared" si="276"/>
        <v>0.97700524587333704</v>
      </c>
      <c r="R398" s="3">
        <f t="shared" si="277"/>
        <v>0.20851380494197377</v>
      </c>
      <c r="S398" s="3">
        <f t="shared" si="278"/>
        <v>4.7775996079481055E-3</v>
      </c>
      <c r="T398" s="3">
        <f t="shared" si="279"/>
        <v>1.0196418872367985E-3</v>
      </c>
      <c r="U398" s="3">
        <f t="shared" si="280"/>
        <v>3.9223013431208369E-2</v>
      </c>
      <c r="V398" s="3">
        <f t="shared" si="281"/>
        <v>-3.8359136899007114E-2</v>
      </c>
      <c r="W398" s="3">
        <f t="shared" si="282"/>
        <v>-8.1866598187528925E-3</v>
      </c>
      <c r="X398" s="3">
        <f t="shared" si="283"/>
        <v>-1.875779052200537E-4</v>
      </c>
      <c r="Y398" s="3">
        <f t="shared" si="284"/>
        <v>-4.0033134832879942E-5</v>
      </c>
      <c r="Z398" s="3">
        <f t="shared" si="285"/>
        <v>0.99244394241552714</v>
      </c>
      <c r="AA398" s="3">
        <f t="shared" si="286"/>
        <v>-0.97058562617774657</v>
      </c>
      <c r="AB398" s="3">
        <f t="shared" si="287"/>
        <v>-0.20714372086651781</v>
      </c>
      <c r="AC398" s="3">
        <f t="shared" si="288"/>
        <v>-4.7462073788169159E-3</v>
      </c>
      <c r="AD398" s="3">
        <f t="shared" si="289"/>
        <v>-1.0129421144675097E-3</v>
      </c>
      <c r="AE398" s="3">
        <f t="shared" si="265"/>
        <v>-0.20531415089029084</v>
      </c>
      <c r="AF398" s="3">
        <f t="shared" si="290"/>
        <v>0.20079216083478363</v>
      </c>
      <c r="AG398" s="3">
        <f t="shared" si="291"/>
        <v>4.2853339462631132E-2</v>
      </c>
      <c r="AH398" s="3">
        <f t="shared" si="292"/>
        <v>9.8188270015459392E-4</v>
      </c>
      <c r="AI398" s="3">
        <f t="shared" si="293"/>
        <v>2.0955475795109127E-4</v>
      </c>
      <c r="AJ398" s="3">
        <f t="shared" si="266"/>
        <v>-0.9580834517113096</v>
      </c>
      <c r="AK398" s="3">
        <f t="shared" si="294"/>
        <v>0.93698191622435922</v>
      </c>
      <c r="AL398" s="3">
        <f t="shared" si="295"/>
        <v>0.19997197081487514</v>
      </c>
      <c r="AM398" s="3">
        <f t="shared" si="296"/>
        <v>4.5818837253083873E-3</v>
      </c>
      <c r="AN398" s="3">
        <f t="shared" si="297"/>
        <v>9.778719340567568E-4</v>
      </c>
      <c r="AO398" s="3">
        <f t="shared" si="267"/>
        <v>0.36565486483343801</v>
      </c>
      <c r="AP398" s="3">
        <f t="shared" si="298"/>
        <v>-0.35760141281683455</v>
      </c>
      <c r="AQ398" s="3">
        <f t="shared" si="299"/>
        <v>-7.6319785952030164E-2</v>
      </c>
      <c r="AR398" s="3"/>
      <c r="AS398" s="2"/>
      <c r="AT398" s="2"/>
    </row>
    <row r="399" spans="1:46">
      <c r="A399">
        <f t="shared" si="300"/>
        <v>396</v>
      </c>
      <c r="B399" s="1">
        <f t="shared" si="258"/>
        <v>48.839868000000003</v>
      </c>
      <c r="C399" s="1">
        <f t="shared" si="259"/>
        <v>306.86994102219046</v>
      </c>
      <c r="D399" s="1">
        <f t="shared" si="260"/>
        <v>-0.84477203933032652</v>
      </c>
      <c r="E399" s="1">
        <f t="shared" si="261"/>
        <v>0.53512634168547635</v>
      </c>
      <c r="F399" s="2">
        <f t="shared" si="262"/>
        <v>-27680.645412736809</v>
      </c>
      <c r="G399" s="2">
        <f t="shared" si="263"/>
        <v>17534.484838008004</v>
      </c>
      <c r="H399" s="2">
        <f t="shared" si="264"/>
        <v>-6920.3725461940348</v>
      </c>
      <c r="I399" s="3">
        <f t="shared" si="268"/>
        <v>6.2169637431480525E-2</v>
      </c>
      <c r="J399" s="3">
        <f t="shared" si="269"/>
        <v>3.8650638183617444E-3</v>
      </c>
      <c r="K399" s="3">
        <f t="shared" si="270"/>
        <v>-0.5856353852362125</v>
      </c>
      <c r="L399" s="3">
        <f t="shared" si="271"/>
        <v>0.49472839868999663</v>
      </c>
      <c r="M399" s="3">
        <f t="shared" si="272"/>
        <v>-0.31338892126301904</v>
      </c>
      <c r="N399" s="3">
        <f t="shared" si="273"/>
        <v>1.91215683369275E-3</v>
      </c>
      <c r="O399" s="3">
        <f t="shared" si="274"/>
        <v>-1.2112681806491124E-3</v>
      </c>
      <c r="P399" s="3">
        <f t="shared" si="275"/>
        <v>-0.75599184067247926</v>
      </c>
      <c r="Q399" s="3">
        <f t="shared" si="276"/>
        <v>0.63864076896197763</v>
      </c>
      <c r="R399" s="3">
        <f t="shared" si="277"/>
        <v>-0.40455114804313336</v>
      </c>
      <c r="S399" s="3">
        <f t="shared" si="278"/>
        <v>2.4683873290456616E-3</v>
      </c>
      <c r="T399" s="3">
        <f t="shared" si="279"/>
        <v>-1.5636160049782202E-3</v>
      </c>
      <c r="U399" s="3">
        <f t="shared" si="280"/>
        <v>0.71846496080757716</v>
      </c>
      <c r="V399" s="3">
        <f t="shared" si="281"/>
        <v>-0.60693911012880009</v>
      </c>
      <c r="W399" s="3">
        <f t="shared" si="282"/>
        <v>0.38446952610615792</v>
      </c>
      <c r="X399" s="3">
        <f t="shared" si="283"/>
        <v>-2.3458583945074993E-3</v>
      </c>
      <c r="Y399" s="3">
        <f t="shared" si="284"/>
        <v>1.4859992546155971E-3</v>
      </c>
      <c r="Z399" s="3">
        <f t="shared" si="285"/>
        <v>0.62975582769905503</v>
      </c>
      <c r="AA399" s="3">
        <f t="shared" si="286"/>
        <v>-0.53200011484548848</v>
      </c>
      <c r="AB399" s="3">
        <f t="shared" si="287"/>
        <v>0.33699893223170452</v>
      </c>
      <c r="AC399" s="3">
        <f t="shared" si="288"/>
        <v>-2.0562143952535901E-3</v>
      </c>
      <c r="AD399" s="3">
        <f t="shared" si="289"/>
        <v>1.3025223797953026E-3</v>
      </c>
      <c r="AE399" s="3">
        <f t="shared" si="265"/>
        <v>-0.82911456680387807</v>
      </c>
      <c r="AF399" s="3">
        <f t="shared" si="290"/>
        <v>0.70041280343739232</v>
      </c>
      <c r="AG399" s="3">
        <f t="shared" si="291"/>
        <v>-0.44368104497189775</v>
      </c>
      <c r="AH399" s="3">
        <f t="shared" si="292"/>
        <v>2.7071401844831816E-3</v>
      </c>
      <c r="AI399" s="3">
        <f t="shared" si="293"/>
        <v>-1.714855553813812E-3</v>
      </c>
      <c r="AJ399" s="3">
        <f t="shared" si="266"/>
        <v>-0.48407841415624725</v>
      </c>
      <c r="AK399" s="3">
        <f t="shared" si="294"/>
        <v>0.40893590912256339</v>
      </c>
      <c r="AL399" s="3">
        <f t="shared" si="295"/>
        <v>-0.25904311085633952</v>
      </c>
      <c r="AM399" s="3">
        <f t="shared" si="296"/>
        <v>1.5805633863784862E-3</v>
      </c>
      <c r="AN399" s="3">
        <f t="shared" si="297"/>
        <v>-1.0012181551667082E-3</v>
      </c>
      <c r="AO399" s="3">
        <f t="shared" si="267"/>
        <v>0.91416830261991766</v>
      </c>
      <c r="AP399" s="3">
        <f t="shared" si="298"/>
        <v>-0.77226382129537097</v>
      </c>
      <c r="AQ399" s="3">
        <f t="shared" si="299"/>
        <v>0.48919553946581801</v>
      </c>
      <c r="AR399" s="3"/>
      <c r="AS399" s="2"/>
      <c r="AT399" s="2"/>
    </row>
    <row r="400" spans="1:46">
      <c r="A400">
        <f t="shared" si="300"/>
        <v>397</v>
      </c>
      <c r="B400" s="1">
        <f t="shared" si="258"/>
        <v>48.963200999999998</v>
      </c>
      <c r="C400" s="1">
        <f t="shared" si="259"/>
        <v>307.64486511568083</v>
      </c>
      <c r="D400" s="1">
        <f t="shared" si="260"/>
        <v>-0.22916029745988456</v>
      </c>
      <c r="E400" s="1">
        <f t="shared" si="261"/>
        <v>0.97338869834619368</v>
      </c>
      <c r="F400" s="2">
        <f t="shared" si="262"/>
        <v>-7508.8954668680371</v>
      </c>
      <c r="G400" s="2">
        <f t="shared" si="263"/>
        <v>31895.02747870973</v>
      </c>
      <c r="H400" s="2">
        <f t="shared" si="264"/>
        <v>-1877.2811567913743</v>
      </c>
      <c r="I400" s="3">
        <f t="shared" si="268"/>
        <v>5.4406658875304541E-2</v>
      </c>
      <c r="J400" s="3">
        <f t="shared" si="269"/>
        <v>2.9600845299737545E-3</v>
      </c>
      <c r="K400" s="3">
        <f t="shared" si="270"/>
        <v>-0.98178632517013886</v>
      </c>
      <c r="L400" s="3">
        <f t="shared" si="271"/>
        <v>0.22498644631803597</v>
      </c>
      <c r="M400" s="3">
        <f t="shared" si="272"/>
        <v>-0.95565971311145437</v>
      </c>
      <c r="N400" s="3">
        <f t="shared" si="273"/>
        <v>6.6597889919978886E-4</v>
      </c>
      <c r="O400" s="3">
        <f t="shared" si="274"/>
        <v>-2.8288335327003723E-3</v>
      </c>
      <c r="P400" s="3">
        <f t="shared" si="275"/>
        <v>-9.8835376707699013E-2</v>
      </c>
      <c r="Q400" s="3">
        <f t="shared" si="276"/>
        <v>2.2649144325896053E-2</v>
      </c>
      <c r="R400" s="3">
        <f t="shared" si="277"/>
        <v>-9.6205238684062847E-2</v>
      </c>
      <c r="S400" s="3">
        <f t="shared" si="278"/>
        <v>6.704338173622774E-5</v>
      </c>
      <c r="T400" s="3">
        <f t="shared" si="279"/>
        <v>-2.8477563873112704E-4</v>
      </c>
      <c r="U400" s="3">
        <f t="shared" si="280"/>
        <v>0.99997658255977384</v>
      </c>
      <c r="V400" s="3">
        <f t="shared" si="281"/>
        <v>-0.22915493111231658</v>
      </c>
      <c r="W400" s="3">
        <f t="shared" si="282"/>
        <v>0.97336590407453338</v>
      </c>
      <c r="X400" s="3">
        <f t="shared" si="283"/>
        <v>-6.7831796655276968E-4</v>
      </c>
      <c r="Y400" s="3">
        <f t="shared" si="284"/>
        <v>2.8812453546549436E-3</v>
      </c>
      <c r="Z400" s="3">
        <f t="shared" si="285"/>
        <v>-8.520633008080708E-2</v>
      </c>
      <c r="AA400" s="3">
        <f t="shared" si="286"/>
        <v>1.9525907946782859E-2</v>
      </c>
      <c r="AB400" s="3">
        <f t="shared" si="287"/>
        <v>-8.2938878728212928E-2</v>
      </c>
      <c r="AC400" s="3">
        <f t="shared" si="288"/>
        <v>5.7798338046963541E-5</v>
      </c>
      <c r="AD400" s="3">
        <f t="shared" si="289"/>
        <v>-2.4550609185675239E-4</v>
      </c>
      <c r="AE400" s="3">
        <f t="shared" si="265"/>
        <v>-0.9842946969128975</v>
      </c>
      <c r="AF400" s="3">
        <f t="shared" si="290"/>
        <v>0.2255612655327465</v>
      </c>
      <c r="AG400" s="3">
        <f t="shared" si="291"/>
        <v>-0.95810133381710649</v>
      </c>
      <c r="AH400" s="3">
        <f t="shared" si="292"/>
        <v>6.6768041266478519E-4</v>
      </c>
      <c r="AI400" s="3">
        <f t="shared" si="293"/>
        <v>-2.8360609363792372E-3</v>
      </c>
      <c r="AJ400" s="3">
        <f t="shared" si="266"/>
        <v>0.26636184828205112</v>
      </c>
      <c r="AK400" s="3">
        <f t="shared" si="294"/>
        <v>-6.1039560384279476E-2</v>
      </c>
      <c r="AL400" s="3">
        <f t="shared" si="295"/>
        <v>0.25927361278835204</v>
      </c>
      <c r="AM400" s="3">
        <f t="shared" si="296"/>
        <v>-1.8068225840990452E-4</v>
      </c>
      <c r="AN400" s="3">
        <f t="shared" si="297"/>
        <v>7.6747181024520636E-4</v>
      </c>
      <c r="AO400" s="3">
        <f t="shared" si="267"/>
        <v>0.93527185974236859</v>
      </c>
      <c r="AP400" s="3">
        <f t="shared" si="298"/>
        <v>-0.21432717758442063</v>
      </c>
      <c r="AQ400" s="3">
        <f t="shared" si="299"/>
        <v>0.91038305815444798</v>
      </c>
      <c r="AR400" s="3"/>
      <c r="AS400" s="2"/>
      <c r="AT400" s="2"/>
    </row>
    <row r="401" spans="1:46">
      <c r="A401">
        <f t="shared" si="300"/>
        <v>398</v>
      </c>
      <c r="B401" s="1">
        <f t="shared" si="258"/>
        <v>49.086534</v>
      </c>
      <c r="C401" s="1">
        <f t="shared" si="259"/>
        <v>308.4197892091712</v>
      </c>
      <c r="D401" s="1">
        <f t="shared" si="260"/>
        <v>0.51731382413788773</v>
      </c>
      <c r="E401" s="1">
        <f t="shared" si="261"/>
        <v>0.85579577432693277</v>
      </c>
      <c r="F401" s="2">
        <f t="shared" si="262"/>
        <v>16950.822075526168</v>
      </c>
      <c r="G401" s="2">
        <f t="shared" si="263"/>
        <v>28041.860137370604</v>
      </c>
      <c r="H401" s="2">
        <f t="shared" si="264"/>
        <v>4237.8348473375763</v>
      </c>
      <c r="I401" s="3">
        <f t="shared" si="268"/>
        <v>4.6640390387417449E-2</v>
      </c>
      <c r="J401" s="3">
        <f t="shared" si="269"/>
        <v>2.175326015490702E-3</v>
      </c>
      <c r="K401" s="3">
        <f t="shared" si="270"/>
        <v>-0.84574747452458787</v>
      </c>
      <c r="L401" s="3">
        <f t="shared" si="271"/>
        <v>-0.43751686030127535</v>
      </c>
      <c r="M401" s="3">
        <f t="shared" si="272"/>
        <v>-0.72378711484581748</v>
      </c>
      <c r="N401" s="3">
        <f t="shared" si="273"/>
        <v>-9.5174180842917536E-4</v>
      </c>
      <c r="O401" s="3">
        <f t="shared" si="274"/>
        <v>-1.5744729406010633E-3</v>
      </c>
      <c r="P401" s="3">
        <f t="shared" si="275"/>
        <v>0.6124641312685013</v>
      </c>
      <c r="Q401" s="3">
        <f t="shared" si="276"/>
        <v>0.31683616189379765</v>
      </c>
      <c r="R401" s="3">
        <f t="shared" si="277"/>
        <v>0.52414421546639922</v>
      </c>
      <c r="S401" s="3">
        <f t="shared" si="278"/>
        <v>6.8922194561580198E-4</v>
      </c>
      <c r="T401" s="3">
        <f t="shared" si="279"/>
        <v>1.1401845477730223E-3</v>
      </c>
      <c r="U401" s="3">
        <f t="shared" si="280"/>
        <v>0.72791769845050469</v>
      </c>
      <c r="V401" s="3">
        <f t="shared" si="281"/>
        <v>0.3765618882430804</v>
      </c>
      <c r="W401" s="3">
        <f t="shared" si="282"/>
        <v>0.6229488903917284</v>
      </c>
      <c r="X401" s="3">
        <f t="shared" si="283"/>
        <v>8.1914487193747508E-4</v>
      </c>
      <c r="Y401" s="3">
        <f t="shared" si="284"/>
        <v>1.3551169275901925E-3</v>
      </c>
      <c r="Z401" s="3">
        <f t="shared" si="285"/>
        <v>-0.75250560476857886</v>
      </c>
      <c r="AA401" s="3">
        <f t="shared" si="286"/>
        <v>-0.38928155208802745</v>
      </c>
      <c r="AB401" s="3">
        <f t="shared" si="287"/>
        <v>-0.6439911167182828</v>
      </c>
      <c r="AC401" s="3">
        <f t="shared" si="288"/>
        <v>-8.4681428760768494E-4</v>
      </c>
      <c r="AD401" s="3">
        <f t="shared" si="289"/>
        <v>-1.4008906299421897E-3</v>
      </c>
      <c r="AE401" s="3">
        <f t="shared" si="265"/>
        <v>-0.58314584590011898</v>
      </c>
      <c r="AF401" s="3">
        <f t="shared" si="290"/>
        <v>-0.30166940757271393</v>
      </c>
      <c r="AG401" s="3">
        <f t="shared" si="291"/>
        <v>-0.49905375073762653</v>
      </c>
      <c r="AH401" s="3">
        <f t="shared" si="292"/>
        <v>-6.5622931037059243E-4</v>
      </c>
      <c r="AI401" s="3">
        <f t="shared" si="293"/>
        <v>-1.0856046071077712E-3</v>
      </c>
      <c r="AJ401" s="3">
        <f t="shared" si="266"/>
        <v>0.8646949411443039</v>
      </c>
      <c r="AK401" s="3">
        <f t="shared" si="294"/>
        <v>0.4473186467160456</v>
      </c>
      <c r="AL401" s="3">
        <f t="shared" si="295"/>
        <v>0.74000227671317109</v>
      </c>
      <c r="AM401" s="3">
        <f t="shared" si="296"/>
        <v>9.730638894155085E-4</v>
      </c>
      <c r="AN401" s="3">
        <f t="shared" si="297"/>
        <v>1.6097462040565104E-3</v>
      </c>
      <c r="AO401" s="3">
        <f t="shared" si="267"/>
        <v>0.41679028957328967</v>
      </c>
      <c r="AP401" s="3">
        <f t="shared" si="298"/>
        <v>0.21561137856269608</v>
      </c>
      <c r="AQ401" s="3">
        <f t="shared" si="299"/>
        <v>0.35668736859731998</v>
      </c>
      <c r="AR401" s="3"/>
      <c r="AS401" s="2"/>
      <c r="AT401" s="2"/>
    </row>
    <row r="402" spans="1:46">
      <c r="A402">
        <f t="shared" si="300"/>
        <v>399</v>
      </c>
      <c r="B402" s="1">
        <f t="shared" si="258"/>
        <v>49.209867000000003</v>
      </c>
      <c r="C402" s="1">
        <f t="shared" si="259"/>
        <v>309.19471330266163</v>
      </c>
      <c r="D402" s="1">
        <f t="shared" si="260"/>
        <v>0.96837500185790559</v>
      </c>
      <c r="E402" s="1">
        <f t="shared" si="261"/>
        <v>0.24949920997209868</v>
      </c>
      <c r="F402" s="2">
        <f t="shared" si="262"/>
        <v>31730.743685877991</v>
      </c>
      <c r="G402" s="2">
        <f t="shared" si="263"/>
        <v>8175.3406131557576</v>
      </c>
      <c r="H402" s="2">
        <f t="shared" si="264"/>
        <v>7932.9280152199626</v>
      </c>
      <c r="I402" s="3">
        <f t="shared" si="268"/>
        <v>3.8871301588516288E-2</v>
      </c>
      <c r="J402" s="3">
        <f t="shared" si="269"/>
        <v>1.510978087185389E-3</v>
      </c>
      <c r="K402" s="3">
        <f t="shared" si="270"/>
        <v>-0.25126042612845562</v>
      </c>
      <c r="L402" s="3">
        <f t="shared" si="271"/>
        <v>-0.24331431561896136</v>
      </c>
      <c r="M402" s="3">
        <f t="shared" si="272"/>
        <v>-6.2689277816302541E-2</v>
      </c>
      <c r="N402" s="3">
        <f t="shared" si="273"/>
        <v>-3.6764259919876022E-4</v>
      </c>
      <c r="O402" s="3">
        <f t="shared" si="274"/>
        <v>-9.4722125081910235E-5</v>
      </c>
      <c r="P402" s="3">
        <f t="shared" si="275"/>
        <v>0.98824943856777459</v>
      </c>
      <c r="Q402" s="3">
        <f t="shared" si="276"/>
        <v>0.95699605190914283</v>
      </c>
      <c r="R402" s="3">
        <f t="shared" si="277"/>
        <v>0.24656745417802983</v>
      </c>
      <c r="S402" s="3">
        <f t="shared" si="278"/>
        <v>1.4460000639576458E-3</v>
      </c>
      <c r="T402" s="3">
        <f t="shared" si="279"/>
        <v>3.7255802027609053E-4</v>
      </c>
      <c r="U402" s="3">
        <f t="shared" si="280"/>
        <v>5.2895609417654137E-2</v>
      </c>
      <c r="V402" s="3">
        <f t="shared" si="281"/>
        <v>5.1222785868095873E-2</v>
      </c>
      <c r="W402" s="3">
        <f t="shared" si="282"/>
        <v>1.319741276069741E-2</v>
      </c>
      <c r="X402" s="3">
        <f t="shared" si="283"/>
        <v>7.7396507011282271E-5</v>
      </c>
      <c r="Y402" s="3">
        <f t="shared" si="284"/>
        <v>1.9941001488954614E-5</v>
      </c>
      <c r="Z402" s="3">
        <f t="shared" si="285"/>
        <v>-0.99886682670628502</v>
      </c>
      <c r="AA402" s="3">
        <f t="shared" si="286"/>
        <v>-0.96727766516749902</v>
      </c>
      <c r="AB402" s="3">
        <f t="shared" si="287"/>
        <v>-0.2492164841305553</v>
      </c>
      <c r="AC402" s="3">
        <f t="shared" si="288"/>
        <v>-1.4615353562919368E-3</v>
      </c>
      <c r="AD402" s="3">
        <f t="shared" si="289"/>
        <v>-3.7656064648665432E-4</v>
      </c>
      <c r="AE402" s="3">
        <f t="shared" si="265"/>
        <v>0.14760036585484704</v>
      </c>
      <c r="AF402" s="3">
        <f t="shared" si="290"/>
        <v>0.14293250455891504</v>
      </c>
      <c r="AG402" s="3">
        <f t="shared" si="291"/>
        <v>3.6826174672377067E-2</v>
      </c>
      <c r="AH402" s="3">
        <f t="shared" si="292"/>
        <v>2.1596788233504635E-4</v>
      </c>
      <c r="AI402" s="3">
        <f t="shared" si="293"/>
        <v>5.5643542964823312E-5</v>
      </c>
      <c r="AJ402" s="3">
        <f t="shared" si="266"/>
        <v>0.96923997504656745</v>
      </c>
      <c r="AK402" s="3">
        <f t="shared" si="294"/>
        <v>0.93858776263647614</v>
      </c>
      <c r="AL402" s="3">
        <f t="shared" si="295"/>
        <v>0.24182460804749523</v>
      </c>
      <c r="AM402" s="3">
        <f t="shared" si="296"/>
        <v>1.4181855422440764E-3</v>
      </c>
      <c r="AN402" s="3">
        <f t="shared" si="297"/>
        <v>3.6539168370196073E-4</v>
      </c>
      <c r="AO402" s="3">
        <f t="shared" si="267"/>
        <v>-0.34214953785086905</v>
      </c>
      <c r="AP402" s="3">
        <f t="shared" si="298"/>
        <v>-0.33132905935201684</v>
      </c>
      <c r="AQ402" s="3">
        <f t="shared" si="299"/>
        <v>-8.5366039386110495E-2</v>
      </c>
      <c r="AR402" s="3"/>
      <c r="AS402" s="2"/>
      <c r="AT402" s="2"/>
    </row>
    <row r="403" spans="1:46">
      <c r="A403">
        <f t="shared" si="300"/>
        <v>400</v>
      </c>
      <c r="B403" s="1">
        <f t="shared" si="258"/>
        <v>49.333199999999998</v>
      </c>
      <c r="C403" s="1">
        <f t="shared" si="259"/>
        <v>309.96963739615194</v>
      </c>
      <c r="D403" s="1">
        <f t="shared" si="260"/>
        <v>0.86644397885095559</v>
      </c>
      <c r="E403" s="1">
        <f t="shared" si="261"/>
        <v>-0.49927430487951691</v>
      </c>
      <c r="F403" s="2">
        <f t="shared" si="262"/>
        <v>28390.769855009261</v>
      </c>
      <c r="G403" s="2">
        <f t="shared" si="263"/>
        <v>-16359.721147987131</v>
      </c>
      <c r="H403" s="2">
        <f t="shared" si="264"/>
        <v>7097.9090747470282</v>
      </c>
      <c r="I403" s="3">
        <f t="shared" si="268"/>
        <v>3.1099862269836753E-2</v>
      </c>
      <c r="J403" s="3">
        <f t="shared" si="269"/>
        <v>9.6720143320281563E-4</v>
      </c>
      <c r="K403" s="3">
        <f t="shared" si="270"/>
        <v>0.47942553860419268</v>
      </c>
      <c r="L403" s="3">
        <f t="shared" si="271"/>
        <v>0.41539537123097914</v>
      </c>
      <c r="M403" s="3">
        <f t="shared" si="272"/>
        <v>-0.23936485252809631</v>
      </c>
      <c r="N403" s="3">
        <f t="shared" si="273"/>
        <v>4.0177099840041862E-4</v>
      </c>
      <c r="O403" s="3">
        <f t="shared" si="274"/>
        <v>-2.3151402842355533E-4</v>
      </c>
      <c r="P403" s="3">
        <f t="shared" si="275"/>
        <v>0.82266145799179546</v>
      </c>
      <c r="Q403" s="3">
        <f t="shared" si="276"/>
        <v>0.71279006690973956</v>
      </c>
      <c r="R403" s="3">
        <f t="shared" si="277"/>
        <v>-0.41073372759002358</v>
      </c>
      <c r="S403" s="3">
        <f t="shared" si="278"/>
        <v>6.8941157428783096E-4</v>
      </c>
      <c r="T403" s="3">
        <f t="shared" si="279"/>
        <v>-3.9726224998980566E-4</v>
      </c>
      <c r="U403" s="3">
        <f t="shared" si="280"/>
        <v>-0.6514086145909842</v>
      </c>
      <c r="V403" s="3">
        <f t="shared" si="281"/>
        <v>-0.56440907188400102</v>
      </c>
      <c r="W403" s="3">
        <f t="shared" si="282"/>
        <v>0.32523158324244278</v>
      </c>
      <c r="X403" s="3">
        <f t="shared" si="283"/>
        <v>-5.4589726323887682E-4</v>
      </c>
      <c r="Y403" s="3">
        <f t="shared" si="284"/>
        <v>3.145644534349115E-4</v>
      </c>
      <c r="Z403" s="3">
        <f t="shared" si="285"/>
        <v>-0.68647997510680214</v>
      </c>
      <c r="AA403" s="3">
        <f t="shared" si="286"/>
        <v>-0.59479644103304263</v>
      </c>
      <c r="AB403" s="3">
        <f t="shared" si="287"/>
        <v>0.34274181238515672</v>
      </c>
      <c r="AC403" s="3">
        <f t="shared" si="288"/>
        <v>-5.752879702310928E-4</v>
      </c>
      <c r="AD403" s="3">
        <f t="shared" si="289"/>
        <v>3.3150037215745409E-4</v>
      </c>
      <c r="AE403" s="3">
        <f t="shared" si="265"/>
        <v>0.79492200831489357</v>
      </c>
      <c r="AF403" s="3">
        <f t="shared" si="290"/>
        <v>0.68875538776054879</v>
      </c>
      <c r="AG403" s="3">
        <f t="shared" si="291"/>
        <v>-0.39688413313484805</v>
      </c>
      <c r="AH403" s="3">
        <f t="shared" si="292"/>
        <v>6.6616519816816387E-4</v>
      </c>
      <c r="AI403" s="3">
        <f t="shared" si="293"/>
        <v>-3.8386690238348213E-4</v>
      </c>
      <c r="AJ403" s="3">
        <f t="shared" si="266"/>
        <v>0.52029602321320911</v>
      </c>
      <c r="AK403" s="3">
        <f t="shared" si="294"/>
        <v>0.45080735653318205</v>
      </c>
      <c r="AL403" s="3">
        <f t="shared" si="295"/>
        <v>-0.25977043532135197</v>
      </c>
      <c r="AM403" s="3">
        <f t="shared" si="296"/>
        <v>4.3602152133726636E-4</v>
      </c>
      <c r="AN403" s="3">
        <f t="shared" si="297"/>
        <v>-2.5125033734653093E-4</v>
      </c>
      <c r="AO403" s="3">
        <f t="shared" si="267"/>
        <v>-0.90369349581636504</v>
      </c>
      <c r="AP403" s="3">
        <f t="shared" si="298"/>
        <v>-0.78299978817686067</v>
      </c>
      <c r="AQ403" s="3">
        <f t="shared" si="299"/>
        <v>0.45119094194785625</v>
      </c>
      <c r="AR403" s="3"/>
      <c r="AS403" s="2"/>
      <c r="AT403" s="2"/>
    </row>
    <row r="404" spans="1:46">
      <c r="A404">
        <f t="shared" si="300"/>
        <v>401</v>
      </c>
      <c r="B404" s="1">
        <f t="shared" si="258"/>
        <v>49.456533</v>
      </c>
      <c r="C404" s="1">
        <f t="shared" si="259"/>
        <v>310.74456148964236</v>
      </c>
      <c r="D404" s="1">
        <f t="shared" si="260"/>
        <v>0.26972864010663178</v>
      </c>
      <c r="E404" s="1">
        <f t="shared" si="261"/>
        <v>-0.96293637417340672</v>
      </c>
      <c r="F404" s="2">
        <f t="shared" si="262"/>
        <v>8838.198350374003</v>
      </c>
      <c r="G404" s="2">
        <f t="shared" si="263"/>
        <v>-31552.536172540018</v>
      </c>
      <c r="H404" s="2">
        <f t="shared" si="264"/>
        <v>2209.6170197535275</v>
      </c>
      <c r="I404" s="3">
        <f t="shared" si="268"/>
        <v>2.3326542364752317E-2</v>
      </c>
      <c r="J404" s="3">
        <f t="shared" si="269"/>
        <v>5.4412757869458459E-4</v>
      </c>
      <c r="K404" s="3">
        <f t="shared" si="270"/>
        <v>0.95023277978260634</v>
      </c>
      <c r="L404" s="3">
        <f t="shared" si="271"/>
        <v>0.25630499547550689</v>
      </c>
      <c r="M404" s="3">
        <f t="shared" si="272"/>
        <v>-0.91501370758458023</v>
      </c>
      <c r="N404" s="3">
        <f t="shared" si="273"/>
        <v>1.3946261659541405E-4</v>
      </c>
      <c r="O404" s="3">
        <f t="shared" si="274"/>
        <v>-4.9788419318035234E-4</v>
      </c>
      <c r="P404" s="3">
        <f t="shared" si="275"/>
        <v>0.20641100199193704</v>
      </c>
      <c r="Q404" s="3">
        <f t="shared" si="276"/>
        <v>5.5674958870332442E-2</v>
      </c>
      <c r="R404" s="3">
        <f t="shared" si="277"/>
        <v>-0.19876066184761568</v>
      </c>
      <c r="S404" s="3">
        <f t="shared" si="278"/>
        <v>3.0294280564034575E-5</v>
      </c>
      <c r="T404" s="3">
        <f t="shared" si="279"/>
        <v>-1.0815115767087622E-4</v>
      </c>
      <c r="U404" s="3">
        <f t="shared" si="280"/>
        <v>-0.99510379775732138</v>
      </c>
      <c r="V404" s="3">
        <f t="shared" si="281"/>
        <v>-0.26840799413402705</v>
      </c>
      <c r="W404" s="3">
        <f t="shared" si="282"/>
        <v>0.95822164293862211</v>
      </c>
      <c r="X404" s="3">
        <f t="shared" si="283"/>
        <v>-1.4604819195041839E-4</v>
      </c>
      <c r="Y404" s="3">
        <f t="shared" si="284"/>
        <v>5.2139482242493924E-4</v>
      </c>
      <c r="Z404" s="3">
        <f t="shared" si="285"/>
        <v>9.9113837577629836E-3</v>
      </c>
      <c r="AA404" s="3">
        <f t="shared" si="286"/>
        <v>2.6733840625563676E-3</v>
      </c>
      <c r="AB404" s="3">
        <f t="shared" si="287"/>
        <v>-9.5440319387414818E-3</v>
      </c>
      <c r="AC404" s="3">
        <f t="shared" si="288"/>
        <v>1.4546619968794881E-6</v>
      </c>
      <c r="AD404" s="3">
        <f t="shared" si="289"/>
        <v>-5.193170989811185E-6</v>
      </c>
      <c r="AE404" s="3">
        <f t="shared" si="265"/>
        <v>0.99294919420199546</v>
      </c>
      <c r="AF404" s="3">
        <f t="shared" si="290"/>
        <v>0.26782683584708006</v>
      </c>
      <c r="AG404" s="3">
        <f t="shared" si="291"/>
        <v>-0.95614689680327536</v>
      </c>
      <c r="AH404" s="3">
        <f t="shared" si="292"/>
        <v>1.4573196769890367E-4</v>
      </c>
      <c r="AI404" s="3">
        <f t="shared" si="293"/>
        <v>-5.2026589583390717E-4</v>
      </c>
      <c r="AJ404" s="3">
        <f t="shared" si="266"/>
        <v>-0.22576538723168235</v>
      </c>
      <c r="AK404" s="3">
        <f t="shared" si="294"/>
        <v>-6.0895390881148807E-2</v>
      </c>
      <c r="AL404" s="3">
        <f t="shared" si="295"/>
        <v>0.21739770339473133</v>
      </c>
      <c r="AM404" s="3">
        <f t="shared" si="296"/>
        <v>-3.3134861593819787E-5</v>
      </c>
      <c r="AN404" s="3">
        <f t="shared" si="297"/>
        <v>1.1829208596193863E-4</v>
      </c>
      <c r="AO404" s="3">
        <f t="shared" si="267"/>
        <v>-0.94387078921978596</v>
      </c>
      <c r="AP404" s="3">
        <f t="shared" si="298"/>
        <v>-0.25458898441262617</v>
      </c>
      <c r="AQ404" s="3">
        <f t="shared" si="299"/>
        <v>0.90888751545949253</v>
      </c>
      <c r="AR404" s="3"/>
      <c r="AS404" s="2"/>
      <c r="AT404" s="2"/>
    </row>
    <row r="405" spans="1:46">
      <c r="A405">
        <f t="shared" si="300"/>
        <v>402</v>
      </c>
      <c r="B405" s="1">
        <f t="shared" si="258"/>
        <v>49.579866000000003</v>
      </c>
      <c r="C405" s="1">
        <f t="shared" si="259"/>
        <v>311.51948558313273</v>
      </c>
      <c r="D405" s="1">
        <f t="shared" si="260"/>
        <v>-0.48101569980506442</v>
      </c>
      <c r="E405" s="1">
        <f t="shared" si="261"/>
        <v>-0.87671198037955667</v>
      </c>
      <c r="F405" s="2">
        <f t="shared" si="262"/>
        <v>-15761.441435512546</v>
      </c>
      <c r="G405" s="2">
        <f t="shared" si="263"/>
        <v>-28727.221461096935</v>
      </c>
      <c r="H405" s="2">
        <f t="shared" si="264"/>
        <v>-3940.4806128030878</v>
      </c>
      <c r="I405" s="3">
        <f t="shared" si="268"/>
        <v>1.5551811920351075E-2</v>
      </c>
      <c r="J405" s="3">
        <f t="shared" si="269"/>
        <v>2.4185885400597381E-4</v>
      </c>
      <c r="K405" s="3">
        <f t="shared" si="270"/>
        <v>0.90595423181372525</v>
      </c>
      <c r="L405" s="3">
        <f t="shared" si="271"/>
        <v>-0.43577820880723861</v>
      </c>
      <c r="M405" s="3">
        <f t="shared" si="272"/>
        <v>-0.79426092870665099</v>
      </c>
      <c r="N405" s="3">
        <f t="shared" si="273"/>
        <v>-1.0539681818289469E-4</v>
      </c>
      <c r="O405" s="3">
        <f t="shared" si="274"/>
        <v>-1.9209903799871108E-4</v>
      </c>
      <c r="P405" s="3">
        <f t="shared" si="275"/>
        <v>-0.52291354081340202</v>
      </c>
      <c r="Q405" s="3">
        <f t="shared" si="276"/>
        <v>0.25152962277190272</v>
      </c>
      <c r="R405" s="3">
        <f t="shared" si="277"/>
        <v>0.45844456593380384</v>
      </c>
      <c r="S405" s="3">
        <f t="shared" si="278"/>
        <v>6.083466631216728E-5</v>
      </c>
      <c r="T405" s="3">
        <f t="shared" si="279"/>
        <v>1.108788773420159E-4</v>
      </c>
      <c r="U405" s="3">
        <f t="shared" si="280"/>
        <v>-0.78792596817854599</v>
      </c>
      <c r="V405" s="3">
        <f t="shared" si="281"/>
        <v>0.37900476097798624</v>
      </c>
      <c r="W405" s="3">
        <f t="shared" si="282"/>
        <v>0.69078413595429256</v>
      </c>
      <c r="X405" s="3">
        <f t="shared" si="283"/>
        <v>9.1665657152943767E-5</v>
      </c>
      <c r="Y405" s="3">
        <f t="shared" si="284"/>
        <v>1.6707225948741202E-4</v>
      </c>
      <c r="Z405" s="3">
        <f t="shared" si="285"/>
        <v>0.70075849344653096</v>
      </c>
      <c r="AA405" s="3">
        <f t="shared" si="286"/>
        <v>-0.33707583711952577</v>
      </c>
      <c r="AB405" s="3">
        <f t="shared" si="287"/>
        <v>-0.61436336655730273</v>
      </c>
      <c r="AC405" s="3">
        <f t="shared" si="288"/>
        <v>-8.1524775678832784E-5</v>
      </c>
      <c r="AD405" s="3">
        <f t="shared" si="289"/>
        <v>-1.4858921977880125E-4</v>
      </c>
      <c r="AE405" s="3">
        <f t="shared" si="265"/>
        <v>0.6297558276990276</v>
      </c>
      <c r="AF405" s="3">
        <f t="shared" si="290"/>
        <v>-0.30292244016696535</v>
      </c>
      <c r="AG405" s="3">
        <f t="shared" si="291"/>
        <v>-0.55211447885758136</v>
      </c>
      <c r="AH405" s="3">
        <f t="shared" si="292"/>
        <v>-7.32644742314754E-5</v>
      </c>
      <c r="AI405" s="3">
        <f t="shared" si="293"/>
        <v>-1.3353377513660009E-4</v>
      </c>
      <c r="AJ405" s="3">
        <f t="shared" si="266"/>
        <v>-0.84290242558076334</v>
      </c>
      <c r="AK405" s="3">
        <f t="shared" si="294"/>
        <v>0.40544930010811714</v>
      </c>
      <c r="AL405" s="3">
        <f t="shared" si="295"/>
        <v>0.73898265479764291</v>
      </c>
      <c r="AM405" s="3">
        <f t="shared" si="296"/>
        <v>9.8061503081673347E-5</v>
      </c>
      <c r="AN405" s="3">
        <f t="shared" si="297"/>
        <v>1.7872949801965004E-4</v>
      </c>
      <c r="AO405" s="3">
        <f t="shared" si="267"/>
        <v>-0.43950198659476875</v>
      </c>
      <c r="AP405" s="3">
        <f t="shared" si="298"/>
        <v>0.21140735564759874</v>
      </c>
      <c r="AQ405" s="3">
        <f t="shared" si="299"/>
        <v>0.38531665704824908</v>
      </c>
      <c r="AR405" s="3"/>
      <c r="AS405" s="2"/>
      <c r="AT405" s="2"/>
    </row>
    <row r="406" spans="1:46">
      <c r="A406">
        <f t="shared" si="300"/>
        <v>403</v>
      </c>
      <c r="B406" s="1">
        <f t="shared" si="258"/>
        <v>49.703198999999998</v>
      </c>
      <c r="C406" s="1">
        <f t="shared" si="259"/>
        <v>312.2944096766231</v>
      </c>
      <c r="D406" s="1">
        <f t="shared" si="260"/>
        <v>-0.95707520180884609</v>
      </c>
      <c r="E406" s="1">
        <f t="shared" si="261"/>
        <v>-0.28983971101723888</v>
      </c>
      <c r="F406" s="2">
        <f t="shared" si="262"/>
        <v>-31360.483137670461</v>
      </c>
      <c r="G406" s="2">
        <f t="shared" si="263"/>
        <v>-9497.1778109018669</v>
      </c>
      <c r="H406" s="2">
        <f t="shared" si="264"/>
        <v>-7840.3600532180672</v>
      </c>
      <c r="I406" s="3">
        <f t="shared" si="268"/>
        <v>7.7761410690171907E-3</v>
      </c>
      <c r="J406" s="3">
        <f t="shared" si="269"/>
        <v>6.0468369925255817E-5</v>
      </c>
      <c r="K406" s="3">
        <f t="shared" si="270"/>
        <v>0.37059164596113997</v>
      </c>
      <c r="L406" s="3">
        <f t="shared" si="271"/>
        <v>-0.3546840743469305</v>
      </c>
      <c r="M406" s="3">
        <f t="shared" si="272"/>
        <v>-0.10741217557077971</v>
      </c>
      <c r="N406" s="3">
        <f t="shared" si="273"/>
        <v>-2.1447167814207127E-5</v>
      </c>
      <c r="O406" s="3">
        <f t="shared" si="274"/>
        <v>-6.4950391668904337E-6</v>
      </c>
      <c r="P406" s="3">
        <f t="shared" si="275"/>
        <v>-0.96578062478631499</v>
      </c>
      <c r="Q406" s="3">
        <f t="shared" si="276"/>
        <v>0.92432468637043586</v>
      </c>
      <c r="R406" s="3">
        <f t="shared" si="277"/>
        <v>0.27992157719411392</v>
      </c>
      <c r="S406" s="3">
        <f t="shared" si="278"/>
        <v>5.5892407066493583E-5</v>
      </c>
      <c r="T406" s="3">
        <f t="shared" si="279"/>
        <v>1.6926401479834736E-5</v>
      </c>
      <c r="U406" s="3">
        <f t="shared" si="280"/>
        <v>-0.1445653475292881</v>
      </c>
      <c r="V406" s="3">
        <f t="shared" si="281"/>
        <v>0.13835990916115937</v>
      </c>
      <c r="W406" s="3">
        <f t="shared" si="282"/>
        <v>4.1900778550995568E-2</v>
      </c>
      <c r="X406" s="3">
        <f t="shared" si="283"/>
        <v>8.3663981699817752E-6</v>
      </c>
      <c r="Y406" s="3">
        <f t="shared" si="284"/>
        <v>2.5336717775778243E-6</v>
      </c>
      <c r="Z406" s="3">
        <f t="shared" si="285"/>
        <v>0.99961395043497092</v>
      </c>
      <c r="AA406" s="3">
        <f t="shared" si="286"/>
        <v>-0.95670572334348769</v>
      </c>
      <c r="AB406" s="3">
        <f t="shared" si="287"/>
        <v>-0.28972781852287249</v>
      </c>
      <c r="AC406" s="3">
        <f t="shared" si="288"/>
        <v>-5.7850435588743464E-5</v>
      </c>
      <c r="AD406" s="3">
        <f t="shared" si="289"/>
        <v>-1.7519368908078438E-5</v>
      </c>
      <c r="AE406" s="3">
        <f t="shared" si="265"/>
        <v>-8.9379127312079948E-2</v>
      </c>
      <c r="AF406" s="3">
        <f t="shared" si="290"/>
        <v>8.5542546309707465E-2</v>
      </c>
      <c r="AG406" s="3">
        <f t="shared" si="291"/>
        <v>2.5905620431106256E-2</v>
      </c>
      <c r="AH406" s="3">
        <f t="shared" si="292"/>
        <v>5.1726183346037177E-6</v>
      </c>
      <c r="AI406" s="3">
        <f t="shared" si="293"/>
        <v>1.5664706393713982E-6</v>
      </c>
      <c r="AJ406" s="3">
        <f t="shared" si="266"/>
        <v>-0.9786961221156375</v>
      </c>
      <c r="AK406" s="3">
        <f t="shared" si="294"/>
        <v>0.93668578858335882</v>
      </c>
      <c r="AL406" s="3">
        <f t="shared" si="295"/>
        <v>0.28366500120768873</v>
      </c>
      <c r="AM406" s="3">
        <f t="shared" si="296"/>
        <v>5.6639862767788504E-5</v>
      </c>
      <c r="AN406" s="3">
        <f t="shared" si="297"/>
        <v>1.7152760227874658E-5</v>
      </c>
      <c r="AO406" s="3">
        <f t="shared" si="267"/>
        <v>0.31842810188671228</v>
      </c>
      <c r="AP406" s="3">
        <f t="shared" si="298"/>
        <v>-0.30475963987483295</v>
      </c>
      <c r="AQ406" s="3">
        <f t="shared" si="299"/>
        <v>-9.229310903061258E-2</v>
      </c>
      <c r="AR406" s="3"/>
      <c r="AS406" s="2"/>
      <c r="AT406" s="2"/>
    </row>
    <row r="407" spans="1:46">
      <c r="A407">
        <f t="shared" si="300"/>
        <v>404</v>
      </c>
      <c r="B407" s="1">
        <f t="shared" si="258"/>
        <v>49.826532</v>
      </c>
      <c r="C407" s="1">
        <f t="shared" si="259"/>
        <v>313.06933377011347</v>
      </c>
      <c r="D407" s="1">
        <f t="shared" si="260"/>
        <v>-0.88659527322629239</v>
      </c>
      <c r="E407" s="1">
        <f t="shared" si="261"/>
        <v>0.46254602094580388</v>
      </c>
      <c r="F407" s="2">
        <f t="shared" si="262"/>
        <v>-29051.067317805922</v>
      </c>
      <c r="G407" s="2">
        <f t="shared" si="263"/>
        <v>15156.245468331155</v>
      </c>
      <c r="H407" s="2">
        <f t="shared" si="264"/>
        <v>-7262.9884782697873</v>
      </c>
      <c r="I407" s="3">
        <f t="shared" si="268"/>
        <v>1.22514845490862E-16</v>
      </c>
      <c r="J407" s="3">
        <f t="shared" si="269"/>
        <v>1.5009887365649789E-32</v>
      </c>
      <c r="K407" s="3">
        <f t="shared" si="270"/>
        <v>-0.365654864833448</v>
      </c>
      <c r="L407" s="3">
        <f t="shared" si="271"/>
        <v>0.32418787479353384</v>
      </c>
      <c r="M407" s="3">
        <f t="shared" si="272"/>
        <v>-0.16913220276818713</v>
      </c>
      <c r="N407" s="3">
        <f t="shared" si="273"/>
        <v>4.8660234859603196E-33</v>
      </c>
      <c r="O407" s="3">
        <f t="shared" si="274"/>
        <v>-2.5386553134547304E-33</v>
      </c>
      <c r="P407" s="3">
        <f t="shared" si="275"/>
        <v>-0.87958307001324232</v>
      </c>
      <c r="Q407" s="3">
        <f t="shared" si="276"/>
        <v>0.77983419228361162</v>
      </c>
      <c r="R407" s="3">
        <f t="shared" si="277"/>
        <v>-0.40684764912591964</v>
      </c>
      <c r="S407" s="3">
        <f t="shared" si="278"/>
        <v>1.1705223390059489E-32</v>
      </c>
      <c r="T407" s="3">
        <f t="shared" si="279"/>
        <v>-6.1067373883594595E-33</v>
      </c>
      <c r="U407" s="3">
        <f t="shared" si="280"/>
        <v>0.57882425975577234</v>
      </c>
      <c r="V407" s="3">
        <f t="shared" si="281"/>
        <v>-0.51318285272817543</v>
      </c>
      <c r="W407" s="3">
        <f t="shared" si="282"/>
        <v>0.26773285817693288</v>
      </c>
      <c r="X407" s="3">
        <f t="shared" si="283"/>
        <v>-7.7028168174327563E-33</v>
      </c>
      <c r="Y407" s="3">
        <f t="shared" si="284"/>
        <v>4.0186400453192522E-33</v>
      </c>
      <c r="Z407" s="3">
        <f t="shared" si="285"/>
        <v>0.73930340635781067</v>
      </c>
      <c r="AA407" s="3">
        <f t="shared" si="286"/>
        <v>-0.65546290555693187</v>
      </c>
      <c r="AB407" s="3">
        <f t="shared" si="287"/>
        <v>0.34196184888248404</v>
      </c>
      <c r="AC407" s="3">
        <f t="shared" si="288"/>
        <v>-9.8384243847710919E-33</v>
      </c>
      <c r="AD407" s="3">
        <f t="shared" si="289"/>
        <v>5.13280883507544E-33</v>
      </c>
      <c r="AE407" s="3">
        <f t="shared" si="265"/>
        <v>-0.75799648938375797</v>
      </c>
      <c r="AF407" s="3">
        <f t="shared" si="290"/>
        <v>0.67203610460976337</v>
      </c>
      <c r="AG407" s="3">
        <f t="shared" si="291"/>
        <v>-0.35060826005534551</v>
      </c>
      <c r="AH407" s="3">
        <f t="shared" si="292"/>
        <v>1.0087186235842587E-32</v>
      </c>
      <c r="AI407" s="3">
        <f t="shared" si="293"/>
        <v>-5.2625904928971868E-33</v>
      </c>
      <c r="AJ407" s="3">
        <f t="shared" si="266"/>
        <v>-0.55560085624762878</v>
      </c>
      <c r="AK407" s="3">
        <f t="shared" si="294"/>
        <v>0.49259309294962844</v>
      </c>
      <c r="AL407" s="3">
        <f t="shared" si="295"/>
        <v>-0.25699096529142229</v>
      </c>
      <c r="AM407" s="3">
        <f t="shared" si="296"/>
        <v>7.3937668422709793E-33</v>
      </c>
      <c r="AN407" s="3">
        <f t="shared" si="297"/>
        <v>-3.8574054430138625E-33</v>
      </c>
      <c r="AO407" s="3">
        <f t="shared" si="267"/>
        <v>0.89264789683162959</v>
      </c>
      <c r="AP407" s="3">
        <f t="shared" si="298"/>
        <v>-0.79141740598631394</v>
      </c>
      <c r="AQ407" s="3">
        <f t="shared" si="299"/>
        <v>0.41289073278511074</v>
      </c>
      <c r="AR407" s="3"/>
      <c r="AS407" s="2"/>
      <c r="AT407" s="2"/>
    </row>
    <row r="408" spans="1:46"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</row>
    <row r="409" spans="1:46">
      <c r="H409" t="s">
        <v>8</v>
      </c>
      <c r="K409" s="3"/>
      <c r="L409" s="3">
        <f>SUM(L3:L407)</f>
        <v>35.301627300666169</v>
      </c>
      <c r="M409" s="3">
        <f>SUM(M3:M407)</f>
        <v>-22.909922448037193</v>
      </c>
      <c r="N409" s="3">
        <f>SUM(N3:N407)</f>
        <v>-21.636188104712311</v>
      </c>
      <c r="O409" s="3">
        <f>SUM(O3:O407)</f>
        <v>14.444729243708535</v>
      </c>
      <c r="P409" s="3"/>
      <c r="Q409" s="3">
        <f>SUM(Q3:Q407)</f>
        <v>14.591702435130923</v>
      </c>
      <c r="R409" s="3">
        <f>SUM(R3:R407)</f>
        <v>4.0596031708519611</v>
      </c>
      <c r="S409" s="3">
        <f>SUM(S3:S407)</f>
        <v>-43.223979066220053</v>
      </c>
      <c r="T409" s="3">
        <f>SUM(T3:T407)</f>
        <v>-11.381659895784702</v>
      </c>
      <c r="U409" s="3"/>
      <c r="V409" s="3">
        <f>SUM(V3:V407)</f>
        <v>-20.361406265001499</v>
      </c>
      <c r="W409" s="3">
        <f>SUM(W3:W407)</f>
        <v>-39.96503210678457</v>
      </c>
      <c r="X409" s="3">
        <f>SUM(X3:X407)</f>
        <v>-29.28820227032811</v>
      </c>
      <c r="Y409" s="3">
        <f>SUM(Y3:Y407)</f>
        <v>-58.061635666046655</v>
      </c>
      <c r="Z409" s="3"/>
      <c r="AA409" s="3">
        <f>SUM(AA3:AA407)</f>
        <v>43.400268595704851</v>
      </c>
      <c r="AB409" s="3">
        <f>SUM(AB3:AB407)</f>
        <v>-109.56497890148709</v>
      </c>
      <c r="AC409" s="3">
        <f>SUM(AC3:AC407)</f>
        <v>30.878594826446065</v>
      </c>
      <c r="AD409" s="3">
        <f>SUM(AD3:AD407)</f>
        <v>-77.546681232044065</v>
      </c>
      <c r="AE409" s="3" t="s">
        <v>12</v>
      </c>
      <c r="AF409" s="3">
        <f>SUM(AF3:AF407)</f>
        <v>168.59060694727219</v>
      </c>
      <c r="AG409" s="3">
        <f>SUM(AG3:AG407)</f>
        <v>-60.039222787862208</v>
      </c>
      <c r="AH409" s="3">
        <f>SUM(AH3:AH407)</f>
        <v>90.665483684372589</v>
      </c>
      <c r="AI409" s="3">
        <f>SUM(AI3:AI407)</f>
        <v>-32.655682421379595</v>
      </c>
      <c r="AJ409" s="3"/>
      <c r="AK409" s="3">
        <f>SUM(AK3:AK407)</f>
        <v>177.85317353545756</v>
      </c>
      <c r="AL409" s="3">
        <f>SUM(AL3:AL407)</f>
        <v>97.281776385893949</v>
      </c>
      <c r="AM409" s="3">
        <f>SUM(AM3:AM407)</f>
        <v>88.615320764749413</v>
      </c>
      <c r="AN409" s="3">
        <f>SUM(AN3:AN407)</f>
        <v>48.45945792585313</v>
      </c>
      <c r="AO409" s="3"/>
      <c r="AP409" s="3">
        <f>SUM(AP3:AP407)</f>
        <v>39.464010963644157</v>
      </c>
      <c r="AQ409" s="3">
        <f>SUM(AQ3:AQ407)</f>
        <v>174.66264758687601</v>
      </c>
      <c r="AR409" s="3"/>
    </row>
    <row r="410" spans="1:46">
      <c r="H410" t="s">
        <v>11</v>
      </c>
      <c r="K410" s="3"/>
      <c r="L410" s="3">
        <f>SQRT(L409*L409+M409*M409)</f>
        <v>42.084075808436346</v>
      </c>
      <c r="M410" s="3"/>
      <c r="N410" s="3">
        <f>SQRT(N409*N409+O409*O409)</f>
        <v>26.014896475414677</v>
      </c>
      <c r="O410" s="3"/>
      <c r="P410" s="3"/>
      <c r="Q410" s="3">
        <f>SQRT(Q409*Q409+R409*R409)</f>
        <v>15.145895743078288</v>
      </c>
      <c r="R410" s="3"/>
      <c r="S410" s="3">
        <f>SQRT(S409*S409+T409*T409)</f>
        <v>44.697366234492421</v>
      </c>
      <c r="T410" s="3"/>
      <c r="U410" s="3"/>
      <c r="V410" s="3">
        <f>SQRT(V409*V409+W409*W409)</f>
        <v>44.852989380695284</v>
      </c>
      <c r="W410" s="3"/>
      <c r="X410" s="3">
        <f>SQRT(X409*X409+Y409*Y409)</f>
        <v>65.030395419714267</v>
      </c>
      <c r="Y410" s="3"/>
      <c r="Z410" s="3"/>
      <c r="AA410" s="3">
        <f>SQRT(AA409*AA409+AB409*AB409)</f>
        <v>117.84764705272073</v>
      </c>
      <c r="AB410" s="3"/>
      <c r="AC410" s="3">
        <f>SQRT(AC409*AC409+AD409*AD409)</f>
        <v>83.468409524562503</v>
      </c>
      <c r="AD410" s="3"/>
      <c r="AE410" s="3" t="s">
        <v>12</v>
      </c>
      <c r="AF410" s="3">
        <f>SQRT(AF409*AF409+AG409*AG409)</f>
        <v>178.96228939030752</v>
      </c>
      <c r="AG410" s="3"/>
      <c r="AH410" s="3">
        <f>SQRT(AH409*AH409+AI409*AI409)</f>
        <v>96.367128867302227</v>
      </c>
      <c r="AI410" s="3"/>
      <c r="AJ410" s="3"/>
      <c r="AK410" s="3">
        <f>SQRT(AK409*AK409+AL409*AL409)</f>
        <v>202.72023913124377</v>
      </c>
      <c r="AL410" s="3"/>
      <c r="AM410" s="3">
        <f>SQRT(AM409*AM409+AN409*AN409)</f>
        <v>100.99997097379266</v>
      </c>
      <c r="AN410" s="3"/>
      <c r="AO410" s="3"/>
      <c r="AP410" s="3">
        <f>SQRT(AP409*AP409+AQ409*AQ409)</f>
        <v>179.0654869688625</v>
      </c>
      <c r="AQ410" s="3"/>
      <c r="AR410" s="3"/>
    </row>
    <row r="411" spans="1:46">
      <c r="H411" t="s">
        <v>9</v>
      </c>
      <c r="K411" s="3"/>
      <c r="L411" s="3">
        <f>L410/405</f>
        <v>0.10391129829243542</v>
      </c>
      <c r="M411" s="3"/>
      <c r="N411" s="3">
        <f>N410/405</f>
        <v>6.4234312284974504E-2</v>
      </c>
      <c r="O411" s="3"/>
      <c r="P411" s="3"/>
      <c r="Q411" s="3">
        <f>Q410/405</f>
        <v>3.739727343969948E-2</v>
      </c>
      <c r="R411" s="3"/>
      <c r="S411" s="3">
        <f>S410/405</f>
        <v>0.1103638672456603</v>
      </c>
      <c r="T411" s="3"/>
      <c r="U411" s="3"/>
      <c r="V411" s="3">
        <f>V410/405</f>
        <v>0.11074812192764268</v>
      </c>
      <c r="W411" s="3"/>
      <c r="X411" s="3">
        <f>X410/405</f>
        <v>0.16056887757954141</v>
      </c>
      <c r="Y411" s="3"/>
      <c r="Z411" s="3"/>
      <c r="AA411" s="3">
        <f>AA410/405</f>
        <v>0.29098184457461906</v>
      </c>
      <c r="AB411" s="3"/>
      <c r="AC411" s="3">
        <f>AC410/405</f>
        <v>0.20609483833225309</v>
      </c>
      <c r="AD411" s="3"/>
      <c r="AE411" s="3" t="s">
        <v>12</v>
      </c>
      <c r="AF411" s="3">
        <f>AF410/405</f>
        <v>0.44188219602545065</v>
      </c>
      <c r="AG411" s="3"/>
      <c r="AH411" s="3">
        <f>AH410/405</f>
        <v>0.2379435280674129</v>
      </c>
      <c r="AI411" s="3"/>
      <c r="AJ411" s="3"/>
      <c r="AK411" s="3">
        <f>AK410/405</f>
        <v>0.50054380032405865</v>
      </c>
      <c r="AL411" s="3"/>
      <c r="AM411" s="3">
        <f>AM410/405</f>
        <v>0.24938264437973495</v>
      </c>
      <c r="AN411" s="3"/>
      <c r="AO411" s="3"/>
      <c r="AP411" s="3">
        <f>AP410/405</f>
        <v>0.4421370048613889</v>
      </c>
      <c r="AQ411" s="3"/>
      <c r="AR411" s="3"/>
    </row>
    <row r="412" spans="1:46">
      <c r="H412" t="s">
        <v>10</v>
      </c>
      <c r="K412" s="3"/>
      <c r="L412" s="3">
        <f>L411/0.5</f>
        <v>0.20782259658487084</v>
      </c>
      <c r="M412" s="3"/>
      <c r="N412" s="3">
        <f>N411*4</f>
        <v>0.25693724913989802</v>
      </c>
      <c r="O412" s="3"/>
      <c r="P412" s="3"/>
      <c r="Q412" s="3">
        <f>Q411/0.5</f>
        <v>7.479454687939896E-2</v>
      </c>
      <c r="R412" s="3"/>
      <c r="S412" s="3">
        <f>S411*4</f>
        <v>0.44145546898264121</v>
      </c>
      <c r="T412" s="3"/>
      <c r="U412" s="3"/>
      <c r="V412" s="3">
        <f>V411/0.5</f>
        <v>0.22149624385528535</v>
      </c>
      <c r="W412" s="3"/>
      <c r="X412" s="3">
        <f>X411*4</f>
        <v>0.64227551031816565</v>
      </c>
      <c r="Y412" s="3"/>
      <c r="Z412" s="3"/>
      <c r="AA412" s="3">
        <f>AA411/0.5</f>
        <v>0.58196368914923813</v>
      </c>
      <c r="AB412" s="3"/>
      <c r="AC412" s="3">
        <f>AC411*4</f>
        <v>0.82437935332901235</v>
      </c>
      <c r="AD412" s="3"/>
      <c r="AE412" s="3" t="s">
        <v>12</v>
      </c>
      <c r="AF412" s="3">
        <f>AF411/0.5</f>
        <v>0.88376439205090129</v>
      </c>
      <c r="AG412" s="3"/>
      <c r="AH412" s="3">
        <f>AH411*4</f>
        <v>0.95177411226965158</v>
      </c>
      <c r="AI412" s="3"/>
      <c r="AJ412" s="3"/>
      <c r="AK412" s="3">
        <f>AK411/0.5</f>
        <v>1.0010876006481173</v>
      </c>
      <c r="AL412" s="3"/>
      <c r="AM412" s="3">
        <f>AM411*4</f>
        <v>0.99753057751893981</v>
      </c>
      <c r="AN412" s="3"/>
      <c r="AO412" s="3"/>
      <c r="AP412" s="3">
        <f>AP411/0.5</f>
        <v>0.88427400972277781</v>
      </c>
      <c r="AQ412" s="3"/>
    </row>
    <row r="413" spans="1:46"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</row>
    <row r="414" spans="1:46"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</row>
    <row r="415" spans="1:46">
      <c r="H415" t="s">
        <v>2</v>
      </c>
      <c r="K415" s="3"/>
      <c r="L415" s="3">
        <f>ATAN2(L409,M409)</f>
        <v>-0.57565529478885125</v>
      </c>
      <c r="M415" s="3"/>
      <c r="N415" s="3">
        <f>ATAN2(N409,O409)</f>
        <v>2.5529310648002412</v>
      </c>
      <c r="O415" s="3"/>
      <c r="P415" s="3"/>
      <c r="Q415" s="3">
        <f>ATAN2(Q409,R409)</f>
        <v>0.27135096921137331</v>
      </c>
      <c r="R415" s="3"/>
      <c r="S415" s="3">
        <f>ATAN2(S409,T409)</f>
        <v>-2.884119031878559</v>
      </c>
      <c r="T415" s="3"/>
      <c r="U415" s="3"/>
      <c r="V415" s="3">
        <f>ATAN2(V409,W409)</f>
        <v>-2.0419995733746257</v>
      </c>
      <c r="W415" s="3"/>
      <c r="X415" s="3">
        <f>ATAN2(X409,Y409)</f>
        <v>-2.0379840053065736</v>
      </c>
      <c r="Y415" s="3"/>
      <c r="Z415" s="3"/>
      <c r="AA415" s="3">
        <f>ATAN2(AA409,AB409)</f>
        <v>-1.1936440649381668</v>
      </c>
      <c r="AB415" s="3"/>
      <c r="AC415" s="3">
        <f>ATAN2(AC409,AD409)</f>
        <v>-1.191848130813685</v>
      </c>
      <c r="AD415" s="3"/>
      <c r="AE415" s="3"/>
      <c r="AF415" s="3">
        <f>ATAN2(AF409,AG409)</f>
        <v>-0.34212037078029062</v>
      </c>
      <c r="AG415" s="3"/>
      <c r="AH415" s="3">
        <f>ATAN2(AH409,AI409)</f>
        <v>-0.34571285508223876</v>
      </c>
      <c r="AI415" s="3"/>
      <c r="AJ415" s="3"/>
      <c r="AK415" s="3">
        <f>ATAN2(AK409,AL409)</f>
        <v>0.50052011104801974</v>
      </c>
      <c r="AL415" s="3"/>
      <c r="AM415" s="3"/>
      <c r="AN415" s="3"/>
      <c r="AO415" s="3"/>
      <c r="AP415" s="3">
        <f>ATAN2(AP409,AQ409)</f>
        <v>1.3485833698442198</v>
      </c>
      <c r="AQ415" s="3"/>
    </row>
    <row r="416" spans="1:46">
      <c r="H416" t="s">
        <v>10</v>
      </c>
      <c r="K416" s="3"/>
      <c r="L416" s="3">
        <f>L415/PI()</f>
        <v>-0.18323677136533573</v>
      </c>
      <c r="M416" s="3"/>
      <c r="N416" s="3">
        <f>N415/PI()</f>
        <v>0.8126231966716283</v>
      </c>
      <c r="O416" s="3"/>
      <c r="P416" s="3"/>
      <c r="Q416" s="3">
        <f>Q415/PI()</f>
        <v>8.6373696125533528E-2</v>
      </c>
      <c r="R416" s="3"/>
      <c r="S416" s="3">
        <f>S415/PI()</f>
        <v>-0.9180436007777687</v>
      </c>
      <c r="T416" s="3"/>
      <c r="U416" s="3"/>
      <c r="V416" s="3">
        <f>V415/PI()</f>
        <v>-0.64998865178822618</v>
      </c>
      <c r="W416" s="3"/>
      <c r="X416" s="3">
        <f>X415/PI()</f>
        <v>-0.64871045677352135</v>
      </c>
      <c r="Y416" s="3"/>
      <c r="Z416" s="3"/>
      <c r="AA416" s="3">
        <f>AA415/PI()</f>
        <v>-0.37994870645442513</v>
      </c>
      <c r="AB416" s="3"/>
      <c r="AC416" s="3">
        <f>AC415/PI()</f>
        <v>-0.37937704286766777</v>
      </c>
      <c r="AD416" s="3"/>
      <c r="AE416" s="3"/>
      <c r="AF416" s="3">
        <f>AF415/PI()</f>
        <v>-0.10890029628423058</v>
      </c>
      <c r="AG416" s="3"/>
      <c r="AH416" s="3">
        <f>AH415/PI()</f>
        <v>-0.11004381955350075</v>
      </c>
      <c r="AI416" s="3"/>
      <c r="AJ416" s="3"/>
      <c r="AK416" s="3">
        <f>AK415/PI()</f>
        <v>0.15932049958039343</v>
      </c>
      <c r="AL416" s="3"/>
      <c r="AM416" s="3"/>
      <c r="AN416" s="3"/>
      <c r="AO416" s="3"/>
      <c r="AP416" s="3">
        <f>AP415/PI()</f>
        <v>0.42926741896446652</v>
      </c>
      <c r="AQ416" s="3"/>
    </row>
    <row r="417" spans="8:43">
      <c r="H417" t="s">
        <v>13</v>
      </c>
      <c r="K417" s="3"/>
      <c r="L417" s="3">
        <f>L416-AK416</f>
        <v>-0.34255727094572919</v>
      </c>
      <c r="M417" s="3"/>
      <c r="N417" s="3"/>
      <c r="O417" s="3"/>
      <c r="P417" s="3"/>
      <c r="Q417" s="3">
        <f>Q416-AK416</f>
        <v>-7.2946803454859904E-2</v>
      </c>
      <c r="R417" s="3"/>
      <c r="S417" s="3"/>
      <c r="T417" s="3"/>
      <c r="U417" s="3"/>
      <c r="V417" s="3">
        <f>V416-AK416</f>
        <v>-0.80930915136861958</v>
      </c>
      <c r="W417" s="3"/>
      <c r="X417" s="3"/>
      <c r="Y417" s="3"/>
      <c r="Z417" s="3"/>
      <c r="AA417" s="3">
        <f>AA416-AK416</f>
        <v>-0.53926920603481854</v>
      </c>
      <c r="AB417" s="3"/>
      <c r="AC417" s="3"/>
      <c r="AD417" s="3"/>
      <c r="AE417" s="3"/>
      <c r="AF417" s="3">
        <f>AF416-AK416</f>
        <v>-0.268220795864624</v>
      </c>
      <c r="AG417" s="3"/>
      <c r="AH417" s="3"/>
      <c r="AI417" s="3"/>
      <c r="AJ417" s="3"/>
      <c r="AK417" s="3"/>
      <c r="AL417" s="3"/>
      <c r="AM417" s="3"/>
      <c r="AN417" s="3"/>
      <c r="AO417" s="3"/>
      <c r="AP417" s="3">
        <f>AP416-AK416</f>
        <v>0.26994691938407311</v>
      </c>
      <c r="AQ417" s="3"/>
    </row>
    <row r="418" spans="8:43">
      <c r="H418" t="s">
        <v>14</v>
      </c>
      <c r="K418" s="3"/>
      <c r="L418" s="3">
        <f>(90-92.5)/92.5*50</f>
        <v>-1.3513513513513513</v>
      </c>
      <c r="M418" s="3"/>
      <c r="N418" s="3"/>
      <c r="O418" s="3"/>
      <c r="P418" s="3"/>
      <c r="Q418" s="3">
        <f>(90.5-92.5)/92.5*50</f>
        <v>-1.0810810810810811</v>
      </c>
      <c r="R418" s="3"/>
      <c r="S418" s="3"/>
      <c r="T418" s="3"/>
      <c r="U418" s="3"/>
      <c r="V418" s="3">
        <f>(91-92.5)/92.5*50</f>
        <v>-0.81081081081081086</v>
      </c>
      <c r="W418" s="3"/>
      <c r="X418" s="3"/>
      <c r="Y418" s="3"/>
      <c r="Z418" s="3"/>
      <c r="AA418" s="3">
        <f>(91.5-92.5)/92.5*50</f>
        <v>-0.54054054054054057</v>
      </c>
      <c r="AB418" s="3"/>
      <c r="AC418" s="3"/>
      <c r="AD418" s="3"/>
      <c r="AE418" s="3"/>
      <c r="AF418" s="3">
        <f>(92-92.5)/92.5*50</f>
        <v>-0.27027027027027029</v>
      </c>
      <c r="AG418" s="3"/>
      <c r="AH418" s="3"/>
      <c r="AI418" s="3"/>
      <c r="AJ418" s="3"/>
      <c r="AK418" s="3"/>
      <c r="AL418" s="3"/>
      <c r="AM418" s="3"/>
      <c r="AN418" s="3"/>
      <c r="AO418" s="3"/>
      <c r="AP418" s="3">
        <f>-1*AF418</f>
        <v>0.27027027027027029</v>
      </c>
      <c r="AQ418" s="3"/>
    </row>
    <row r="419" spans="8:43"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</row>
    <row r="420" spans="8:43">
      <c r="K420" s="3"/>
      <c r="L420" s="3"/>
      <c r="M420" s="3"/>
      <c r="N420" s="3"/>
      <c r="O420" s="3"/>
    </row>
  </sheetData>
  <pageMargins left="0" right="0" top="0.39370078740157483" bottom="0.39370078740157483" header="0" footer="0"/>
  <pageSetup paperSize="9" orientation="portrait" r:id="rId1"/>
  <headerFooter>
    <oddHeader>&amp;C&amp;A</oddHeader>
    <oddFooter>&amp;CSida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15"/>
  <sheetViews>
    <sheetView topLeftCell="A381" workbookViewId="0">
      <selection activeCell="J410" sqref="J410"/>
    </sheetView>
  </sheetViews>
  <sheetFormatPr defaultRowHeight="12.75"/>
  <cols>
    <col min="1" max="3" width="12.140625" customWidth="1"/>
    <col min="4" max="4" width="13.5703125" customWidth="1"/>
    <col min="5" max="5" width="13.7109375" customWidth="1"/>
    <col min="6" max="6" width="12.140625" customWidth="1"/>
    <col min="7" max="7" width="13.42578125" customWidth="1"/>
    <col min="8" max="18" width="12.140625" customWidth="1"/>
  </cols>
  <sheetData>
    <row r="1" spans="1:18">
      <c r="D1" t="s">
        <v>5</v>
      </c>
      <c r="F1" t="s">
        <v>6</v>
      </c>
      <c r="J1">
        <v>92</v>
      </c>
      <c r="M1">
        <v>92.5</v>
      </c>
      <c r="P1">
        <v>93</v>
      </c>
    </row>
    <row r="2" spans="1:18">
      <c r="B2" t="s">
        <v>3</v>
      </c>
      <c r="C2" t="s">
        <v>4</v>
      </c>
      <c r="D2" t="s">
        <v>3</v>
      </c>
      <c r="E2" t="s">
        <v>4</v>
      </c>
      <c r="F2" t="s">
        <v>7</v>
      </c>
      <c r="H2" t="s">
        <v>3</v>
      </c>
      <c r="I2" t="s">
        <v>4</v>
      </c>
      <c r="J2" t="s">
        <v>7</v>
      </c>
      <c r="K2" t="s">
        <v>3</v>
      </c>
      <c r="L2" t="s">
        <v>4</v>
      </c>
      <c r="M2" t="s">
        <v>7</v>
      </c>
      <c r="N2" t="s">
        <v>3</v>
      </c>
      <c r="O2" t="s">
        <v>4</v>
      </c>
      <c r="P2" t="s">
        <v>7</v>
      </c>
      <c r="Q2" t="s">
        <v>3</v>
      </c>
      <c r="R2" t="s">
        <v>4</v>
      </c>
    </row>
    <row r="3" spans="1:18">
      <c r="A3">
        <v>0</v>
      </c>
      <c r="B3">
        <v>0</v>
      </c>
      <c r="C3">
        <v>32767</v>
      </c>
      <c r="D3" t="str">
        <f t="shared" ref="D3:D66" si="0">DEC2HEX(B3)</f>
        <v>0</v>
      </c>
      <c r="E3" t="str">
        <f t="shared" ref="E3:E66" si="1">DEC2HEX(C3)</f>
        <v>7FFF</v>
      </c>
      <c r="F3">
        <v>0</v>
      </c>
      <c r="G3" t="str">
        <f t="shared" ref="G3:G66" si="2">DEC2HEX(F3)</f>
        <v>0</v>
      </c>
      <c r="H3">
        <f t="shared" ref="H3:H66" si="3">F3*B3</f>
        <v>0</v>
      </c>
      <c r="I3">
        <f t="shared" ref="I3:I66" si="4">F3*C3</f>
        <v>0</v>
      </c>
      <c r="J3">
        <v>3927</v>
      </c>
      <c r="K3">
        <f t="shared" ref="K3:K66" si="5">J3*B3</f>
        <v>0</v>
      </c>
      <c r="L3">
        <f t="shared" ref="L3:L66" si="6">J3*C3</f>
        <v>128676009</v>
      </c>
      <c r="M3">
        <v>3927</v>
      </c>
      <c r="N3">
        <f t="shared" ref="N3:N66" si="7">M3*B3</f>
        <v>0</v>
      </c>
      <c r="O3">
        <f t="shared" ref="O3:O66" si="8">M3*C3</f>
        <v>128676009</v>
      </c>
      <c r="P3">
        <v>3927</v>
      </c>
      <c r="Q3">
        <f t="shared" ref="Q3:Q66" si="9">P3*B3</f>
        <v>0</v>
      </c>
      <c r="R3">
        <f t="shared" ref="R3:R66" si="10">P3*C3</f>
        <v>128676009</v>
      </c>
    </row>
    <row r="4" spans="1:18">
      <c r="A4">
        <v>1</v>
      </c>
      <c r="B4">
        <v>22926</v>
      </c>
      <c r="C4">
        <v>23411</v>
      </c>
      <c r="D4" t="str">
        <f t="shared" si="0"/>
        <v>598E</v>
      </c>
      <c r="E4" t="str">
        <f t="shared" si="1"/>
        <v>5B73</v>
      </c>
      <c r="F4">
        <v>5732</v>
      </c>
      <c r="G4" t="str">
        <f t="shared" si="2"/>
        <v>1664</v>
      </c>
      <c r="H4">
        <f t="shared" si="3"/>
        <v>131411832</v>
      </c>
      <c r="I4">
        <f t="shared" si="4"/>
        <v>134191852</v>
      </c>
      <c r="J4">
        <v>7826</v>
      </c>
      <c r="K4">
        <f t="shared" si="5"/>
        <v>179418876</v>
      </c>
      <c r="L4">
        <f t="shared" si="6"/>
        <v>183214486</v>
      </c>
      <c r="M4">
        <v>7836</v>
      </c>
      <c r="N4">
        <f t="shared" si="7"/>
        <v>179648136</v>
      </c>
      <c r="O4">
        <f t="shared" si="8"/>
        <v>183448596</v>
      </c>
      <c r="P4">
        <v>7846</v>
      </c>
      <c r="Q4">
        <f t="shared" si="9"/>
        <v>179877396</v>
      </c>
      <c r="R4">
        <f t="shared" si="10"/>
        <v>183682706</v>
      </c>
    </row>
    <row r="5" spans="1:18">
      <c r="A5">
        <f t="shared" ref="A5:A68" si="11">A4+1</f>
        <v>2</v>
      </c>
      <c r="B5">
        <v>32760</v>
      </c>
      <c r="C5">
        <v>686</v>
      </c>
      <c r="D5" t="str">
        <f t="shared" si="0"/>
        <v>7FF8</v>
      </c>
      <c r="E5" t="str">
        <f t="shared" si="1"/>
        <v>2AE</v>
      </c>
      <c r="F5">
        <v>8190</v>
      </c>
      <c r="G5" t="str">
        <f t="shared" si="2"/>
        <v>1FFE</v>
      </c>
      <c r="H5">
        <f t="shared" si="3"/>
        <v>268304400</v>
      </c>
      <c r="I5">
        <f t="shared" si="4"/>
        <v>5618340</v>
      </c>
      <c r="J5">
        <v>7301</v>
      </c>
      <c r="K5">
        <f t="shared" si="5"/>
        <v>239180760</v>
      </c>
      <c r="L5">
        <f t="shared" si="6"/>
        <v>5008486</v>
      </c>
      <c r="M5">
        <v>7270</v>
      </c>
      <c r="N5">
        <f t="shared" si="7"/>
        <v>238165200</v>
      </c>
      <c r="O5">
        <f t="shared" si="8"/>
        <v>4987220</v>
      </c>
      <c r="P5">
        <v>7238</v>
      </c>
      <c r="Q5">
        <f t="shared" si="9"/>
        <v>237116880</v>
      </c>
      <c r="R5">
        <f t="shared" si="10"/>
        <v>4965268</v>
      </c>
    </row>
    <row r="6" spans="1:18">
      <c r="A6">
        <f t="shared" si="11"/>
        <v>3</v>
      </c>
      <c r="B6">
        <v>23886</v>
      </c>
      <c r="C6">
        <v>-22430</v>
      </c>
      <c r="D6" t="str">
        <f t="shared" si="0"/>
        <v>5D4E</v>
      </c>
      <c r="E6" t="str">
        <f t="shared" si="1"/>
        <v>FFFFFFA862</v>
      </c>
      <c r="F6">
        <v>5972</v>
      </c>
      <c r="G6" t="str">
        <f t="shared" si="2"/>
        <v>1754</v>
      </c>
      <c r="H6">
        <f t="shared" si="3"/>
        <v>142647192</v>
      </c>
      <c r="I6">
        <f t="shared" si="4"/>
        <v>-133951960</v>
      </c>
      <c r="J6">
        <v>2650</v>
      </c>
      <c r="K6">
        <f t="shared" si="5"/>
        <v>63297900</v>
      </c>
      <c r="L6">
        <f t="shared" si="6"/>
        <v>-59439500</v>
      </c>
      <c r="M6">
        <v>2552</v>
      </c>
      <c r="N6">
        <f t="shared" si="7"/>
        <v>60957072</v>
      </c>
      <c r="O6">
        <f t="shared" si="8"/>
        <v>-57241360</v>
      </c>
      <c r="P6">
        <v>2454</v>
      </c>
      <c r="Q6">
        <f t="shared" si="9"/>
        <v>58616244</v>
      </c>
      <c r="R6">
        <f t="shared" si="10"/>
        <v>-55043220</v>
      </c>
    </row>
    <row r="7" spans="1:18">
      <c r="A7">
        <f t="shared" si="11"/>
        <v>4</v>
      </c>
      <c r="B7">
        <v>1372</v>
      </c>
      <c r="C7">
        <v>-32738</v>
      </c>
      <c r="D7" t="str">
        <f t="shared" si="0"/>
        <v>55C</v>
      </c>
      <c r="E7" t="str">
        <f t="shared" si="1"/>
        <v>FFFFFF801E</v>
      </c>
      <c r="F7">
        <v>343</v>
      </c>
      <c r="G7" t="str">
        <f t="shared" si="2"/>
        <v>157</v>
      </c>
      <c r="H7">
        <f t="shared" si="3"/>
        <v>470596</v>
      </c>
      <c r="I7">
        <f t="shared" si="4"/>
        <v>-11229134</v>
      </c>
      <c r="J7">
        <v>-3499</v>
      </c>
      <c r="K7">
        <f t="shared" si="5"/>
        <v>-4800628</v>
      </c>
      <c r="L7">
        <f t="shared" si="6"/>
        <v>114550262</v>
      </c>
      <c r="M7">
        <v>-3623</v>
      </c>
      <c r="N7">
        <f t="shared" si="7"/>
        <v>-4970756</v>
      </c>
      <c r="O7">
        <f t="shared" si="8"/>
        <v>118609774</v>
      </c>
      <c r="P7">
        <v>-3746</v>
      </c>
      <c r="Q7">
        <f t="shared" si="9"/>
        <v>-5139512</v>
      </c>
      <c r="R7">
        <f t="shared" si="10"/>
        <v>122636548</v>
      </c>
    </row>
    <row r="8" spans="1:18">
      <c r="A8">
        <f t="shared" si="11"/>
        <v>5</v>
      </c>
      <c r="B8">
        <v>-21925</v>
      </c>
      <c r="C8">
        <v>-24351</v>
      </c>
      <c r="D8" t="str">
        <f t="shared" si="0"/>
        <v>FFFFFFAA5B</v>
      </c>
      <c r="E8" t="str">
        <f t="shared" si="1"/>
        <v>FFFFFFA0E1</v>
      </c>
      <c r="F8">
        <v>-5481</v>
      </c>
      <c r="G8" t="str">
        <f t="shared" si="2"/>
        <v>FFFFFFEA97</v>
      </c>
      <c r="H8">
        <f t="shared" si="3"/>
        <v>120170925</v>
      </c>
      <c r="I8">
        <f t="shared" si="4"/>
        <v>133467831</v>
      </c>
      <c r="J8">
        <v>-7671</v>
      </c>
      <c r="K8">
        <f t="shared" si="5"/>
        <v>168186675</v>
      </c>
      <c r="L8">
        <f t="shared" si="6"/>
        <v>186796521</v>
      </c>
      <c r="M8">
        <v>-7729</v>
      </c>
      <c r="N8">
        <f t="shared" si="7"/>
        <v>169458325</v>
      </c>
      <c r="O8">
        <f t="shared" si="8"/>
        <v>188208879</v>
      </c>
      <c r="P8">
        <v>-7784</v>
      </c>
      <c r="Q8">
        <f t="shared" si="9"/>
        <v>170664200</v>
      </c>
      <c r="R8">
        <f t="shared" si="10"/>
        <v>189548184</v>
      </c>
    </row>
    <row r="9" spans="1:18">
      <c r="A9">
        <f t="shared" si="11"/>
        <v>6</v>
      </c>
      <c r="B9">
        <v>-32702</v>
      </c>
      <c r="C9">
        <v>-2058</v>
      </c>
      <c r="D9" t="str">
        <f t="shared" si="0"/>
        <v>FFFFFF8042</v>
      </c>
      <c r="E9" t="str">
        <f t="shared" si="1"/>
        <v>FFFFFFF7F6</v>
      </c>
      <c r="F9">
        <v>-8176</v>
      </c>
      <c r="G9" t="str">
        <f t="shared" si="2"/>
        <v>FFFFFFE010</v>
      </c>
      <c r="H9">
        <f t="shared" si="3"/>
        <v>267371552</v>
      </c>
      <c r="I9">
        <f t="shared" si="4"/>
        <v>16826208</v>
      </c>
      <c r="J9">
        <v>-7506</v>
      </c>
      <c r="K9">
        <f t="shared" si="5"/>
        <v>245461212</v>
      </c>
      <c r="L9">
        <f t="shared" si="6"/>
        <v>15447348</v>
      </c>
      <c r="M9">
        <v>-7422</v>
      </c>
      <c r="N9">
        <f t="shared" si="7"/>
        <v>242714244</v>
      </c>
      <c r="O9">
        <f t="shared" si="8"/>
        <v>15274476</v>
      </c>
      <c r="P9">
        <v>-7332</v>
      </c>
      <c r="Q9">
        <f t="shared" si="9"/>
        <v>239771064</v>
      </c>
      <c r="R9">
        <f t="shared" si="10"/>
        <v>15089256</v>
      </c>
    </row>
    <row r="10" spans="1:18">
      <c r="A10">
        <f t="shared" si="11"/>
        <v>7</v>
      </c>
      <c r="B10">
        <v>-24805</v>
      </c>
      <c r="C10">
        <v>21410</v>
      </c>
      <c r="D10" t="str">
        <f t="shared" si="0"/>
        <v>FFFFFF9F1B</v>
      </c>
      <c r="E10" t="str">
        <f t="shared" si="1"/>
        <v>53A2</v>
      </c>
      <c r="F10">
        <v>-6201</v>
      </c>
      <c r="G10" t="str">
        <f t="shared" si="2"/>
        <v>FFFFFFE7C7</v>
      </c>
      <c r="H10">
        <f t="shared" si="3"/>
        <v>153815805</v>
      </c>
      <c r="I10">
        <f t="shared" si="4"/>
        <v>-132763410</v>
      </c>
      <c r="J10">
        <v>-3100</v>
      </c>
      <c r="K10">
        <f t="shared" si="5"/>
        <v>76895500</v>
      </c>
      <c r="L10">
        <f t="shared" si="6"/>
        <v>-66371000</v>
      </c>
      <c r="M10">
        <v>-2876</v>
      </c>
      <c r="N10">
        <f t="shared" si="7"/>
        <v>71339180</v>
      </c>
      <c r="O10">
        <f t="shared" si="8"/>
        <v>-61575160</v>
      </c>
      <c r="P10">
        <v>-2650</v>
      </c>
      <c r="Q10">
        <f t="shared" si="9"/>
        <v>65733250</v>
      </c>
      <c r="R10">
        <f t="shared" si="10"/>
        <v>-56736500</v>
      </c>
    </row>
    <row r="11" spans="1:18">
      <c r="A11">
        <f t="shared" si="11"/>
        <v>8</v>
      </c>
      <c r="B11">
        <v>-2742</v>
      </c>
      <c r="C11">
        <v>32652</v>
      </c>
      <c r="D11" t="str">
        <f t="shared" si="0"/>
        <v>FFFFFFF54A</v>
      </c>
      <c r="E11" t="str">
        <f t="shared" si="1"/>
        <v>7F8C</v>
      </c>
      <c r="F11">
        <v>-686</v>
      </c>
      <c r="G11" t="str">
        <f t="shared" si="2"/>
        <v>FFFFFFFD52</v>
      </c>
      <c r="H11">
        <f t="shared" si="3"/>
        <v>1881012</v>
      </c>
      <c r="I11">
        <f t="shared" si="4"/>
        <v>-22399272</v>
      </c>
      <c r="J11">
        <v>3059</v>
      </c>
      <c r="K11">
        <f t="shared" si="5"/>
        <v>-8387778</v>
      </c>
      <c r="L11">
        <f t="shared" si="6"/>
        <v>99882468</v>
      </c>
      <c r="M11">
        <v>3312</v>
      </c>
      <c r="N11">
        <f t="shared" si="7"/>
        <v>-9081504</v>
      </c>
      <c r="O11">
        <f t="shared" si="8"/>
        <v>108143424</v>
      </c>
      <c r="P11">
        <v>3561</v>
      </c>
      <c r="Q11">
        <f t="shared" si="9"/>
        <v>-9764262</v>
      </c>
      <c r="R11">
        <f t="shared" si="10"/>
        <v>116273772</v>
      </c>
    </row>
    <row r="12" spans="1:18">
      <c r="A12">
        <f t="shared" si="11"/>
        <v>9</v>
      </c>
      <c r="B12">
        <v>20886</v>
      </c>
      <c r="C12">
        <v>25248</v>
      </c>
      <c r="D12" t="str">
        <f t="shared" si="0"/>
        <v>5196</v>
      </c>
      <c r="E12" t="str">
        <f t="shared" si="1"/>
        <v>62A0</v>
      </c>
      <c r="F12">
        <v>5222</v>
      </c>
      <c r="G12" t="str">
        <f t="shared" si="2"/>
        <v>1466</v>
      </c>
      <c r="H12">
        <f t="shared" si="3"/>
        <v>109066692</v>
      </c>
      <c r="I12">
        <f t="shared" si="4"/>
        <v>131845056</v>
      </c>
      <c r="J12">
        <v>7489</v>
      </c>
      <c r="K12">
        <f t="shared" si="5"/>
        <v>156415254</v>
      </c>
      <c r="L12">
        <f t="shared" si="6"/>
        <v>189082272</v>
      </c>
      <c r="M12">
        <v>7609</v>
      </c>
      <c r="N12">
        <f t="shared" si="7"/>
        <v>158921574</v>
      </c>
      <c r="O12">
        <f t="shared" si="8"/>
        <v>192112032</v>
      </c>
      <c r="P12">
        <v>7718</v>
      </c>
      <c r="Q12">
        <f t="shared" si="9"/>
        <v>161198148</v>
      </c>
      <c r="R12">
        <f t="shared" si="10"/>
        <v>194864064</v>
      </c>
    </row>
    <row r="13" spans="1:18">
      <c r="A13">
        <f t="shared" si="11"/>
        <v>10</v>
      </c>
      <c r="B13">
        <v>32587</v>
      </c>
      <c r="C13">
        <v>3426</v>
      </c>
      <c r="D13" t="str">
        <f t="shared" si="0"/>
        <v>7F4B</v>
      </c>
      <c r="E13" t="str">
        <f t="shared" si="1"/>
        <v>D62</v>
      </c>
      <c r="F13">
        <v>8147</v>
      </c>
      <c r="G13" t="str">
        <f t="shared" si="2"/>
        <v>1FD3</v>
      </c>
      <c r="H13">
        <f t="shared" si="3"/>
        <v>265486289</v>
      </c>
      <c r="I13">
        <f t="shared" si="4"/>
        <v>27911622</v>
      </c>
      <c r="J13">
        <v>7686</v>
      </c>
      <c r="K13">
        <f t="shared" si="5"/>
        <v>250463682</v>
      </c>
      <c r="L13">
        <f t="shared" si="6"/>
        <v>26332236</v>
      </c>
      <c r="M13">
        <v>7560</v>
      </c>
      <c r="N13">
        <f t="shared" si="7"/>
        <v>246357720</v>
      </c>
      <c r="O13">
        <f t="shared" si="8"/>
        <v>25900560</v>
      </c>
      <c r="P13">
        <v>7422</v>
      </c>
      <c r="Q13">
        <f t="shared" si="9"/>
        <v>241860714</v>
      </c>
      <c r="R13">
        <f t="shared" si="10"/>
        <v>25427772</v>
      </c>
    </row>
    <row r="14" spans="1:18">
      <c r="A14">
        <f t="shared" si="11"/>
        <v>11</v>
      </c>
      <c r="B14">
        <v>25680</v>
      </c>
      <c r="C14">
        <v>-20353</v>
      </c>
      <c r="D14" t="str">
        <f t="shared" si="0"/>
        <v>6450</v>
      </c>
      <c r="E14" t="str">
        <f t="shared" si="1"/>
        <v>FFFFFFB07F</v>
      </c>
      <c r="F14">
        <v>6420</v>
      </c>
      <c r="G14" t="str">
        <f t="shared" si="2"/>
        <v>1914</v>
      </c>
      <c r="H14">
        <f t="shared" si="3"/>
        <v>164865600</v>
      </c>
      <c r="I14">
        <f t="shared" si="4"/>
        <v>-130666260</v>
      </c>
      <c r="J14">
        <v>3539</v>
      </c>
      <c r="K14">
        <f t="shared" si="5"/>
        <v>90881520</v>
      </c>
      <c r="L14">
        <f t="shared" si="6"/>
        <v>-72029267</v>
      </c>
      <c r="M14">
        <v>3195</v>
      </c>
      <c r="N14">
        <f t="shared" si="7"/>
        <v>82047600</v>
      </c>
      <c r="O14">
        <f t="shared" si="8"/>
        <v>-65027835</v>
      </c>
      <c r="P14">
        <v>2844</v>
      </c>
      <c r="Q14">
        <f t="shared" si="9"/>
        <v>73033920</v>
      </c>
      <c r="R14">
        <f t="shared" si="10"/>
        <v>-57883932</v>
      </c>
    </row>
    <row r="15" spans="1:18">
      <c r="A15">
        <f t="shared" si="11"/>
        <v>12</v>
      </c>
      <c r="B15">
        <v>4108</v>
      </c>
      <c r="C15">
        <v>-32509</v>
      </c>
      <c r="D15" t="str">
        <f t="shared" si="0"/>
        <v>100C</v>
      </c>
      <c r="E15" t="str">
        <f t="shared" si="1"/>
        <v>FFFFFF8103</v>
      </c>
      <c r="F15">
        <v>1027</v>
      </c>
      <c r="G15" t="str">
        <f t="shared" si="2"/>
        <v>403</v>
      </c>
      <c r="H15">
        <f t="shared" si="3"/>
        <v>4218916</v>
      </c>
      <c r="I15">
        <f t="shared" si="4"/>
        <v>-33386743</v>
      </c>
      <c r="J15">
        <v>-2609</v>
      </c>
      <c r="K15">
        <f t="shared" si="5"/>
        <v>-10717772</v>
      </c>
      <c r="L15">
        <f t="shared" si="6"/>
        <v>84815981</v>
      </c>
      <c r="M15">
        <v>-2995</v>
      </c>
      <c r="N15">
        <f t="shared" si="7"/>
        <v>-12303460</v>
      </c>
      <c r="O15">
        <f t="shared" si="8"/>
        <v>97364455</v>
      </c>
      <c r="P15">
        <v>-3375</v>
      </c>
      <c r="Q15">
        <f t="shared" si="9"/>
        <v>-13864500</v>
      </c>
      <c r="R15">
        <f t="shared" si="10"/>
        <v>109717875</v>
      </c>
    </row>
    <row r="16" spans="1:18">
      <c r="A16">
        <f t="shared" si="11"/>
        <v>13</v>
      </c>
      <c r="B16">
        <v>-19810</v>
      </c>
      <c r="C16">
        <v>-26100</v>
      </c>
      <c r="D16" t="str">
        <f t="shared" si="0"/>
        <v>FFFFFFB29E</v>
      </c>
      <c r="E16" t="str">
        <f t="shared" si="1"/>
        <v>FFFFFF9A0C</v>
      </c>
      <c r="F16">
        <v>-4953</v>
      </c>
      <c r="G16" t="str">
        <f t="shared" si="2"/>
        <v>FFFFFFECA7</v>
      </c>
      <c r="H16">
        <f t="shared" si="3"/>
        <v>98118930</v>
      </c>
      <c r="I16">
        <f t="shared" si="4"/>
        <v>129273300</v>
      </c>
      <c r="J16">
        <v>-7281</v>
      </c>
      <c r="K16">
        <f t="shared" si="5"/>
        <v>144236610</v>
      </c>
      <c r="L16">
        <f t="shared" si="6"/>
        <v>190034100</v>
      </c>
      <c r="M16">
        <v>-7475</v>
      </c>
      <c r="N16">
        <f t="shared" si="7"/>
        <v>148079750</v>
      </c>
      <c r="O16">
        <f t="shared" si="8"/>
        <v>195097500</v>
      </c>
      <c r="P16">
        <v>-7646</v>
      </c>
      <c r="Q16">
        <f t="shared" si="9"/>
        <v>151467260</v>
      </c>
      <c r="R16">
        <f t="shared" si="10"/>
        <v>199560600</v>
      </c>
    </row>
    <row r="17" spans="1:18">
      <c r="A17">
        <f t="shared" si="11"/>
        <v>14</v>
      </c>
      <c r="B17">
        <v>-32415</v>
      </c>
      <c r="C17">
        <v>-4788</v>
      </c>
      <c r="D17" t="str">
        <f t="shared" si="0"/>
        <v>FFFFFF8161</v>
      </c>
      <c r="E17" t="str">
        <f t="shared" si="1"/>
        <v>FFFFFFED4C</v>
      </c>
      <c r="F17">
        <v>-8104</v>
      </c>
      <c r="G17" t="str">
        <f t="shared" si="2"/>
        <v>FFFFFFE058</v>
      </c>
      <c r="H17">
        <f t="shared" si="3"/>
        <v>262691160</v>
      </c>
      <c r="I17">
        <f t="shared" si="4"/>
        <v>38801952</v>
      </c>
      <c r="J17">
        <v>-7839</v>
      </c>
      <c r="K17">
        <f t="shared" si="5"/>
        <v>254101185</v>
      </c>
      <c r="L17">
        <f t="shared" si="6"/>
        <v>37533132</v>
      </c>
      <c r="M17">
        <v>-7686</v>
      </c>
      <c r="N17">
        <f t="shared" si="7"/>
        <v>249141690</v>
      </c>
      <c r="O17">
        <f t="shared" si="8"/>
        <v>36800568</v>
      </c>
      <c r="P17">
        <v>-7506</v>
      </c>
      <c r="Q17">
        <f t="shared" si="9"/>
        <v>243306990</v>
      </c>
      <c r="R17">
        <f t="shared" si="10"/>
        <v>35938728</v>
      </c>
    </row>
    <row r="18" spans="1:18">
      <c r="A18">
        <f t="shared" si="11"/>
        <v>15</v>
      </c>
      <c r="B18">
        <v>-26510</v>
      </c>
      <c r="C18">
        <v>19259</v>
      </c>
      <c r="D18" t="str">
        <f t="shared" si="0"/>
        <v>FFFFFF9872</v>
      </c>
      <c r="E18" t="str">
        <f t="shared" si="1"/>
        <v>4B3B</v>
      </c>
      <c r="F18">
        <v>-6628</v>
      </c>
      <c r="G18" t="str">
        <f t="shared" si="2"/>
        <v>FFFFFFE61C</v>
      </c>
      <c r="H18">
        <f t="shared" si="3"/>
        <v>175708280</v>
      </c>
      <c r="I18">
        <f t="shared" si="4"/>
        <v>-127648652</v>
      </c>
      <c r="J18">
        <v>-3966</v>
      </c>
      <c r="K18">
        <f t="shared" si="5"/>
        <v>105138660</v>
      </c>
      <c r="L18">
        <f t="shared" si="6"/>
        <v>-76381194</v>
      </c>
      <c r="M18">
        <v>-3508</v>
      </c>
      <c r="N18">
        <f t="shared" si="7"/>
        <v>92997080</v>
      </c>
      <c r="O18">
        <f t="shared" si="8"/>
        <v>-67560572</v>
      </c>
      <c r="P18">
        <v>-3036</v>
      </c>
      <c r="Q18">
        <f t="shared" si="9"/>
        <v>80484360</v>
      </c>
      <c r="R18">
        <f t="shared" si="10"/>
        <v>-58470324</v>
      </c>
    </row>
    <row r="19" spans="1:18">
      <c r="A19">
        <f t="shared" si="11"/>
        <v>16</v>
      </c>
      <c r="B19">
        <v>-5466</v>
      </c>
      <c r="C19">
        <v>32308</v>
      </c>
      <c r="D19" t="str">
        <f t="shared" si="0"/>
        <v>FFFFFFEAA6</v>
      </c>
      <c r="E19" t="str">
        <f t="shared" si="1"/>
        <v>7E34</v>
      </c>
      <c r="F19">
        <v>-1366</v>
      </c>
      <c r="G19" t="str">
        <f t="shared" si="2"/>
        <v>FFFFFFFAAA</v>
      </c>
      <c r="H19">
        <f t="shared" si="3"/>
        <v>7466556</v>
      </c>
      <c r="I19">
        <f t="shared" si="4"/>
        <v>-44132728</v>
      </c>
      <c r="J19">
        <v>2149</v>
      </c>
      <c r="K19">
        <f t="shared" si="5"/>
        <v>-11746434</v>
      </c>
      <c r="L19">
        <f t="shared" si="6"/>
        <v>69429892</v>
      </c>
      <c r="M19">
        <v>2674</v>
      </c>
      <c r="N19">
        <f t="shared" si="7"/>
        <v>-14616084</v>
      </c>
      <c r="O19">
        <f t="shared" si="8"/>
        <v>86391592</v>
      </c>
      <c r="P19">
        <v>3186</v>
      </c>
      <c r="Q19">
        <f t="shared" si="9"/>
        <v>-17414676</v>
      </c>
      <c r="R19">
        <f t="shared" si="10"/>
        <v>102933288</v>
      </c>
    </row>
    <row r="20" spans="1:18">
      <c r="A20">
        <f t="shared" si="11"/>
        <v>17</v>
      </c>
      <c r="B20">
        <v>18700</v>
      </c>
      <c r="C20">
        <v>26907</v>
      </c>
      <c r="D20" t="str">
        <f t="shared" si="0"/>
        <v>490C</v>
      </c>
      <c r="E20" t="str">
        <f t="shared" si="1"/>
        <v>691B</v>
      </c>
      <c r="F20">
        <v>4675</v>
      </c>
      <c r="G20" t="str">
        <f t="shared" si="2"/>
        <v>1243</v>
      </c>
      <c r="H20">
        <f t="shared" si="3"/>
        <v>87422500</v>
      </c>
      <c r="I20">
        <f t="shared" si="4"/>
        <v>125790225</v>
      </c>
      <c r="J20">
        <v>7049</v>
      </c>
      <c r="K20">
        <f t="shared" si="5"/>
        <v>131816300</v>
      </c>
      <c r="L20">
        <f t="shared" si="6"/>
        <v>189667443</v>
      </c>
      <c r="M20">
        <v>7328</v>
      </c>
      <c r="N20">
        <f t="shared" si="7"/>
        <v>137033600</v>
      </c>
      <c r="O20">
        <f t="shared" si="8"/>
        <v>197174496</v>
      </c>
      <c r="P20">
        <v>7570</v>
      </c>
      <c r="Q20">
        <f t="shared" si="9"/>
        <v>141559000</v>
      </c>
      <c r="R20">
        <f t="shared" si="10"/>
        <v>203685990</v>
      </c>
    </row>
    <row r="21" spans="1:18">
      <c r="A21">
        <f t="shared" si="11"/>
        <v>18</v>
      </c>
      <c r="B21">
        <v>32186</v>
      </c>
      <c r="C21">
        <v>6141</v>
      </c>
      <c r="D21" t="str">
        <f t="shared" si="0"/>
        <v>7DBA</v>
      </c>
      <c r="E21" t="str">
        <f t="shared" si="1"/>
        <v>17FD</v>
      </c>
      <c r="F21">
        <v>8047</v>
      </c>
      <c r="G21" t="str">
        <f t="shared" si="2"/>
        <v>1F6F</v>
      </c>
      <c r="H21">
        <f t="shared" si="3"/>
        <v>259000742</v>
      </c>
      <c r="I21">
        <f t="shared" si="4"/>
        <v>49416627</v>
      </c>
      <c r="J21">
        <v>7965</v>
      </c>
      <c r="K21">
        <f t="shared" si="5"/>
        <v>256361490</v>
      </c>
      <c r="L21">
        <f t="shared" si="6"/>
        <v>48913065</v>
      </c>
      <c r="M21">
        <v>7798</v>
      </c>
      <c r="N21">
        <f t="shared" si="7"/>
        <v>250986428</v>
      </c>
      <c r="O21">
        <f t="shared" si="8"/>
        <v>47887518</v>
      </c>
      <c r="P21">
        <v>7586</v>
      </c>
      <c r="Q21">
        <f t="shared" si="9"/>
        <v>244162996</v>
      </c>
      <c r="R21">
        <f t="shared" si="10"/>
        <v>46585626</v>
      </c>
    </row>
    <row r="22" spans="1:18">
      <c r="A22">
        <f t="shared" si="11"/>
        <v>19</v>
      </c>
      <c r="B22">
        <v>27293</v>
      </c>
      <c r="C22">
        <v>-18132</v>
      </c>
      <c r="D22" t="str">
        <f t="shared" si="0"/>
        <v>6A9D</v>
      </c>
      <c r="E22" t="str">
        <f t="shared" si="1"/>
        <v>FFFFFFB92C</v>
      </c>
      <c r="F22">
        <v>6823</v>
      </c>
      <c r="G22" t="str">
        <f t="shared" si="2"/>
        <v>1AA7</v>
      </c>
      <c r="H22">
        <f t="shared" si="3"/>
        <v>186220139</v>
      </c>
      <c r="I22">
        <f t="shared" si="4"/>
        <v>-123714636</v>
      </c>
      <c r="J22">
        <v>4379</v>
      </c>
      <c r="K22">
        <f t="shared" si="5"/>
        <v>119516047</v>
      </c>
      <c r="L22">
        <f t="shared" si="6"/>
        <v>-79400028</v>
      </c>
      <c r="M22">
        <v>3815</v>
      </c>
      <c r="N22">
        <f t="shared" si="7"/>
        <v>104122795</v>
      </c>
      <c r="O22">
        <f t="shared" si="8"/>
        <v>-69173580</v>
      </c>
      <c r="P22">
        <v>3226</v>
      </c>
      <c r="Q22">
        <f t="shared" si="9"/>
        <v>88047218</v>
      </c>
      <c r="R22">
        <f t="shared" si="10"/>
        <v>-58493832</v>
      </c>
    </row>
    <row r="23" spans="1:18">
      <c r="A23">
        <f t="shared" si="11"/>
        <v>20</v>
      </c>
      <c r="B23">
        <v>6814</v>
      </c>
      <c r="C23">
        <v>-32051</v>
      </c>
      <c r="D23" t="str">
        <f t="shared" si="0"/>
        <v>1A9E</v>
      </c>
      <c r="E23" t="str">
        <f t="shared" si="1"/>
        <v>FFFFFF82CD</v>
      </c>
      <c r="F23">
        <v>1704</v>
      </c>
      <c r="G23" t="str">
        <f t="shared" si="2"/>
        <v>6A8</v>
      </c>
      <c r="H23">
        <f t="shared" si="3"/>
        <v>11611056</v>
      </c>
      <c r="I23">
        <f t="shared" si="4"/>
        <v>-54614904</v>
      </c>
      <c r="J23">
        <v>-1682</v>
      </c>
      <c r="K23">
        <f t="shared" si="5"/>
        <v>-11461148</v>
      </c>
      <c r="L23">
        <f t="shared" si="6"/>
        <v>53909782</v>
      </c>
      <c r="M23">
        <v>-2347</v>
      </c>
      <c r="N23">
        <f t="shared" si="7"/>
        <v>-15992458</v>
      </c>
      <c r="O23">
        <f t="shared" si="8"/>
        <v>75223697</v>
      </c>
      <c r="P23">
        <v>-2995</v>
      </c>
      <c r="Q23">
        <f t="shared" si="9"/>
        <v>-20407930</v>
      </c>
      <c r="R23">
        <f t="shared" si="10"/>
        <v>95992745</v>
      </c>
    </row>
    <row r="24" spans="1:18">
      <c r="A24">
        <f t="shared" si="11"/>
        <v>21</v>
      </c>
      <c r="B24">
        <v>-17556</v>
      </c>
      <c r="C24">
        <v>-27667</v>
      </c>
      <c r="D24" t="str">
        <f t="shared" si="0"/>
        <v>FFFFFFBB6C</v>
      </c>
      <c r="E24" t="str">
        <f t="shared" si="1"/>
        <v>FFFFFF93ED</v>
      </c>
      <c r="F24">
        <v>-4389</v>
      </c>
      <c r="G24" t="str">
        <f t="shared" si="2"/>
        <v>FFFFFFEEDB</v>
      </c>
      <c r="H24">
        <f t="shared" si="3"/>
        <v>77053284</v>
      </c>
      <c r="I24">
        <f t="shared" si="4"/>
        <v>121430463</v>
      </c>
      <c r="J24">
        <v>-6792</v>
      </c>
      <c r="K24">
        <f t="shared" si="5"/>
        <v>119240352</v>
      </c>
      <c r="L24">
        <f t="shared" si="6"/>
        <v>187914264</v>
      </c>
      <c r="M24">
        <v>-7168</v>
      </c>
      <c r="N24">
        <f t="shared" si="7"/>
        <v>125841408</v>
      </c>
      <c r="O24">
        <f t="shared" si="8"/>
        <v>198317056</v>
      </c>
      <c r="P24">
        <v>-7489</v>
      </c>
      <c r="Q24">
        <f t="shared" si="9"/>
        <v>131476884</v>
      </c>
      <c r="R24">
        <f t="shared" si="10"/>
        <v>207198163</v>
      </c>
    </row>
    <row r="25" spans="1:18">
      <c r="A25">
        <f t="shared" si="11"/>
        <v>22</v>
      </c>
      <c r="B25">
        <v>-31901</v>
      </c>
      <c r="C25">
        <v>-7484</v>
      </c>
      <c r="D25" t="str">
        <f t="shared" si="0"/>
        <v>FFFFFF8363</v>
      </c>
      <c r="E25" t="str">
        <f t="shared" si="1"/>
        <v>FFFFFFE2C4</v>
      </c>
      <c r="F25">
        <v>-7975</v>
      </c>
      <c r="G25" t="str">
        <f t="shared" si="2"/>
        <v>FFFFFFE0D9</v>
      </c>
      <c r="H25">
        <f t="shared" si="3"/>
        <v>254410475</v>
      </c>
      <c r="I25">
        <f t="shared" si="4"/>
        <v>59684900</v>
      </c>
      <c r="J25">
        <v>-8063</v>
      </c>
      <c r="K25">
        <f t="shared" si="5"/>
        <v>257217763</v>
      </c>
      <c r="L25">
        <f t="shared" si="6"/>
        <v>60343492</v>
      </c>
      <c r="M25">
        <v>-7896</v>
      </c>
      <c r="N25">
        <f t="shared" si="7"/>
        <v>251890296</v>
      </c>
      <c r="O25">
        <f t="shared" si="8"/>
        <v>59093664</v>
      </c>
      <c r="P25">
        <v>-7662</v>
      </c>
      <c r="Q25">
        <f t="shared" si="9"/>
        <v>244425462</v>
      </c>
      <c r="R25">
        <f t="shared" si="10"/>
        <v>57342408</v>
      </c>
    </row>
    <row r="26" spans="1:18">
      <c r="A26">
        <f t="shared" si="11"/>
        <v>23</v>
      </c>
      <c r="B26">
        <v>-28029</v>
      </c>
      <c r="C26">
        <v>16973</v>
      </c>
      <c r="D26" t="str">
        <f t="shared" si="0"/>
        <v>FFFFFF9283</v>
      </c>
      <c r="E26" t="str">
        <f t="shared" si="1"/>
        <v>424D</v>
      </c>
      <c r="F26">
        <v>-7007</v>
      </c>
      <c r="G26" t="str">
        <f t="shared" si="2"/>
        <v>FFFFFFE4A1</v>
      </c>
      <c r="H26">
        <f t="shared" si="3"/>
        <v>196399203</v>
      </c>
      <c r="I26">
        <f t="shared" si="4"/>
        <v>-118929811</v>
      </c>
      <c r="J26">
        <v>-4777</v>
      </c>
      <c r="K26">
        <f t="shared" si="5"/>
        <v>133894533</v>
      </c>
      <c r="L26">
        <f t="shared" si="6"/>
        <v>-81080021</v>
      </c>
      <c r="M26">
        <v>-4115</v>
      </c>
      <c r="N26">
        <f t="shared" si="7"/>
        <v>115339335</v>
      </c>
      <c r="O26">
        <f t="shared" si="8"/>
        <v>-69843895</v>
      </c>
      <c r="P26">
        <v>-3414</v>
      </c>
      <c r="Q26">
        <f t="shared" si="9"/>
        <v>95691006</v>
      </c>
      <c r="R26">
        <f t="shared" si="10"/>
        <v>-57945822</v>
      </c>
    </row>
    <row r="27" spans="1:18">
      <c r="A27">
        <f t="shared" si="11"/>
        <v>24</v>
      </c>
      <c r="B27">
        <v>-8150</v>
      </c>
      <c r="C27">
        <v>31737</v>
      </c>
      <c r="D27" t="str">
        <f t="shared" si="0"/>
        <v>FFFFFFE02A</v>
      </c>
      <c r="E27" t="str">
        <f t="shared" si="1"/>
        <v>7BF9</v>
      </c>
      <c r="F27">
        <v>-2038</v>
      </c>
      <c r="G27" t="str">
        <f t="shared" si="2"/>
        <v>FFFFFFF80A</v>
      </c>
      <c r="H27">
        <f t="shared" si="3"/>
        <v>16609700</v>
      </c>
      <c r="I27">
        <f t="shared" si="4"/>
        <v>-64680006</v>
      </c>
      <c r="J27">
        <v>1209</v>
      </c>
      <c r="K27">
        <f t="shared" si="5"/>
        <v>-9853350</v>
      </c>
      <c r="L27">
        <f t="shared" si="6"/>
        <v>38370033</v>
      </c>
      <c r="M27">
        <v>2016</v>
      </c>
      <c r="N27">
        <f t="shared" si="7"/>
        <v>-16430400</v>
      </c>
      <c r="O27">
        <f t="shared" si="8"/>
        <v>63981792</v>
      </c>
      <c r="P27">
        <v>2803</v>
      </c>
      <c r="Q27">
        <f t="shared" si="9"/>
        <v>-22844450</v>
      </c>
      <c r="R27">
        <f t="shared" si="10"/>
        <v>88958811</v>
      </c>
    </row>
    <row r="28" spans="1:18">
      <c r="A28">
        <f t="shared" si="11"/>
        <v>25</v>
      </c>
      <c r="B28">
        <v>16382</v>
      </c>
      <c r="C28">
        <v>28378</v>
      </c>
      <c r="D28" t="str">
        <f t="shared" si="0"/>
        <v>3FFE</v>
      </c>
      <c r="E28" t="str">
        <f t="shared" si="1"/>
        <v>6EDA</v>
      </c>
      <c r="F28">
        <v>4096</v>
      </c>
      <c r="G28" t="str">
        <f t="shared" si="2"/>
        <v>1000</v>
      </c>
      <c r="H28">
        <f t="shared" si="3"/>
        <v>67100672</v>
      </c>
      <c r="I28">
        <f t="shared" si="4"/>
        <v>116236288</v>
      </c>
      <c r="J28">
        <v>6512</v>
      </c>
      <c r="K28">
        <f t="shared" si="5"/>
        <v>106679584</v>
      </c>
      <c r="L28">
        <f t="shared" si="6"/>
        <v>184797536</v>
      </c>
      <c r="M28">
        <v>6996</v>
      </c>
      <c r="N28">
        <f t="shared" si="7"/>
        <v>114608472</v>
      </c>
      <c r="O28">
        <f t="shared" si="8"/>
        <v>198532488</v>
      </c>
      <c r="P28">
        <v>7403</v>
      </c>
      <c r="Q28">
        <f t="shared" si="9"/>
        <v>121275946</v>
      </c>
      <c r="R28">
        <f t="shared" si="10"/>
        <v>210082334</v>
      </c>
    </row>
    <row r="29" spans="1:18">
      <c r="A29">
        <f t="shared" si="11"/>
        <v>26</v>
      </c>
      <c r="B29">
        <v>31559</v>
      </c>
      <c r="C29">
        <v>8813</v>
      </c>
      <c r="D29" t="str">
        <f t="shared" si="0"/>
        <v>7B47</v>
      </c>
      <c r="E29" t="str">
        <f t="shared" si="1"/>
        <v>226D</v>
      </c>
      <c r="F29">
        <v>7890</v>
      </c>
      <c r="G29" t="str">
        <f t="shared" si="2"/>
        <v>1ED2</v>
      </c>
      <c r="H29">
        <f t="shared" si="3"/>
        <v>249000510</v>
      </c>
      <c r="I29">
        <f t="shared" si="4"/>
        <v>69534570</v>
      </c>
      <c r="J29">
        <v>8134</v>
      </c>
      <c r="K29">
        <f t="shared" si="5"/>
        <v>256700906</v>
      </c>
      <c r="L29">
        <f t="shared" si="6"/>
        <v>71684942</v>
      </c>
      <c r="M29">
        <v>7980</v>
      </c>
      <c r="N29">
        <f t="shared" si="7"/>
        <v>251840820</v>
      </c>
      <c r="O29">
        <f t="shared" si="8"/>
        <v>70327740</v>
      </c>
      <c r="P29">
        <v>7732</v>
      </c>
      <c r="Q29">
        <f t="shared" si="9"/>
        <v>244014188</v>
      </c>
      <c r="R29">
        <f t="shared" si="10"/>
        <v>68142116</v>
      </c>
    </row>
    <row r="30" spans="1:18">
      <c r="A30">
        <f t="shared" si="11"/>
        <v>27</v>
      </c>
      <c r="B30">
        <v>28715</v>
      </c>
      <c r="C30">
        <v>-15784</v>
      </c>
      <c r="D30" t="str">
        <f t="shared" si="0"/>
        <v>702B</v>
      </c>
      <c r="E30" t="str">
        <f t="shared" si="1"/>
        <v>FFFFFFC258</v>
      </c>
      <c r="F30">
        <v>7179</v>
      </c>
      <c r="G30" t="str">
        <f t="shared" si="2"/>
        <v>1C0B</v>
      </c>
      <c r="H30">
        <f t="shared" si="3"/>
        <v>206144985</v>
      </c>
      <c r="I30">
        <f t="shared" si="4"/>
        <v>-113313336</v>
      </c>
      <c r="J30">
        <v>5159</v>
      </c>
      <c r="K30">
        <f t="shared" si="5"/>
        <v>148140685</v>
      </c>
      <c r="L30">
        <f t="shared" si="6"/>
        <v>-81429656</v>
      </c>
      <c r="M30">
        <v>4408</v>
      </c>
      <c r="N30">
        <f t="shared" si="7"/>
        <v>126575720</v>
      </c>
      <c r="O30">
        <f t="shared" si="8"/>
        <v>-69575872</v>
      </c>
      <c r="P30">
        <v>3600</v>
      </c>
      <c r="Q30">
        <f t="shared" si="9"/>
        <v>103374000</v>
      </c>
      <c r="R30">
        <f t="shared" si="10"/>
        <v>-56822400</v>
      </c>
    </row>
    <row r="31" spans="1:18">
      <c r="A31">
        <f t="shared" si="11"/>
        <v>28</v>
      </c>
      <c r="B31">
        <v>9473</v>
      </c>
      <c r="C31">
        <v>-31368</v>
      </c>
      <c r="D31" t="str">
        <f t="shared" si="0"/>
        <v>2501</v>
      </c>
      <c r="E31" t="str">
        <f t="shared" si="1"/>
        <v>FFFFFF8578</v>
      </c>
      <c r="F31">
        <v>2368</v>
      </c>
      <c r="G31" t="str">
        <f t="shared" si="2"/>
        <v>940</v>
      </c>
      <c r="H31">
        <f t="shared" si="3"/>
        <v>22432064</v>
      </c>
      <c r="I31">
        <f t="shared" si="4"/>
        <v>-74279424</v>
      </c>
      <c r="J31">
        <v>-732</v>
      </c>
      <c r="K31">
        <f t="shared" si="5"/>
        <v>-6934236</v>
      </c>
      <c r="L31">
        <f t="shared" si="6"/>
        <v>22961376</v>
      </c>
      <c r="M31">
        <v>-1682</v>
      </c>
      <c r="N31">
        <f t="shared" si="7"/>
        <v>-15933586</v>
      </c>
      <c r="O31">
        <f t="shared" si="8"/>
        <v>52760976</v>
      </c>
      <c r="P31">
        <v>-2609</v>
      </c>
      <c r="Q31">
        <f t="shared" si="9"/>
        <v>-24715057</v>
      </c>
      <c r="R31">
        <f t="shared" si="10"/>
        <v>81839112</v>
      </c>
    </row>
    <row r="32" spans="1:18">
      <c r="A32">
        <f t="shared" si="11"/>
        <v>29</v>
      </c>
      <c r="B32">
        <v>-15179</v>
      </c>
      <c r="C32">
        <v>-29039</v>
      </c>
      <c r="D32" t="str">
        <f t="shared" si="0"/>
        <v>FFFFFFC4B5</v>
      </c>
      <c r="E32" t="str">
        <f t="shared" si="1"/>
        <v>FFFFFF8E91</v>
      </c>
      <c r="F32">
        <v>-3795</v>
      </c>
      <c r="G32" t="str">
        <f t="shared" si="2"/>
        <v>FFFFFFF12D</v>
      </c>
      <c r="H32">
        <f t="shared" si="3"/>
        <v>57604305</v>
      </c>
      <c r="I32">
        <f t="shared" si="4"/>
        <v>110203005</v>
      </c>
      <c r="J32">
        <v>-6210</v>
      </c>
      <c r="K32">
        <f t="shared" si="5"/>
        <v>94261590</v>
      </c>
      <c r="L32">
        <f t="shared" si="6"/>
        <v>180332190</v>
      </c>
      <c r="M32">
        <v>-6811</v>
      </c>
      <c r="N32">
        <f t="shared" si="7"/>
        <v>103384169</v>
      </c>
      <c r="O32">
        <f t="shared" si="8"/>
        <v>197784629</v>
      </c>
      <c r="P32">
        <v>-7313</v>
      </c>
      <c r="Q32">
        <f t="shared" si="9"/>
        <v>111004027</v>
      </c>
      <c r="R32">
        <f t="shared" si="10"/>
        <v>212362207</v>
      </c>
    </row>
    <row r="33" spans="1:18">
      <c r="A33">
        <f t="shared" si="11"/>
        <v>30</v>
      </c>
      <c r="B33">
        <v>-31163</v>
      </c>
      <c r="C33">
        <v>-10128</v>
      </c>
      <c r="D33" t="str">
        <f t="shared" si="0"/>
        <v>FFFFFF8645</v>
      </c>
      <c r="E33" t="str">
        <f t="shared" si="1"/>
        <v>FFFFFFD870</v>
      </c>
      <c r="F33">
        <v>-7791</v>
      </c>
      <c r="G33" t="str">
        <f t="shared" si="2"/>
        <v>FFFFFFE191</v>
      </c>
      <c r="H33">
        <f t="shared" si="3"/>
        <v>242790933</v>
      </c>
      <c r="I33">
        <f t="shared" si="4"/>
        <v>78907248</v>
      </c>
      <c r="J33">
        <v>-8177</v>
      </c>
      <c r="K33">
        <f t="shared" si="5"/>
        <v>254819851</v>
      </c>
      <c r="L33">
        <f t="shared" si="6"/>
        <v>82816656</v>
      </c>
      <c r="M33">
        <v>-8051</v>
      </c>
      <c r="N33">
        <f t="shared" si="7"/>
        <v>250893313</v>
      </c>
      <c r="O33">
        <f t="shared" si="8"/>
        <v>81540528</v>
      </c>
      <c r="P33">
        <v>-7798</v>
      </c>
      <c r="Q33">
        <f t="shared" si="9"/>
        <v>243009074</v>
      </c>
      <c r="R33">
        <f t="shared" si="10"/>
        <v>78978144</v>
      </c>
    </row>
    <row r="34" spans="1:18">
      <c r="A34">
        <f t="shared" si="11"/>
        <v>31</v>
      </c>
      <c r="B34">
        <v>-29351</v>
      </c>
      <c r="C34">
        <v>14567</v>
      </c>
      <c r="D34" t="str">
        <f t="shared" si="0"/>
        <v>FFFFFF8D59</v>
      </c>
      <c r="E34" t="str">
        <f t="shared" si="1"/>
        <v>38E7</v>
      </c>
      <c r="F34">
        <v>-7338</v>
      </c>
      <c r="G34" t="str">
        <f t="shared" si="2"/>
        <v>FFFFFFE356</v>
      </c>
      <c r="H34">
        <f t="shared" si="3"/>
        <v>215377638</v>
      </c>
      <c r="I34">
        <f t="shared" si="4"/>
        <v>-106892646</v>
      </c>
      <c r="J34">
        <v>-5523</v>
      </c>
      <c r="K34">
        <f t="shared" si="5"/>
        <v>162105573</v>
      </c>
      <c r="L34">
        <f t="shared" si="6"/>
        <v>-80453541</v>
      </c>
      <c r="M34">
        <v>-4693</v>
      </c>
      <c r="N34">
        <f t="shared" si="7"/>
        <v>137744243</v>
      </c>
      <c r="O34">
        <f t="shared" si="8"/>
        <v>-68362931</v>
      </c>
      <c r="P34">
        <v>-3784</v>
      </c>
      <c r="Q34">
        <f t="shared" si="9"/>
        <v>111064184</v>
      </c>
      <c r="R34">
        <f t="shared" si="10"/>
        <v>-55121528</v>
      </c>
    </row>
    <row r="35" spans="1:18">
      <c r="A35">
        <f t="shared" si="11"/>
        <v>32</v>
      </c>
      <c r="B35">
        <v>-10778</v>
      </c>
      <c r="C35">
        <v>30944</v>
      </c>
      <c r="D35" t="str">
        <f t="shared" si="0"/>
        <v>FFFFFFD5E6</v>
      </c>
      <c r="E35" t="str">
        <f t="shared" si="1"/>
        <v>78E0</v>
      </c>
      <c r="F35">
        <v>-2695</v>
      </c>
      <c r="G35" t="str">
        <f t="shared" si="2"/>
        <v>FFFFFFF579</v>
      </c>
      <c r="H35">
        <f t="shared" si="3"/>
        <v>29046710</v>
      </c>
      <c r="I35">
        <f t="shared" si="4"/>
        <v>-83394080</v>
      </c>
      <c r="J35">
        <v>253</v>
      </c>
      <c r="K35">
        <f t="shared" si="5"/>
        <v>-2726834</v>
      </c>
      <c r="L35">
        <f t="shared" si="6"/>
        <v>7828832</v>
      </c>
      <c r="M35">
        <v>1345</v>
      </c>
      <c r="N35">
        <f t="shared" si="7"/>
        <v>-14496410</v>
      </c>
      <c r="O35">
        <f t="shared" si="8"/>
        <v>41619680</v>
      </c>
      <c r="P35">
        <v>2413</v>
      </c>
      <c r="Q35">
        <f t="shared" si="9"/>
        <v>-26007314</v>
      </c>
      <c r="R35">
        <f t="shared" si="10"/>
        <v>74667872</v>
      </c>
    </row>
    <row r="36" spans="1:18">
      <c r="A36">
        <f t="shared" si="11"/>
        <v>33</v>
      </c>
      <c r="B36">
        <v>13949</v>
      </c>
      <c r="C36">
        <v>29649</v>
      </c>
      <c r="D36" t="str">
        <f t="shared" si="0"/>
        <v>367D</v>
      </c>
      <c r="E36" t="str">
        <f t="shared" si="1"/>
        <v>73D1</v>
      </c>
      <c r="F36">
        <v>3487</v>
      </c>
      <c r="G36" t="str">
        <f t="shared" si="2"/>
        <v>D9F</v>
      </c>
      <c r="H36">
        <f t="shared" si="3"/>
        <v>48640163</v>
      </c>
      <c r="I36">
        <f t="shared" si="4"/>
        <v>103386063</v>
      </c>
      <c r="J36">
        <v>5886</v>
      </c>
      <c r="K36">
        <f t="shared" si="5"/>
        <v>82103814</v>
      </c>
      <c r="L36">
        <f t="shared" si="6"/>
        <v>174514014</v>
      </c>
      <c r="M36">
        <v>6615</v>
      </c>
      <c r="N36">
        <f t="shared" si="7"/>
        <v>92272635</v>
      </c>
      <c r="O36">
        <f t="shared" si="8"/>
        <v>196128135</v>
      </c>
      <c r="P36">
        <v>7217</v>
      </c>
      <c r="Q36">
        <f t="shared" si="9"/>
        <v>100669933</v>
      </c>
      <c r="R36">
        <f t="shared" si="10"/>
        <v>213976833</v>
      </c>
    </row>
    <row r="37" spans="1:18">
      <c r="A37">
        <f t="shared" si="11"/>
        <v>34</v>
      </c>
      <c r="B37">
        <v>30711</v>
      </c>
      <c r="C37">
        <v>11424</v>
      </c>
      <c r="D37" t="str">
        <f t="shared" si="0"/>
        <v>77F7</v>
      </c>
      <c r="E37" t="str">
        <f t="shared" si="1"/>
        <v>2CA0</v>
      </c>
      <c r="F37">
        <v>7678</v>
      </c>
      <c r="G37" t="str">
        <f t="shared" si="2"/>
        <v>1DFE</v>
      </c>
      <c r="H37">
        <f t="shared" si="3"/>
        <v>235799058</v>
      </c>
      <c r="I37">
        <f t="shared" si="4"/>
        <v>87713472</v>
      </c>
      <c r="J37">
        <v>8192</v>
      </c>
      <c r="K37">
        <f t="shared" si="5"/>
        <v>251584512</v>
      </c>
      <c r="L37">
        <f t="shared" si="6"/>
        <v>93585408</v>
      </c>
      <c r="M37">
        <v>8107</v>
      </c>
      <c r="N37">
        <f t="shared" si="7"/>
        <v>248974077</v>
      </c>
      <c r="O37">
        <f t="shared" si="8"/>
        <v>92614368</v>
      </c>
      <c r="P37">
        <v>7858</v>
      </c>
      <c r="Q37">
        <f t="shared" si="9"/>
        <v>241327038</v>
      </c>
      <c r="R37">
        <f t="shared" si="10"/>
        <v>89769792</v>
      </c>
    </row>
    <row r="38" spans="1:18">
      <c r="A38">
        <f t="shared" si="11"/>
        <v>35</v>
      </c>
      <c r="B38">
        <v>29935</v>
      </c>
      <c r="C38">
        <v>-13325</v>
      </c>
      <c r="D38" t="str">
        <f t="shared" si="0"/>
        <v>74EF</v>
      </c>
      <c r="E38" t="str">
        <f t="shared" si="1"/>
        <v>FFFFFFCBF3</v>
      </c>
      <c r="F38">
        <v>7484</v>
      </c>
      <c r="G38" t="str">
        <f t="shared" si="2"/>
        <v>1D3C</v>
      </c>
      <c r="H38">
        <f t="shared" si="3"/>
        <v>224033540</v>
      </c>
      <c r="I38">
        <f t="shared" si="4"/>
        <v>-99724300</v>
      </c>
      <c r="J38">
        <v>5868</v>
      </c>
      <c r="K38">
        <f t="shared" si="5"/>
        <v>175658580</v>
      </c>
      <c r="L38">
        <f t="shared" si="6"/>
        <v>-78191100</v>
      </c>
      <c r="M38">
        <v>4970</v>
      </c>
      <c r="N38">
        <f t="shared" si="7"/>
        <v>148776950</v>
      </c>
      <c r="O38">
        <f t="shared" si="8"/>
        <v>-66225250</v>
      </c>
      <c r="P38">
        <v>3966</v>
      </c>
      <c r="Q38">
        <f t="shared" si="9"/>
        <v>118722210</v>
      </c>
      <c r="R38">
        <f t="shared" si="10"/>
        <v>-52846950</v>
      </c>
    </row>
    <row r="39" spans="1:18">
      <c r="A39">
        <f t="shared" si="11"/>
        <v>36</v>
      </c>
      <c r="B39">
        <v>12065</v>
      </c>
      <c r="C39">
        <v>-30465</v>
      </c>
      <c r="D39" t="str">
        <f t="shared" si="0"/>
        <v>2F21</v>
      </c>
      <c r="E39" t="str">
        <f t="shared" si="1"/>
        <v>FFFFFF88FF</v>
      </c>
      <c r="F39">
        <v>3016</v>
      </c>
      <c r="G39" t="str">
        <f t="shared" si="2"/>
        <v>BC8</v>
      </c>
      <c r="H39">
        <f t="shared" si="3"/>
        <v>36388040</v>
      </c>
      <c r="I39">
        <f t="shared" si="4"/>
        <v>-91882440</v>
      </c>
      <c r="J39">
        <v>228</v>
      </c>
      <c r="K39">
        <f t="shared" si="5"/>
        <v>2750820</v>
      </c>
      <c r="L39">
        <f t="shared" si="6"/>
        <v>-6946020</v>
      </c>
      <c r="M39">
        <v>-1005</v>
      </c>
      <c r="N39">
        <f t="shared" si="7"/>
        <v>-12125325</v>
      </c>
      <c r="O39">
        <f t="shared" si="8"/>
        <v>30617325</v>
      </c>
      <c r="P39">
        <v>-2215</v>
      </c>
      <c r="Q39">
        <f t="shared" si="9"/>
        <v>-26723975</v>
      </c>
      <c r="R39">
        <f t="shared" si="10"/>
        <v>67479975</v>
      </c>
    </row>
    <row r="40" spans="1:18">
      <c r="A40">
        <f t="shared" si="11"/>
        <v>37</v>
      </c>
      <c r="B40">
        <v>-12695</v>
      </c>
      <c r="C40">
        <v>-30208</v>
      </c>
      <c r="D40" t="str">
        <f t="shared" si="0"/>
        <v>FFFFFFCE69</v>
      </c>
      <c r="E40" t="str">
        <f t="shared" si="1"/>
        <v>FFFFFF8A00</v>
      </c>
      <c r="F40">
        <v>-3174</v>
      </c>
      <c r="G40" t="str">
        <f t="shared" si="2"/>
        <v>FFFFFFF39A</v>
      </c>
      <c r="H40">
        <f t="shared" si="3"/>
        <v>40293930</v>
      </c>
      <c r="I40">
        <f t="shared" si="4"/>
        <v>95880192</v>
      </c>
      <c r="J40">
        <v>-5542</v>
      </c>
      <c r="K40">
        <f t="shared" si="5"/>
        <v>70355690</v>
      </c>
      <c r="L40">
        <f t="shared" si="6"/>
        <v>167412736</v>
      </c>
      <c r="M40">
        <v>-6406</v>
      </c>
      <c r="N40">
        <f t="shared" si="7"/>
        <v>81324170</v>
      </c>
      <c r="O40">
        <f t="shared" si="8"/>
        <v>193512448</v>
      </c>
      <c r="P40">
        <v>-7118</v>
      </c>
      <c r="Q40">
        <f t="shared" si="9"/>
        <v>90363010</v>
      </c>
      <c r="R40">
        <f t="shared" si="10"/>
        <v>215020544</v>
      </c>
    </row>
    <row r="41" spans="1:18">
      <c r="A41">
        <f t="shared" si="11"/>
        <v>38</v>
      </c>
      <c r="B41">
        <v>-30206</v>
      </c>
      <c r="C41">
        <v>-12700</v>
      </c>
      <c r="D41" t="str">
        <f t="shared" si="0"/>
        <v>FFFFFF8A02</v>
      </c>
      <c r="E41" t="str">
        <f t="shared" si="1"/>
        <v>FFFFFFCE64</v>
      </c>
      <c r="F41">
        <v>-7552</v>
      </c>
      <c r="G41" t="str">
        <f t="shared" si="2"/>
        <v>FFFFFFE280</v>
      </c>
      <c r="H41">
        <f t="shared" si="3"/>
        <v>228115712</v>
      </c>
      <c r="I41">
        <f t="shared" si="4"/>
        <v>95910400</v>
      </c>
      <c r="J41">
        <v>-8179</v>
      </c>
      <c r="K41">
        <f t="shared" si="5"/>
        <v>247054874</v>
      </c>
      <c r="L41">
        <f t="shared" si="6"/>
        <v>103873300</v>
      </c>
      <c r="M41">
        <v>-8149</v>
      </c>
      <c r="N41">
        <f t="shared" si="7"/>
        <v>246148694</v>
      </c>
      <c r="O41">
        <f t="shared" si="8"/>
        <v>103492300</v>
      </c>
      <c r="P41">
        <v>-7914</v>
      </c>
      <c r="Q41">
        <f t="shared" si="9"/>
        <v>239050284</v>
      </c>
      <c r="R41">
        <f t="shared" si="10"/>
        <v>100507800</v>
      </c>
    </row>
    <row r="42" spans="1:18">
      <c r="A42">
        <f t="shared" si="11"/>
        <v>39</v>
      </c>
      <c r="B42">
        <v>-30467</v>
      </c>
      <c r="C42">
        <v>12060</v>
      </c>
      <c r="D42" t="str">
        <f t="shared" si="0"/>
        <v>FFFFFF88FD</v>
      </c>
      <c r="E42" t="str">
        <f t="shared" si="1"/>
        <v>2F1C</v>
      </c>
      <c r="F42">
        <v>-7617</v>
      </c>
      <c r="G42" t="str">
        <f t="shared" si="2"/>
        <v>FFFFFFE23F</v>
      </c>
      <c r="H42">
        <f t="shared" si="3"/>
        <v>232067139</v>
      </c>
      <c r="I42">
        <f t="shared" si="4"/>
        <v>-91861020</v>
      </c>
      <c r="J42">
        <v>-6193</v>
      </c>
      <c r="K42">
        <f t="shared" si="5"/>
        <v>188682131</v>
      </c>
      <c r="L42">
        <f t="shared" si="6"/>
        <v>-74687580</v>
      </c>
      <c r="M42">
        <v>-5239</v>
      </c>
      <c r="N42">
        <f t="shared" si="7"/>
        <v>159616613</v>
      </c>
      <c r="O42">
        <f t="shared" si="8"/>
        <v>-63182340</v>
      </c>
      <c r="P42">
        <v>-4144</v>
      </c>
      <c r="Q42">
        <f t="shared" si="9"/>
        <v>126255248</v>
      </c>
      <c r="R42">
        <f t="shared" si="10"/>
        <v>-49976640</v>
      </c>
    </row>
    <row r="43" spans="1:18">
      <c r="A43">
        <f t="shared" si="11"/>
        <v>40</v>
      </c>
      <c r="B43">
        <v>-13330</v>
      </c>
      <c r="C43">
        <v>29933</v>
      </c>
      <c r="D43" t="str">
        <f t="shared" si="0"/>
        <v>FFFFFFCBEE</v>
      </c>
      <c r="E43" t="str">
        <f t="shared" si="1"/>
        <v>74ED</v>
      </c>
      <c r="F43">
        <v>-3333</v>
      </c>
      <c r="G43" t="str">
        <f t="shared" si="2"/>
        <v>FFFFFFF2FB</v>
      </c>
      <c r="H43">
        <f t="shared" si="3"/>
        <v>44428890</v>
      </c>
      <c r="I43">
        <f t="shared" si="4"/>
        <v>-99766689</v>
      </c>
      <c r="J43">
        <v>-707</v>
      </c>
      <c r="K43">
        <f t="shared" si="5"/>
        <v>9424310</v>
      </c>
      <c r="L43">
        <f t="shared" si="6"/>
        <v>-21162631</v>
      </c>
      <c r="M43">
        <v>664</v>
      </c>
      <c r="N43">
        <f t="shared" si="7"/>
        <v>-8851120</v>
      </c>
      <c r="O43">
        <f t="shared" si="8"/>
        <v>19875512</v>
      </c>
      <c r="P43">
        <v>2016</v>
      </c>
      <c r="Q43">
        <f t="shared" si="9"/>
        <v>-26873280</v>
      </c>
      <c r="R43">
        <f t="shared" si="10"/>
        <v>60344928</v>
      </c>
    </row>
    <row r="44" spans="1:18">
      <c r="A44">
        <f t="shared" si="11"/>
        <v>41</v>
      </c>
      <c r="B44">
        <v>11419</v>
      </c>
      <c r="C44">
        <v>30713</v>
      </c>
      <c r="D44" t="str">
        <f t="shared" si="0"/>
        <v>2C9B</v>
      </c>
      <c r="E44" t="str">
        <f t="shared" si="1"/>
        <v>77F9</v>
      </c>
      <c r="F44">
        <v>2855</v>
      </c>
      <c r="G44" t="str">
        <f t="shared" si="2"/>
        <v>B27</v>
      </c>
      <c r="H44">
        <f t="shared" si="3"/>
        <v>32601245</v>
      </c>
      <c r="I44">
        <f t="shared" si="4"/>
        <v>87685615</v>
      </c>
      <c r="J44">
        <v>5178</v>
      </c>
      <c r="K44">
        <f t="shared" si="5"/>
        <v>59127582</v>
      </c>
      <c r="L44">
        <f t="shared" si="6"/>
        <v>159031914</v>
      </c>
      <c r="M44">
        <v>6187</v>
      </c>
      <c r="N44">
        <f t="shared" si="7"/>
        <v>70649353</v>
      </c>
      <c r="O44">
        <f t="shared" si="8"/>
        <v>190021331</v>
      </c>
      <c r="P44">
        <v>7014</v>
      </c>
      <c r="Q44">
        <f t="shared" si="9"/>
        <v>80092866</v>
      </c>
      <c r="R44">
        <f t="shared" si="10"/>
        <v>215420982</v>
      </c>
    </row>
    <row r="45" spans="1:18">
      <c r="A45">
        <f t="shared" si="11"/>
        <v>42</v>
      </c>
      <c r="B45">
        <v>29647</v>
      </c>
      <c r="C45">
        <v>13954</v>
      </c>
      <c r="D45" t="str">
        <f t="shared" si="0"/>
        <v>73CF</v>
      </c>
      <c r="E45" t="str">
        <f t="shared" si="1"/>
        <v>3682</v>
      </c>
      <c r="F45">
        <v>7412</v>
      </c>
      <c r="G45" t="str">
        <f t="shared" si="2"/>
        <v>1CF4</v>
      </c>
      <c r="H45">
        <f t="shared" si="3"/>
        <v>219743564</v>
      </c>
      <c r="I45">
        <f t="shared" si="4"/>
        <v>103427048</v>
      </c>
      <c r="J45">
        <v>8137</v>
      </c>
      <c r="K45">
        <f t="shared" si="5"/>
        <v>241237639</v>
      </c>
      <c r="L45">
        <f t="shared" si="6"/>
        <v>113543698</v>
      </c>
      <c r="M45">
        <v>8177</v>
      </c>
      <c r="N45">
        <f t="shared" si="7"/>
        <v>242423519</v>
      </c>
      <c r="O45">
        <f t="shared" si="8"/>
        <v>114101858</v>
      </c>
      <c r="P45">
        <v>7965</v>
      </c>
      <c r="Q45">
        <f t="shared" si="9"/>
        <v>236138355</v>
      </c>
      <c r="R45">
        <f t="shared" si="10"/>
        <v>111143610</v>
      </c>
    </row>
    <row r="46" spans="1:18">
      <c r="A46">
        <f t="shared" si="11"/>
        <v>43</v>
      </c>
      <c r="B46">
        <v>30945</v>
      </c>
      <c r="C46">
        <v>-10773</v>
      </c>
      <c r="D46" t="str">
        <f t="shared" si="0"/>
        <v>78E1</v>
      </c>
      <c r="E46" t="str">
        <f t="shared" si="1"/>
        <v>FFFFFFD5EB</v>
      </c>
      <c r="F46">
        <v>7737</v>
      </c>
      <c r="G46" t="str">
        <f t="shared" si="2"/>
        <v>1E39</v>
      </c>
      <c r="H46">
        <f t="shared" si="3"/>
        <v>239421465</v>
      </c>
      <c r="I46">
        <f t="shared" si="4"/>
        <v>-83350701</v>
      </c>
      <c r="J46">
        <v>6497</v>
      </c>
      <c r="K46">
        <f t="shared" si="5"/>
        <v>201049665</v>
      </c>
      <c r="L46">
        <f t="shared" si="6"/>
        <v>-69992181</v>
      </c>
      <c r="M46">
        <v>5498</v>
      </c>
      <c r="N46">
        <f t="shared" si="7"/>
        <v>170135610</v>
      </c>
      <c r="O46">
        <f t="shared" si="8"/>
        <v>-59229954</v>
      </c>
      <c r="P46">
        <v>4321</v>
      </c>
      <c r="Q46">
        <f t="shared" si="9"/>
        <v>133713345</v>
      </c>
      <c r="R46">
        <f t="shared" si="10"/>
        <v>-46550133</v>
      </c>
    </row>
    <row r="47" spans="1:18">
      <c r="A47">
        <f t="shared" si="11"/>
        <v>44</v>
      </c>
      <c r="B47">
        <v>14572</v>
      </c>
      <c r="C47">
        <v>-29348</v>
      </c>
      <c r="D47" t="str">
        <f t="shared" si="0"/>
        <v>38EC</v>
      </c>
      <c r="E47" t="str">
        <f t="shared" si="1"/>
        <v>FFFFFF8D5C</v>
      </c>
      <c r="F47">
        <v>3643</v>
      </c>
      <c r="G47" t="str">
        <f t="shared" si="2"/>
        <v>E3B</v>
      </c>
      <c r="H47">
        <f t="shared" si="3"/>
        <v>53085796</v>
      </c>
      <c r="I47">
        <f t="shared" si="4"/>
        <v>-106914764</v>
      </c>
      <c r="J47">
        <v>1184</v>
      </c>
      <c r="K47">
        <f t="shared" si="5"/>
        <v>17253248</v>
      </c>
      <c r="L47">
        <f t="shared" si="6"/>
        <v>-34748032</v>
      </c>
      <c r="M47">
        <v>-321</v>
      </c>
      <c r="N47">
        <f t="shared" si="7"/>
        <v>-4677612</v>
      </c>
      <c r="O47">
        <f t="shared" si="8"/>
        <v>9420708</v>
      </c>
      <c r="P47">
        <v>-1816</v>
      </c>
      <c r="Q47">
        <f t="shared" si="9"/>
        <v>-26462752</v>
      </c>
      <c r="R47">
        <f t="shared" si="10"/>
        <v>53295968</v>
      </c>
    </row>
    <row r="48" spans="1:18">
      <c r="A48">
        <f t="shared" si="11"/>
        <v>45</v>
      </c>
      <c r="B48">
        <v>-10123</v>
      </c>
      <c r="C48">
        <v>-31164</v>
      </c>
      <c r="D48" t="str">
        <f t="shared" si="0"/>
        <v>FFFFFFD875</v>
      </c>
      <c r="E48" t="str">
        <f t="shared" si="1"/>
        <v>FFFFFF8644</v>
      </c>
      <c r="F48">
        <v>-2531</v>
      </c>
      <c r="G48" t="str">
        <f t="shared" si="2"/>
        <v>FFFFFFF61D</v>
      </c>
      <c r="H48">
        <f t="shared" si="3"/>
        <v>25621313</v>
      </c>
      <c r="I48">
        <f t="shared" si="4"/>
        <v>78876084</v>
      </c>
      <c r="J48">
        <v>-4798</v>
      </c>
      <c r="K48">
        <f t="shared" si="5"/>
        <v>48570154</v>
      </c>
      <c r="L48">
        <f t="shared" si="6"/>
        <v>149524872</v>
      </c>
      <c r="M48">
        <v>-5957</v>
      </c>
      <c r="N48">
        <f t="shared" si="7"/>
        <v>60302711</v>
      </c>
      <c r="O48">
        <f t="shared" si="8"/>
        <v>185643948</v>
      </c>
      <c r="P48">
        <v>-6905</v>
      </c>
      <c r="Q48">
        <f t="shared" si="9"/>
        <v>69899315</v>
      </c>
      <c r="R48">
        <f t="shared" si="10"/>
        <v>215187420</v>
      </c>
    </row>
    <row r="49" spans="1:18">
      <c r="A49">
        <f t="shared" si="11"/>
        <v>46</v>
      </c>
      <c r="B49">
        <v>-29037</v>
      </c>
      <c r="C49">
        <v>-15184</v>
      </c>
      <c r="D49" t="str">
        <f t="shared" si="0"/>
        <v>FFFFFF8E93</v>
      </c>
      <c r="E49" t="str">
        <f t="shared" si="1"/>
        <v>FFFFFFC4B0</v>
      </c>
      <c r="F49">
        <v>-7259</v>
      </c>
      <c r="G49" t="str">
        <f t="shared" si="2"/>
        <v>FFFFFFE3A5</v>
      </c>
      <c r="H49">
        <f t="shared" si="3"/>
        <v>210779583</v>
      </c>
      <c r="I49">
        <f t="shared" si="4"/>
        <v>110220656</v>
      </c>
      <c r="J49">
        <v>-8068</v>
      </c>
      <c r="K49">
        <f t="shared" si="5"/>
        <v>234270516</v>
      </c>
      <c r="L49">
        <f t="shared" si="6"/>
        <v>122504512</v>
      </c>
      <c r="M49">
        <v>-8191</v>
      </c>
      <c r="N49">
        <f t="shared" si="7"/>
        <v>237842067</v>
      </c>
      <c r="O49">
        <f t="shared" si="8"/>
        <v>124372144</v>
      </c>
      <c r="P49">
        <v>-8010</v>
      </c>
      <c r="Q49">
        <f t="shared" si="9"/>
        <v>232586370</v>
      </c>
      <c r="R49">
        <f t="shared" si="10"/>
        <v>121623840</v>
      </c>
    </row>
    <row r="50" spans="1:18">
      <c r="A50">
        <f t="shared" si="11"/>
        <v>47</v>
      </c>
      <c r="B50">
        <v>-31369</v>
      </c>
      <c r="C50">
        <v>9468</v>
      </c>
      <c r="D50" t="str">
        <f t="shared" si="0"/>
        <v>FFFFFF8577</v>
      </c>
      <c r="E50" t="str">
        <f t="shared" si="1"/>
        <v>24FC</v>
      </c>
      <c r="F50">
        <v>-7843</v>
      </c>
      <c r="G50" t="str">
        <f t="shared" si="2"/>
        <v>FFFFFFE15D</v>
      </c>
      <c r="H50">
        <f t="shared" si="3"/>
        <v>246027067</v>
      </c>
      <c r="I50">
        <f t="shared" si="4"/>
        <v>-74257524</v>
      </c>
      <c r="J50">
        <v>-6778</v>
      </c>
      <c r="K50">
        <f t="shared" si="5"/>
        <v>212619082</v>
      </c>
      <c r="L50">
        <f t="shared" si="6"/>
        <v>-64174104</v>
      </c>
      <c r="M50">
        <v>-5747</v>
      </c>
      <c r="N50">
        <f t="shared" si="7"/>
        <v>180277643</v>
      </c>
      <c r="O50">
        <f t="shared" si="8"/>
        <v>-54412596</v>
      </c>
      <c r="P50">
        <v>-4494</v>
      </c>
      <c r="Q50">
        <f t="shared" si="9"/>
        <v>140972286</v>
      </c>
      <c r="R50">
        <f t="shared" si="10"/>
        <v>-42549192</v>
      </c>
    </row>
    <row r="51" spans="1:18">
      <c r="A51">
        <f t="shared" si="11"/>
        <v>48</v>
      </c>
      <c r="B51">
        <v>-15789</v>
      </c>
      <c r="C51">
        <v>28712</v>
      </c>
      <c r="D51" t="str">
        <f t="shared" si="0"/>
        <v>FFFFFFC253</v>
      </c>
      <c r="E51" t="str">
        <f t="shared" si="1"/>
        <v>7028</v>
      </c>
      <c r="F51">
        <v>-3947</v>
      </c>
      <c r="G51" t="str">
        <f t="shared" si="2"/>
        <v>FFFFFFF095</v>
      </c>
      <c r="H51">
        <f t="shared" si="3"/>
        <v>62319183</v>
      </c>
      <c r="I51">
        <f t="shared" si="4"/>
        <v>-113326264</v>
      </c>
      <c r="J51">
        <v>-1657</v>
      </c>
      <c r="K51">
        <f t="shared" si="5"/>
        <v>26162373</v>
      </c>
      <c r="L51">
        <f t="shared" si="6"/>
        <v>-47575784</v>
      </c>
      <c r="M51">
        <v>-22</v>
      </c>
      <c r="N51">
        <f t="shared" si="7"/>
        <v>347358</v>
      </c>
      <c r="O51">
        <f t="shared" si="8"/>
        <v>-631664</v>
      </c>
      <c r="P51">
        <v>1615</v>
      </c>
      <c r="Q51">
        <f t="shared" si="9"/>
        <v>-25499235</v>
      </c>
      <c r="R51">
        <f t="shared" si="10"/>
        <v>46369880</v>
      </c>
    </row>
    <row r="52" spans="1:18">
      <c r="A52">
        <f t="shared" si="11"/>
        <v>49</v>
      </c>
      <c r="B52">
        <v>8808</v>
      </c>
      <c r="C52">
        <v>31561</v>
      </c>
      <c r="D52" t="str">
        <f t="shared" si="0"/>
        <v>2268</v>
      </c>
      <c r="E52" t="str">
        <f t="shared" si="1"/>
        <v>7B49</v>
      </c>
      <c r="F52">
        <v>2202</v>
      </c>
      <c r="G52" t="str">
        <f t="shared" si="2"/>
        <v>89A</v>
      </c>
      <c r="H52">
        <f t="shared" si="3"/>
        <v>19395216</v>
      </c>
      <c r="I52">
        <f t="shared" si="4"/>
        <v>69497322</v>
      </c>
      <c r="J52">
        <v>4400</v>
      </c>
      <c r="K52">
        <f t="shared" si="5"/>
        <v>38755200</v>
      </c>
      <c r="L52">
        <f t="shared" si="6"/>
        <v>138868400</v>
      </c>
      <c r="M52">
        <v>5716</v>
      </c>
      <c r="N52">
        <f t="shared" si="7"/>
        <v>50346528</v>
      </c>
      <c r="O52">
        <f t="shared" si="8"/>
        <v>180402676</v>
      </c>
      <c r="P52">
        <v>6792</v>
      </c>
      <c r="Q52">
        <f t="shared" si="9"/>
        <v>59823936</v>
      </c>
      <c r="R52">
        <f t="shared" si="10"/>
        <v>214362312</v>
      </c>
    </row>
    <row r="53" spans="1:18">
      <c r="A53">
        <f t="shared" si="11"/>
        <v>50</v>
      </c>
      <c r="B53">
        <v>28375</v>
      </c>
      <c r="C53">
        <v>16386</v>
      </c>
      <c r="D53" t="str">
        <f t="shared" si="0"/>
        <v>6ED7</v>
      </c>
      <c r="E53" t="str">
        <f t="shared" si="1"/>
        <v>4002</v>
      </c>
      <c r="F53">
        <v>7094</v>
      </c>
      <c r="G53" t="str">
        <f t="shared" si="2"/>
        <v>1BB6</v>
      </c>
      <c r="H53">
        <f t="shared" si="3"/>
        <v>201292250</v>
      </c>
      <c r="I53">
        <f t="shared" si="4"/>
        <v>116242284</v>
      </c>
      <c r="J53">
        <v>7971</v>
      </c>
      <c r="K53">
        <f t="shared" si="5"/>
        <v>226177125</v>
      </c>
      <c r="L53">
        <f t="shared" si="6"/>
        <v>130612806</v>
      </c>
      <c r="M53">
        <v>8190</v>
      </c>
      <c r="N53">
        <f t="shared" si="7"/>
        <v>232391250</v>
      </c>
      <c r="O53">
        <f t="shared" si="8"/>
        <v>134201340</v>
      </c>
      <c r="P53">
        <v>8051</v>
      </c>
      <c r="Q53">
        <f t="shared" si="9"/>
        <v>228447125</v>
      </c>
      <c r="R53">
        <f t="shared" si="10"/>
        <v>131923686</v>
      </c>
    </row>
    <row r="54" spans="1:18">
      <c r="A54">
        <f t="shared" si="11"/>
        <v>51</v>
      </c>
      <c r="B54">
        <v>31738</v>
      </c>
      <c r="C54">
        <v>-8145</v>
      </c>
      <c r="D54" t="str">
        <f t="shared" si="0"/>
        <v>7BFA</v>
      </c>
      <c r="E54" t="str">
        <f t="shared" si="1"/>
        <v>FFFFFFE02F</v>
      </c>
      <c r="F54">
        <v>7935</v>
      </c>
      <c r="G54" t="str">
        <f t="shared" si="2"/>
        <v>1EFF</v>
      </c>
      <c r="H54">
        <f t="shared" si="3"/>
        <v>251841030</v>
      </c>
      <c r="I54">
        <f t="shared" si="4"/>
        <v>-64630575</v>
      </c>
      <c r="J54">
        <v>7036</v>
      </c>
      <c r="K54">
        <f t="shared" si="5"/>
        <v>223308568</v>
      </c>
      <c r="L54">
        <f t="shared" si="6"/>
        <v>-57308220</v>
      </c>
      <c r="M54">
        <v>5987</v>
      </c>
      <c r="N54">
        <f t="shared" si="7"/>
        <v>190015406</v>
      </c>
      <c r="O54">
        <f t="shared" si="8"/>
        <v>-48764115</v>
      </c>
      <c r="P54">
        <v>4665</v>
      </c>
      <c r="Q54">
        <f t="shared" si="9"/>
        <v>148057770</v>
      </c>
      <c r="R54">
        <f t="shared" si="10"/>
        <v>-37996425</v>
      </c>
    </row>
    <row r="55" spans="1:18">
      <c r="A55">
        <f t="shared" si="11"/>
        <v>52</v>
      </c>
      <c r="B55">
        <v>16977</v>
      </c>
      <c r="C55">
        <v>-28026</v>
      </c>
      <c r="D55" t="str">
        <f t="shared" si="0"/>
        <v>4251</v>
      </c>
      <c r="E55" t="str">
        <f t="shared" si="1"/>
        <v>FFFFFF9286</v>
      </c>
      <c r="F55">
        <v>4244</v>
      </c>
      <c r="G55" t="str">
        <f t="shared" si="2"/>
        <v>1094</v>
      </c>
      <c r="H55">
        <f t="shared" si="3"/>
        <v>72050388</v>
      </c>
      <c r="I55">
        <f t="shared" si="4"/>
        <v>-118942344</v>
      </c>
      <c r="J55">
        <v>2125</v>
      </c>
      <c r="K55">
        <f t="shared" si="5"/>
        <v>36076125</v>
      </c>
      <c r="L55">
        <f t="shared" si="6"/>
        <v>-59555250</v>
      </c>
      <c r="M55">
        <v>365</v>
      </c>
      <c r="N55">
        <f t="shared" si="7"/>
        <v>6196605</v>
      </c>
      <c r="O55">
        <f t="shared" si="8"/>
        <v>-10229490</v>
      </c>
      <c r="P55">
        <v>-1412</v>
      </c>
      <c r="Q55">
        <f t="shared" si="9"/>
        <v>-23971524</v>
      </c>
      <c r="R55">
        <f t="shared" si="10"/>
        <v>39572712</v>
      </c>
    </row>
    <row r="56" spans="1:18">
      <c r="A56">
        <f t="shared" si="11"/>
        <v>53</v>
      </c>
      <c r="B56">
        <v>-7479</v>
      </c>
      <c r="C56">
        <v>-31902</v>
      </c>
      <c r="D56" t="str">
        <f t="shared" si="0"/>
        <v>FFFFFFE2C9</v>
      </c>
      <c r="E56" t="str">
        <f t="shared" si="1"/>
        <v>FFFFFF8362</v>
      </c>
      <c r="F56">
        <v>-1870</v>
      </c>
      <c r="G56" t="str">
        <f t="shared" si="2"/>
        <v>FFFFFFF8B2</v>
      </c>
      <c r="H56">
        <f t="shared" si="3"/>
        <v>13985730</v>
      </c>
      <c r="I56">
        <f t="shared" si="4"/>
        <v>59656740</v>
      </c>
      <c r="J56">
        <v>-3988</v>
      </c>
      <c r="K56">
        <f t="shared" si="5"/>
        <v>29826252</v>
      </c>
      <c r="L56">
        <f t="shared" si="6"/>
        <v>127225176</v>
      </c>
      <c r="M56">
        <v>-5465</v>
      </c>
      <c r="N56">
        <f t="shared" si="7"/>
        <v>40872735</v>
      </c>
      <c r="O56">
        <f t="shared" si="8"/>
        <v>174344430</v>
      </c>
      <c r="P56">
        <v>-6675</v>
      </c>
      <c r="Q56">
        <f t="shared" si="9"/>
        <v>49922325</v>
      </c>
      <c r="R56">
        <f t="shared" si="10"/>
        <v>212945850</v>
      </c>
    </row>
    <row r="57" spans="1:18">
      <c r="A57">
        <f t="shared" si="11"/>
        <v>54</v>
      </c>
      <c r="B57">
        <v>-27664</v>
      </c>
      <c r="C57">
        <v>-17561</v>
      </c>
      <c r="D57" t="str">
        <f t="shared" si="0"/>
        <v>FFFFFF93F0</v>
      </c>
      <c r="E57" t="str">
        <f t="shared" si="1"/>
        <v>FFFFFFBB67</v>
      </c>
      <c r="F57">
        <v>-6916</v>
      </c>
      <c r="G57" t="str">
        <f t="shared" si="2"/>
        <v>FFFFFFE4FC</v>
      </c>
      <c r="H57">
        <f t="shared" si="3"/>
        <v>191324224</v>
      </c>
      <c r="I57">
        <f t="shared" si="4"/>
        <v>121451876</v>
      </c>
      <c r="J57">
        <v>-7846</v>
      </c>
      <c r="K57">
        <f t="shared" si="5"/>
        <v>217051744</v>
      </c>
      <c r="L57">
        <f t="shared" si="6"/>
        <v>137783606</v>
      </c>
      <c r="M57">
        <v>-8174</v>
      </c>
      <c r="N57">
        <f t="shared" si="7"/>
        <v>226125536</v>
      </c>
      <c r="O57">
        <f t="shared" si="8"/>
        <v>143543614</v>
      </c>
      <c r="P57">
        <v>-8086</v>
      </c>
      <c r="Q57">
        <f t="shared" si="9"/>
        <v>223691104</v>
      </c>
      <c r="R57">
        <f t="shared" si="10"/>
        <v>141998246</v>
      </c>
    </row>
    <row r="58" spans="1:18">
      <c r="A58">
        <f t="shared" si="11"/>
        <v>55</v>
      </c>
      <c r="B58">
        <v>-32052</v>
      </c>
      <c r="C58">
        <v>6809</v>
      </c>
      <c r="D58" t="str">
        <f t="shared" si="0"/>
        <v>FFFFFF82CC</v>
      </c>
      <c r="E58" t="str">
        <f t="shared" si="1"/>
        <v>1A99</v>
      </c>
      <c r="F58">
        <v>-8013</v>
      </c>
      <c r="G58" t="str">
        <f t="shared" si="2"/>
        <v>FFFFFFE0B3</v>
      </c>
      <c r="H58">
        <f t="shared" si="3"/>
        <v>256832676</v>
      </c>
      <c r="I58">
        <f t="shared" si="4"/>
        <v>-54560517</v>
      </c>
      <c r="J58">
        <v>-7270</v>
      </c>
      <c r="K58">
        <f t="shared" si="5"/>
        <v>233018040</v>
      </c>
      <c r="L58">
        <f t="shared" si="6"/>
        <v>-49501430</v>
      </c>
      <c r="M58">
        <v>-6215</v>
      </c>
      <c r="N58">
        <f t="shared" si="7"/>
        <v>199203180</v>
      </c>
      <c r="O58">
        <f t="shared" si="8"/>
        <v>-42317935</v>
      </c>
      <c r="P58">
        <v>-4833</v>
      </c>
      <c r="Q58">
        <f t="shared" si="9"/>
        <v>154907316</v>
      </c>
      <c r="R58">
        <f t="shared" si="10"/>
        <v>-32907897</v>
      </c>
    </row>
    <row r="59" spans="1:18">
      <c r="A59">
        <f t="shared" si="11"/>
        <v>56</v>
      </c>
      <c r="B59">
        <v>-18136</v>
      </c>
      <c r="C59">
        <v>27290</v>
      </c>
      <c r="D59" t="str">
        <f t="shared" si="0"/>
        <v>FFFFFFB928</v>
      </c>
      <c r="E59" t="str">
        <f t="shared" si="1"/>
        <v>6A9A</v>
      </c>
      <c r="F59">
        <v>-4534</v>
      </c>
      <c r="G59" t="str">
        <f t="shared" si="2"/>
        <v>FFFFFFEE4A</v>
      </c>
      <c r="H59">
        <f t="shared" si="3"/>
        <v>82228624</v>
      </c>
      <c r="I59">
        <f t="shared" si="4"/>
        <v>-123732860</v>
      </c>
      <c r="J59">
        <v>-2585</v>
      </c>
      <c r="K59">
        <f t="shared" si="5"/>
        <v>46881560</v>
      </c>
      <c r="L59">
        <f t="shared" si="6"/>
        <v>-70544650</v>
      </c>
      <c r="M59">
        <v>-707</v>
      </c>
      <c r="N59">
        <f t="shared" si="7"/>
        <v>12822152</v>
      </c>
      <c r="O59">
        <f t="shared" si="8"/>
        <v>-19294030</v>
      </c>
      <c r="P59">
        <v>1209</v>
      </c>
      <c r="Q59">
        <f t="shared" si="9"/>
        <v>-21926424</v>
      </c>
      <c r="R59">
        <f t="shared" si="10"/>
        <v>32993610</v>
      </c>
    </row>
    <row r="60" spans="1:18">
      <c r="A60">
        <f t="shared" si="11"/>
        <v>57</v>
      </c>
      <c r="B60">
        <v>6136</v>
      </c>
      <c r="C60">
        <v>32187</v>
      </c>
      <c r="D60" t="str">
        <f t="shared" si="0"/>
        <v>17F8</v>
      </c>
      <c r="E60" t="str">
        <f t="shared" si="1"/>
        <v>7DBB</v>
      </c>
      <c r="F60">
        <v>1534</v>
      </c>
      <c r="G60" t="str">
        <f t="shared" si="2"/>
        <v>5FE</v>
      </c>
      <c r="H60">
        <f t="shared" si="3"/>
        <v>9412624</v>
      </c>
      <c r="I60">
        <f t="shared" si="4"/>
        <v>49374858</v>
      </c>
      <c r="J60">
        <v>3561</v>
      </c>
      <c r="K60">
        <f t="shared" si="5"/>
        <v>21850296</v>
      </c>
      <c r="L60">
        <f t="shared" si="6"/>
        <v>114617907</v>
      </c>
      <c r="M60">
        <v>5205</v>
      </c>
      <c r="N60">
        <f t="shared" si="7"/>
        <v>31937880</v>
      </c>
      <c r="O60">
        <f t="shared" si="8"/>
        <v>167533335</v>
      </c>
      <c r="P60">
        <v>6553</v>
      </c>
      <c r="Q60">
        <f t="shared" si="9"/>
        <v>40209208</v>
      </c>
      <c r="R60">
        <f t="shared" si="10"/>
        <v>210921411</v>
      </c>
    </row>
    <row r="61" spans="1:18">
      <c r="A61">
        <f t="shared" si="11"/>
        <v>58</v>
      </c>
      <c r="B61">
        <v>26904</v>
      </c>
      <c r="C61">
        <v>18704</v>
      </c>
      <c r="D61" t="str">
        <f t="shared" si="0"/>
        <v>6918</v>
      </c>
      <c r="E61" t="str">
        <f t="shared" si="1"/>
        <v>4910</v>
      </c>
      <c r="F61">
        <v>6726</v>
      </c>
      <c r="G61" t="str">
        <f t="shared" si="2"/>
        <v>1A46</v>
      </c>
      <c r="H61">
        <f t="shared" si="3"/>
        <v>180956304</v>
      </c>
      <c r="I61">
        <f t="shared" si="4"/>
        <v>125803104</v>
      </c>
      <c r="J61">
        <v>7694</v>
      </c>
      <c r="K61">
        <f t="shared" si="5"/>
        <v>206999376</v>
      </c>
      <c r="L61">
        <f t="shared" si="6"/>
        <v>143908576</v>
      </c>
      <c r="M61">
        <v>8145</v>
      </c>
      <c r="N61">
        <f t="shared" si="7"/>
        <v>219133080</v>
      </c>
      <c r="O61">
        <f t="shared" si="8"/>
        <v>152344080</v>
      </c>
      <c r="P61">
        <v>8117</v>
      </c>
      <c r="Q61">
        <f t="shared" si="9"/>
        <v>218379768</v>
      </c>
      <c r="R61">
        <f t="shared" si="10"/>
        <v>151820368</v>
      </c>
    </row>
    <row r="62" spans="1:18">
      <c r="A62">
        <f t="shared" si="11"/>
        <v>59</v>
      </c>
      <c r="B62">
        <v>32309</v>
      </c>
      <c r="C62">
        <v>-5461</v>
      </c>
      <c r="D62" t="str">
        <f t="shared" si="0"/>
        <v>7E35</v>
      </c>
      <c r="E62" t="str">
        <f t="shared" si="1"/>
        <v>FFFFFFEAAB</v>
      </c>
      <c r="F62">
        <v>8077</v>
      </c>
      <c r="G62" t="str">
        <f t="shared" si="2"/>
        <v>1F8D</v>
      </c>
      <c r="H62">
        <f t="shared" si="3"/>
        <v>260959793</v>
      </c>
      <c r="I62">
        <f t="shared" si="4"/>
        <v>-44108497</v>
      </c>
      <c r="J62">
        <v>7479</v>
      </c>
      <c r="K62">
        <f t="shared" si="5"/>
        <v>241639011</v>
      </c>
      <c r="L62">
        <f t="shared" si="6"/>
        <v>-40842819</v>
      </c>
      <c r="M62">
        <v>6434</v>
      </c>
      <c r="N62">
        <f t="shared" si="7"/>
        <v>207876106</v>
      </c>
      <c r="O62">
        <f t="shared" si="8"/>
        <v>-35136074</v>
      </c>
      <c r="P62">
        <v>4997</v>
      </c>
      <c r="Q62">
        <f t="shared" si="9"/>
        <v>161448073</v>
      </c>
      <c r="R62">
        <f t="shared" si="10"/>
        <v>-27288617</v>
      </c>
    </row>
    <row r="63" spans="1:18">
      <c r="A63">
        <f t="shared" si="11"/>
        <v>60</v>
      </c>
      <c r="B63">
        <v>19263</v>
      </c>
      <c r="C63">
        <v>-26507</v>
      </c>
      <c r="D63" t="str">
        <f t="shared" si="0"/>
        <v>4B3F</v>
      </c>
      <c r="E63" t="str">
        <f t="shared" si="1"/>
        <v>FFFFFF9875</v>
      </c>
      <c r="F63">
        <v>4816</v>
      </c>
      <c r="G63" t="str">
        <f t="shared" si="2"/>
        <v>12D0</v>
      </c>
      <c r="H63">
        <f t="shared" si="3"/>
        <v>92770608</v>
      </c>
      <c r="I63">
        <f t="shared" si="4"/>
        <v>-127657712</v>
      </c>
      <c r="J63">
        <v>3036</v>
      </c>
      <c r="K63">
        <f t="shared" si="5"/>
        <v>58482468</v>
      </c>
      <c r="L63">
        <f t="shared" si="6"/>
        <v>-80475252</v>
      </c>
      <c r="M63">
        <v>1048</v>
      </c>
      <c r="N63">
        <f t="shared" si="7"/>
        <v>20187624</v>
      </c>
      <c r="O63">
        <f t="shared" si="8"/>
        <v>-27779336</v>
      </c>
      <c r="P63">
        <v>-1005</v>
      </c>
      <c r="Q63">
        <f t="shared" si="9"/>
        <v>-19359315</v>
      </c>
      <c r="R63">
        <f t="shared" si="10"/>
        <v>26639535</v>
      </c>
    </row>
    <row r="64" spans="1:18">
      <c r="A64">
        <f t="shared" si="11"/>
        <v>61</v>
      </c>
      <c r="B64">
        <v>-4783</v>
      </c>
      <c r="C64">
        <v>-32416</v>
      </c>
      <c r="D64" t="str">
        <f t="shared" si="0"/>
        <v>FFFFFFED51</v>
      </c>
      <c r="E64" t="str">
        <f t="shared" si="1"/>
        <v>FFFFFF8160</v>
      </c>
      <c r="F64">
        <v>-1196</v>
      </c>
      <c r="G64" t="str">
        <f t="shared" si="2"/>
        <v>FFFFFFFB54</v>
      </c>
      <c r="H64">
        <f t="shared" si="3"/>
        <v>5720468</v>
      </c>
      <c r="I64">
        <f t="shared" si="4"/>
        <v>38769536</v>
      </c>
      <c r="J64">
        <v>-3123</v>
      </c>
      <c r="K64">
        <f t="shared" si="5"/>
        <v>14937309</v>
      </c>
      <c r="L64">
        <f t="shared" si="6"/>
        <v>101235168</v>
      </c>
      <c r="M64">
        <v>-4936</v>
      </c>
      <c r="N64">
        <f t="shared" si="7"/>
        <v>23608888</v>
      </c>
      <c r="O64">
        <f t="shared" si="8"/>
        <v>160005376</v>
      </c>
      <c r="P64">
        <v>-6428</v>
      </c>
      <c r="Q64">
        <f t="shared" si="9"/>
        <v>30745124</v>
      </c>
      <c r="R64">
        <f t="shared" si="10"/>
        <v>208370048</v>
      </c>
    </row>
    <row r="65" spans="1:18">
      <c r="A65">
        <f t="shared" si="11"/>
        <v>62</v>
      </c>
      <c r="B65">
        <v>-26097</v>
      </c>
      <c r="C65">
        <v>-19814</v>
      </c>
      <c r="D65" t="str">
        <f t="shared" si="0"/>
        <v>FFFFFF9A0F</v>
      </c>
      <c r="E65" t="str">
        <f t="shared" si="1"/>
        <v>FFFFFFB29A</v>
      </c>
      <c r="F65">
        <v>-6525</v>
      </c>
      <c r="G65" t="str">
        <f t="shared" si="2"/>
        <v>FFFFFFE683</v>
      </c>
      <c r="H65">
        <f t="shared" si="3"/>
        <v>170282925</v>
      </c>
      <c r="I65">
        <f t="shared" si="4"/>
        <v>129286350</v>
      </c>
      <c r="J65">
        <v>-7516</v>
      </c>
      <c r="K65">
        <f t="shared" si="5"/>
        <v>196145052</v>
      </c>
      <c r="L65">
        <f t="shared" si="6"/>
        <v>148922024</v>
      </c>
      <c r="M65">
        <v>-8101</v>
      </c>
      <c r="N65">
        <f t="shared" si="7"/>
        <v>211411797</v>
      </c>
      <c r="O65">
        <f t="shared" si="8"/>
        <v>160513214</v>
      </c>
      <c r="P65">
        <v>-8142</v>
      </c>
      <c r="Q65">
        <f t="shared" si="9"/>
        <v>212481774</v>
      </c>
      <c r="R65">
        <f t="shared" si="10"/>
        <v>161325588</v>
      </c>
    </row>
    <row r="66" spans="1:18">
      <c r="A66">
        <f t="shared" si="11"/>
        <v>63</v>
      </c>
      <c r="B66">
        <v>-32509</v>
      </c>
      <c r="C66">
        <v>4103</v>
      </c>
      <c r="D66" t="str">
        <f t="shared" si="0"/>
        <v>FFFFFF8103</v>
      </c>
      <c r="E66" t="str">
        <f t="shared" si="1"/>
        <v>1007</v>
      </c>
      <c r="F66">
        <v>-8128</v>
      </c>
      <c r="G66" t="str">
        <f t="shared" si="2"/>
        <v>FFFFFFE040</v>
      </c>
      <c r="H66">
        <f t="shared" si="3"/>
        <v>264233152</v>
      </c>
      <c r="I66">
        <f t="shared" si="4"/>
        <v>-33349184</v>
      </c>
      <c r="J66">
        <v>-7662</v>
      </c>
      <c r="K66">
        <f t="shared" si="5"/>
        <v>249083958</v>
      </c>
      <c r="L66">
        <f t="shared" si="6"/>
        <v>-31437186</v>
      </c>
      <c r="M66">
        <v>-6640</v>
      </c>
      <c r="N66">
        <f t="shared" si="7"/>
        <v>215859760</v>
      </c>
      <c r="O66">
        <f t="shared" si="8"/>
        <v>-27243920</v>
      </c>
      <c r="P66">
        <v>-5159</v>
      </c>
      <c r="Q66">
        <f t="shared" si="9"/>
        <v>167713931</v>
      </c>
      <c r="R66">
        <f t="shared" si="10"/>
        <v>-21167377</v>
      </c>
    </row>
    <row r="67" spans="1:18">
      <c r="A67">
        <f t="shared" si="11"/>
        <v>64</v>
      </c>
      <c r="B67">
        <v>-20357</v>
      </c>
      <c r="C67">
        <v>25677</v>
      </c>
      <c r="D67" t="str">
        <f t="shared" ref="D67:D130" si="12">DEC2HEX(B67)</f>
        <v>FFFFFFB07B</v>
      </c>
      <c r="E67" t="str">
        <f t="shared" ref="E67:E130" si="13">DEC2HEX(C67)</f>
        <v>644D</v>
      </c>
      <c r="F67">
        <v>-5089</v>
      </c>
      <c r="G67" t="str">
        <f t="shared" ref="G67:G130" si="14">DEC2HEX(F67)</f>
        <v>FFFFFFEC1F</v>
      </c>
      <c r="H67">
        <f t="shared" ref="H67:H130" si="15">F67*B67</f>
        <v>103596773</v>
      </c>
      <c r="I67">
        <f t="shared" ref="I67:I130" si="16">F67*C67</f>
        <v>-130670253</v>
      </c>
      <c r="J67">
        <v>-3477</v>
      </c>
      <c r="K67">
        <f t="shared" ref="K67:K130" si="17">J67*B67</f>
        <v>70781289</v>
      </c>
      <c r="L67">
        <f t="shared" ref="L67:L130" si="18">J67*C67</f>
        <v>-89278929</v>
      </c>
      <c r="M67">
        <v>-1388</v>
      </c>
      <c r="N67">
        <f t="shared" ref="N67:N130" si="19">M67*B67</f>
        <v>28255516</v>
      </c>
      <c r="O67">
        <f t="shared" ref="O67:O130" si="20">M67*C67</f>
        <v>-35639676</v>
      </c>
      <c r="P67">
        <v>801</v>
      </c>
      <c r="Q67">
        <f t="shared" ref="Q67:Q130" si="21">P67*B67</f>
        <v>-16305957</v>
      </c>
      <c r="R67">
        <f t="shared" ref="R67:R130" si="22">P67*C67</f>
        <v>20567277</v>
      </c>
    </row>
    <row r="68" spans="1:18">
      <c r="A68">
        <f t="shared" si="11"/>
        <v>65</v>
      </c>
      <c r="B68">
        <v>3421</v>
      </c>
      <c r="C68">
        <v>32588</v>
      </c>
      <c r="D68" t="str">
        <f t="shared" si="12"/>
        <v>D5D</v>
      </c>
      <c r="E68" t="str">
        <f t="shared" si="13"/>
        <v>7F4C</v>
      </c>
      <c r="F68">
        <v>855</v>
      </c>
      <c r="G68" t="str">
        <f t="shared" si="14"/>
        <v>357</v>
      </c>
      <c r="H68">
        <f t="shared" si="15"/>
        <v>2924955</v>
      </c>
      <c r="I68">
        <f t="shared" si="16"/>
        <v>27862740</v>
      </c>
      <c r="J68">
        <v>2674</v>
      </c>
      <c r="K68">
        <f t="shared" si="17"/>
        <v>9147754</v>
      </c>
      <c r="L68">
        <f t="shared" si="18"/>
        <v>87140312</v>
      </c>
      <c r="M68">
        <v>4657</v>
      </c>
      <c r="N68">
        <f t="shared" si="19"/>
        <v>15931597</v>
      </c>
      <c r="O68">
        <f t="shared" si="20"/>
        <v>151762316</v>
      </c>
      <c r="P68">
        <v>6298</v>
      </c>
      <c r="Q68">
        <f t="shared" si="21"/>
        <v>21545458</v>
      </c>
      <c r="R68">
        <f t="shared" si="22"/>
        <v>205239224</v>
      </c>
    </row>
    <row r="69" spans="1:18">
      <c r="A69">
        <f t="shared" ref="A69:A132" si="23">A68+1</f>
        <v>66</v>
      </c>
      <c r="B69">
        <v>25245</v>
      </c>
      <c r="C69">
        <v>20890</v>
      </c>
      <c r="D69" t="str">
        <f t="shared" si="12"/>
        <v>629D</v>
      </c>
      <c r="E69" t="str">
        <f t="shared" si="13"/>
        <v>519A</v>
      </c>
      <c r="F69">
        <v>6311</v>
      </c>
      <c r="G69" t="str">
        <f t="shared" si="14"/>
        <v>18A7</v>
      </c>
      <c r="H69">
        <f t="shared" si="15"/>
        <v>159321195</v>
      </c>
      <c r="I69">
        <f t="shared" si="16"/>
        <v>131836790</v>
      </c>
      <c r="J69">
        <v>7313</v>
      </c>
      <c r="K69">
        <f t="shared" si="17"/>
        <v>184616685</v>
      </c>
      <c r="L69">
        <f t="shared" si="18"/>
        <v>152768570</v>
      </c>
      <c r="M69">
        <v>8043</v>
      </c>
      <c r="N69">
        <f t="shared" si="19"/>
        <v>203045535</v>
      </c>
      <c r="O69">
        <f t="shared" si="20"/>
        <v>168018270</v>
      </c>
      <c r="P69">
        <v>8162</v>
      </c>
      <c r="Q69">
        <f t="shared" si="21"/>
        <v>206049690</v>
      </c>
      <c r="R69">
        <f t="shared" si="22"/>
        <v>170504180</v>
      </c>
    </row>
    <row r="70" spans="1:18">
      <c r="A70">
        <f t="shared" si="23"/>
        <v>67</v>
      </c>
      <c r="B70">
        <v>32652</v>
      </c>
      <c r="C70">
        <v>-2737</v>
      </c>
      <c r="D70" t="str">
        <f t="shared" si="12"/>
        <v>7F8C</v>
      </c>
      <c r="E70" t="str">
        <f t="shared" si="13"/>
        <v>FFFFFFF54F</v>
      </c>
      <c r="F70">
        <v>8163</v>
      </c>
      <c r="G70" t="str">
        <f t="shared" si="14"/>
        <v>1FE3</v>
      </c>
      <c r="H70">
        <f t="shared" si="15"/>
        <v>266538276</v>
      </c>
      <c r="I70">
        <f t="shared" si="16"/>
        <v>-22342131</v>
      </c>
      <c r="J70">
        <v>7819</v>
      </c>
      <c r="K70">
        <f t="shared" si="17"/>
        <v>255305988</v>
      </c>
      <c r="L70">
        <f t="shared" si="18"/>
        <v>-21400603</v>
      </c>
      <c r="M70">
        <v>6835</v>
      </c>
      <c r="N70">
        <f t="shared" si="19"/>
        <v>223176420</v>
      </c>
      <c r="O70">
        <f t="shared" si="20"/>
        <v>-18707395</v>
      </c>
      <c r="P70">
        <v>5317</v>
      </c>
      <c r="Q70">
        <f t="shared" si="21"/>
        <v>173610684</v>
      </c>
      <c r="R70">
        <f t="shared" si="22"/>
        <v>-14552629</v>
      </c>
    </row>
    <row r="71" spans="1:18">
      <c r="A71">
        <f t="shared" si="23"/>
        <v>68</v>
      </c>
      <c r="B71">
        <v>21414</v>
      </c>
      <c r="C71">
        <v>-24801</v>
      </c>
      <c r="D71" t="str">
        <f t="shared" si="12"/>
        <v>53A6</v>
      </c>
      <c r="E71" t="str">
        <f t="shared" si="13"/>
        <v>FFFFFF9F1F</v>
      </c>
      <c r="F71">
        <v>5354</v>
      </c>
      <c r="G71" t="str">
        <f t="shared" si="14"/>
        <v>14EA</v>
      </c>
      <c r="H71">
        <f t="shared" si="15"/>
        <v>114650556</v>
      </c>
      <c r="I71">
        <f t="shared" si="16"/>
        <v>-132784554</v>
      </c>
      <c r="J71">
        <v>3905</v>
      </c>
      <c r="K71">
        <f t="shared" si="17"/>
        <v>83621670</v>
      </c>
      <c r="L71">
        <f t="shared" si="18"/>
        <v>-96847905</v>
      </c>
      <c r="M71">
        <v>1724</v>
      </c>
      <c r="N71">
        <f t="shared" si="19"/>
        <v>36917736</v>
      </c>
      <c r="O71">
        <f t="shared" si="20"/>
        <v>-42756924</v>
      </c>
      <c r="P71">
        <v>-595</v>
      </c>
      <c r="Q71">
        <f t="shared" si="21"/>
        <v>-12741330</v>
      </c>
      <c r="R71">
        <f t="shared" si="22"/>
        <v>14756595</v>
      </c>
    </row>
    <row r="72" spans="1:18">
      <c r="A72">
        <f t="shared" si="23"/>
        <v>69</v>
      </c>
      <c r="B72">
        <v>-2053</v>
      </c>
      <c r="C72">
        <v>-32703</v>
      </c>
      <c r="D72" t="str">
        <f t="shared" si="12"/>
        <v>FFFFFFF7FB</v>
      </c>
      <c r="E72" t="str">
        <f t="shared" si="13"/>
        <v>FFFFFF8041</v>
      </c>
      <c r="F72">
        <v>-513</v>
      </c>
      <c r="G72" t="str">
        <f t="shared" si="14"/>
        <v>FFFFFFFDFF</v>
      </c>
      <c r="H72">
        <f t="shared" si="15"/>
        <v>1053189</v>
      </c>
      <c r="I72">
        <f t="shared" si="16"/>
        <v>16776639</v>
      </c>
      <c r="J72">
        <v>-2215</v>
      </c>
      <c r="K72">
        <f t="shared" si="17"/>
        <v>4547395</v>
      </c>
      <c r="L72">
        <f t="shared" si="18"/>
        <v>72437145</v>
      </c>
      <c r="M72">
        <v>-4371</v>
      </c>
      <c r="N72">
        <f t="shared" si="19"/>
        <v>8973663</v>
      </c>
      <c r="O72">
        <f t="shared" si="20"/>
        <v>142944813</v>
      </c>
      <c r="P72">
        <v>-6165</v>
      </c>
      <c r="Q72">
        <f t="shared" si="21"/>
        <v>12656745</v>
      </c>
      <c r="R72">
        <f t="shared" si="22"/>
        <v>201613995</v>
      </c>
    </row>
    <row r="73" spans="1:18">
      <c r="A73">
        <f t="shared" si="23"/>
        <v>70</v>
      </c>
      <c r="B73">
        <v>-24347</v>
      </c>
      <c r="C73">
        <v>-21929</v>
      </c>
      <c r="D73" t="str">
        <f t="shared" si="12"/>
        <v>FFFFFFA0E5</v>
      </c>
      <c r="E73" t="str">
        <f t="shared" si="13"/>
        <v>FFFFFFAA57</v>
      </c>
      <c r="F73">
        <v>-6087</v>
      </c>
      <c r="G73" t="str">
        <f t="shared" si="14"/>
        <v>FFFFFFE839</v>
      </c>
      <c r="H73">
        <f t="shared" si="15"/>
        <v>148200189</v>
      </c>
      <c r="I73">
        <f t="shared" si="16"/>
        <v>133481823</v>
      </c>
      <c r="J73">
        <v>-7084</v>
      </c>
      <c r="K73">
        <f t="shared" si="17"/>
        <v>172474148</v>
      </c>
      <c r="L73">
        <f t="shared" si="18"/>
        <v>155345036</v>
      </c>
      <c r="M73">
        <v>-7971</v>
      </c>
      <c r="N73">
        <f t="shared" si="19"/>
        <v>194069937</v>
      </c>
      <c r="O73">
        <f t="shared" si="20"/>
        <v>174796059</v>
      </c>
      <c r="P73">
        <v>-8177</v>
      </c>
      <c r="Q73">
        <f t="shared" si="21"/>
        <v>199085419</v>
      </c>
      <c r="R73">
        <f t="shared" si="22"/>
        <v>179313433</v>
      </c>
    </row>
    <row r="74" spans="1:18">
      <c r="A74">
        <f t="shared" si="23"/>
        <v>71</v>
      </c>
      <c r="B74">
        <v>-32738</v>
      </c>
      <c r="C74">
        <v>1367</v>
      </c>
      <c r="D74" t="str">
        <f t="shared" si="12"/>
        <v>FFFFFF801E</v>
      </c>
      <c r="E74" t="str">
        <f t="shared" si="13"/>
        <v>557</v>
      </c>
      <c r="F74">
        <v>-8185</v>
      </c>
      <c r="G74" t="str">
        <f t="shared" si="14"/>
        <v>FFFFFFE007</v>
      </c>
      <c r="H74">
        <f t="shared" si="15"/>
        <v>267960530</v>
      </c>
      <c r="I74">
        <f t="shared" si="16"/>
        <v>-11188895</v>
      </c>
      <c r="J74">
        <v>-7948</v>
      </c>
      <c r="K74">
        <f t="shared" si="17"/>
        <v>260201624</v>
      </c>
      <c r="L74">
        <f t="shared" si="18"/>
        <v>-10864916</v>
      </c>
      <c r="M74">
        <v>-7018</v>
      </c>
      <c r="N74">
        <f t="shared" si="19"/>
        <v>229755284</v>
      </c>
      <c r="O74">
        <f t="shared" si="20"/>
        <v>-9593606</v>
      </c>
      <c r="P74">
        <v>-5472</v>
      </c>
      <c r="Q74">
        <f t="shared" si="21"/>
        <v>179142336</v>
      </c>
      <c r="R74">
        <f t="shared" si="22"/>
        <v>-7480224</v>
      </c>
    </row>
    <row r="75" spans="1:18">
      <c r="A75">
        <f t="shared" si="23"/>
        <v>72</v>
      </c>
      <c r="B75">
        <v>-22434</v>
      </c>
      <c r="C75">
        <v>23883</v>
      </c>
      <c r="D75" t="str">
        <f t="shared" si="12"/>
        <v>FFFFFFA85E</v>
      </c>
      <c r="E75" t="str">
        <f t="shared" si="13"/>
        <v>5D4B</v>
      </c>
      <c r="F75">
        <v>-5609</v>
      </c>
      <c r="G75" t="str">
        <f t="shared" si="14"/>
        <v>FFFFFFEA17</v>
      </c>
      <c r="H75">
        <f t="shared" si="15"/>
        <v>125832306</v>
      </c>
      <c r="I75">
        <f t="shared" si="16"/>
        <v>-133959747</v>
      </c>
      <c r="J75">
        <v>-4321</v>
      </c>
      <c r="K75">
        <f t="shared" si="17"/>
        <v>96937314</v>
      </c>
      <c r="L75">
        <f t="shared" si="18"/>
        <v>-103198443</v>
      </c>
      <c r="M75">
        <v>-2058</v>
      </c>
      <c r="N75">
        <f t="shared" si="19"/>
        <v>46169172</v>
      </c>
      <c r="O75">
        <f t="shared" si="20"/>
        <v>-49151214</v>
      </c>
      <c r="P75">
        <v>390</v>
      </c>
      <c r="Q75">
        <f t="shared" si="21"/>
        <v>-8749260</v>
      </c>
      <c r="R75">
        <f t="shared" si="22"/>
        <v>9314370</v>
      </c>
    </row>
    <row r="76" spans="1:18">
      <c r="A76">
        <f t="shared" si="23"/>
        <v>73</v>
      </c>
      <c r="B76">
        <v>681</v>
      </c>
      <c r="C76">
        <v>32760</v>
      </c>
      <c r="D76" t="str">
        <f t="shared" si="12"/>
        <v>2A9</v>
      </c>
      <c r="E76" t="str">
        <f t="shared" si="13"/>
        <v>7FF8</v>
      </c>
      <c r="F76">
        <v>170</v>
      </c>
      <c r="G76" t="str">
        <f t="shared" si="14"/>
        <v>AA</v>
      </c>
      <c r="H76">
        <f t="shared" si="15"/>
        <v>115770</v>
      </c>
      <c r="I76">
        <f t="shared" si="16"/>
        <v>5569200</v>
      </c>
      <c r="J76">
        <v>1749</v>
      </c>
      <c r="K76">
        <f t="shared" si="17"/>
        <v>1191069</v>
      </c>
      <c r="L76">
        <f t="shared" si="18"/>
        <v>57297240</v>
      </c>
      <c r="M76">
        <v>4077</v>
      </c>
      <c r="N76">
        <f t="shared" si="19"/>
        <v>2776437</v>
      </c>
      <c r="O76">
        <f t="shared" si="20"/>
        <v>133562520</v>
      </c>
      <c r="P76">
        <v>6027</v>
      </c>
      <c r="Q76">
        <f t="shared" si="21"/>
        <v>4104387</v>
      </c>
      <c r="R76">
        <f t="shared" si="22"/>
        <v>197444520</v>
      </c>
    </row>
    <row r="77" spans="1:18">
      <c r="A77">
        <f t="shared" si="23"/>
        <v>74</v>
      </c>
      <c r="B77">
        <v>23408</v>
      </c>
      <c r="C77">
        <v>22929</v>
      </c>
      <c r="D77" t="str">
        <f t="shared" si="12"/>
        <v>5B70</v>
      </c>
      <c r="E77" t="str">
        <f t="shared" si="13"/>
        <v>5991</v>
      </c>
      <c r="F77">
        <v>5852</v>
      </c>
      <c r="G77" t="str">
        <f t="shared" si="14"/>
        <v>16DC</v>
      </c>
      <c r="H77">
        <f t="shared" si="15"/>
        <v>136983616</v>
      </c>
      <c r="I77">
        <f t="shared" si="16"/>
        <v>134180508</v>
      </c>
      <c r="J77">
        <v>6830</v>
      </c>
      <c r="K77">
        <f t="shared" si="17"/>
        <v>159876640</v>
      </c>
      <c r="L77">
        <f t="shared" si="18"/>
        <v>156605070</v>
      </c>
      <c r="M77">
        <v>7884</v>
      </c>
      <c r="N77">
        <f t="shared" si="19"/>
        <v>184548672</v>
      </c>
      <c r="O77">
        <f t="shared" si="20"/>
        <v>180772236</v>
      </c>
      <c r="P77">
        <v>8187</v>
      </c>
      <c r="Q77">
        <f t="shared" si="21"/>
        <v>191641296</v>
      </c>
      <c r="R77">
        <f t="shared" si="22"/>
        <v>187719723</v>
      </c>
    </row>
    <row r="78" spans="1:18">
      <c r="A78">
        <f t="shared" si="23"/>
        <v>75</v>
      </c>
      <c r="B78">
        <v>32767</v>
      </c>
      <c r="C78">
        <v>5</v>
      </c>
      <c r="D78" t="str">
        <f t="shared" si="12"/>
        <v>7FFF</v>
      </c>
      <c r="E78" t="str">
        <f t="shared" si="13"/>
        <v>5</v>
      </c>
      <c r="F78">
        <v>8192</v>
      </c>
      <c r="G78" t="str">
        <f t="shared" si="14"/>
        <v>2000</v>
      </c>
      <c r="H78">
        <f t="shared" si="15"/>
        <v>268427264</v>
      </c>
      <c r="I78">
        <f t="shared" si="16"/>
        <v>40960</v>
      </c>
      <c r="J78">
        <v>8051</v>
      </c>
      <c r="K78">
        <f t="shared" si="17"/>
        <v>263807117</v>
      </c>
      <c r="L78">
        <f t="shared" si="18"/>
        <v>40255</v>
      </c>
      <c r="M78">
        <v>7189</v>
      </c>
      <c r="N78">
        <f t="shared" si="19"/>
        <v>235561963</v>
      </c>
      <c r="O78">
        <f t="shared" si="20"/>
        <v>35945</v>
      </c>
      <c r="P78">
        <v>5624</v>
      </c>
      <c r="Q78">
        <f t="shared" si="21"/>
        <v>184281608</v>
      </c>
      <c r="R78">
        <f t="shared" si="22"/>
        <v>28120</v>
      </c>
    </row>
    <row r="79" spans="1:18">
      <c r="A79">
        <f t="shared" si="23"/>
        <v>76</v>
      </c>
      <c r="B79">
        <v>23415</v>
      </c>
      <c r="C79">
        <v>-22922</v>
      </c>
      <c r="D79" t="str">
        <f t="shared" si="12"/>
        <v>5B77</v>
      </c>
      <c r="E79" t="str">
        <f t="shared" si="13"/>
        <v>FFFFFFA676</v>
      </c>
      <c r="F79">
        <v>5854</v>
      </c>
      <c r="G79" t="str">
        <f t="shared" si="14"/>
        <v>16DE</v>
      </c>
      <c r="H79">
        <f t="shared" si="15"/>
        <v>137071410</v>
      </c>
      <c r="I79">
        <f t="shared" si="16"/>
        <v>-134185388</v>
      </c>
      <c r="J79">
        <v>4721</v>
      </c>
      <c r="K79">
        <f t="shared" si="17"/>
        <v>110542215</v>
      </c>
      <c r="L79">
        <f t="shared" si="18"/>
        <v>-108214762</v>
      </c>
      <c r="M79">
        <v>2389</v>
      </c>
      <c r="N79">
        <f t="shared" si="19"/>
        <v>55938435</v>
      </c>
      <c r="O79">
        <f t="shared" si="20"/>
        <v>-54760658</v>
      </c>
      <c r="P79">
        <v>-184</v>
      </c>
      <c r="Q79">
        <f t="shared" si="21"/>
        <v>-4308360</v>
      </c>
      <c r="R79">
        <f t="shared" si="22"/>
        <v>4217648</v>
      </c>
    </row>
    <row r="80" spans="1:18">
      <c r="A80">
        <f t="shared" si="23"/>
        <v>77</v>
      </c>
      <c r="B80">
        <v>692</v>
      </c>
      <c r="C80">
        <v>-32760</v>
      </c>
      <c r="D80" t="str">
        <f t="shared" si="12"/>
        <v>2B4</v>
      </c>
      <c r="E80" t="str">
        <f t="shared" si="13"/>
        <v>FFFFFF8008</v>
      </c>
      <c r="F80">
        <v>173</v>
      </c>
      <c r="G80" t="str">
        <f t="shared" si="14"/>
        <v>AD</v>
      </c>
      <c r="H80">
        <f t="shared" si="15"/>
        <v>119716</v>
      </c>
      <c r="I80">
        <f t="shared" si="16"/>
        <v>-5667480</v>
      </c>
      <c r="J80">
        <v>-1277</v>
      </c>
      <c r="K80">
        <f t="shared" si="17"/>
        <v>-883684</v>
      </c>
      <c r="L80">
        <f t="shared" si="18"/>
        <v>41834520</v>
      </c>
      <c r="M80">
        <v>-3776</v>
      </c>
      <c r="N80">
        <f t="shared" si="19"/>
        <v>-2612992</v>
      </c>
      <c r="O80">
        <f t="shared" si="20"/>
        <v>123701760</v>
      </c>
      <c r="P80">
        <v>-5886</v>
      </c>
      <c r="Q80">
        <f t="shared" si="21"/>
        <v>-4073112</v>
      </c>
      <c r="R80">
        <f t="shared" si="22"/>
        <v>192825360</v>
      </c>
    </row>
    <row r="81" spans="1:18">
      <c r="A81">
        <f t="shared" si="23"/>
        <v>78</v>
      </c>
      <c r="B81">
        <v>-22427</v>
      </c>
      <c r="C81">
        <v>-23890</v>
      </c>
      <c r="D81" t="str">
        <f t="shared" si="12"/>
        <v>FFFFFFA865</v>
      </c>
      <c r="E81" t="str">
        <f t="shared" si="13"/>
        <v>FFFFFFA2AE</v>
      </c>
      <c r="F81">
        <v>-5607</v>
      </c>
      <c r="G81" t="str">
        <f t="shared" si="14"/>
        <v>FFFFFFEA19</v>
      </c>
      <c r="H81">
        <f t="shared" si="15"/>
        <v>125748189</v>
      </c>
      <c r="I81">
        <f t="shared" si="16"/>
        <v>133951230</v>
      </c>
      <c r="J81">
        <v>-6553</v>
      </c>
      <c r="K81">
        <f t="shared" si="17"/>
        <v>146964131</v>
      </c>
      <c r="L81">
        <f t="shared" si="18"/>
        <v>156551170</v>
      </c>
      <c r="M81">
        <v>-7784</v>
      </c>
      <c r="N81">
        <f t="shared" si="19"/>
        <v>174571768</v>
      </c>
      <c r="O81">
        <f t="shared" si="20"/>
        <v>185959760</v>
      </c>
      <c r="P81">
        <v>-8192</v>
      </c>
      <c r="Q81">
        <f t="shared" si="21"/>
        <v>183721984</v>
      </c>
      <c r="R81">
        <f t="shared" si="22"/>
        <v>195706880</v>
      </c>
    </row>
    <row r="82" spans="1:18">
      <c r="A82">
        <f t="shared" si="23"/>
        <v>79</v>
      </c>
      <c r="B82">
        <v>-32738</v>
      </c>
      <c r="C82">
        <v>-1378</v>
      </c>
      <c r="D82" t="str">
        <f t="shared" si="12"/>
        <v>FFFFFF801E</v>
      </c>
      <c r="E82" t="str">
        <f t="shared" si="13"/>
        <v>FFFFFFFA9E</v>
      </c>
      <c r="F82">
        <v>-8185</v>
      </c>
      <c r="G82" t="str">
        <f t="shared" si="14"/>
        <v>FFFFFFE007</v>
      </c>
      <c r="H82">
        <f t="shared" si="15"/>
        <v>267960530</v>
      </c>
      <c r="I82">
        <f t="shared" si="16"/>
        <v>11278930</v>
      </c>
      <c r="J82">
        <v>-8126</v>
      </c>
      <c r="K82">
        <f t="shared" si="17"/>
        <v>266028988</v>
      </c>
      <c r="L82">
        <f t="shared" si="18"/>
        <v>11197628</v>
      </c>
      <c r="M82">
        <v>-7347</v>
      </c>
      <c r="N82">
        <f t="shared" si="19"/>
        <v>240526086</v>
      </c>
      <c r="O82">
        <f t="shared" si="20"/>
        <v>10124166</v>
      </c>
      <c r="P82">
        <v>-5772</v>
      </c>
      <c r="Q82">
        <f t="shared" si="21"/>
        <v>188963736</v>
      </c>
      <c r="R82">
        <f t="shared" si="22"/>
        <v>7953816</v>
      </c>
    </row>
    <row r="83" spans="1:18">
      <c r="A83">
        <f t="shared" si="23"/>
        <v>80</v>
      </c>
      <c r="B83">
        <v>-24354</v>
      </c>
      <c r="C83">
        <v>21921</v>
      </c>
      <c r="D83" t="str">
        <f t="shared" si="12"/>
        <v>FFFFFFA0DE</v>
      </c>
      <c r="E83" t="str">
        <f t="shared" si="13"/>
        <v>55A1</v>
      </c>
      <c r="F83">
        <v>-6089</v>
      </c>
      <c r="G83" t="str">
        <f t="shared" si="14"/>
        <v>FFFFFFE837</v>
      </c>
      <c r="H83">
        <f t="shared" si="15"/>
        <v>148291506</v>
      </c>
      <c r="I83">
        <f t="shared" si="16"/>
        <v>-133476969</v>
      </c>
      <c r="J83">
        <v>-5105</v>
      </c>
      <c r="K83">
        <f t="shared" si="17"/>
        <v>124327170</v>
      </c>
      <c r="L83">
        <f t="shared" si="18"/>
        <v>-111906705</v>
      </c>
      <c r="M83">
        <v>-2715</v>
      </c>
      <c r="N83">
        <f t="shared" si="19"/>
        <v>66121110</v>
      </c>
      <c r="O83">
        <f t="shared" si="20"/>
        <v>-59515515</v>
      </c>
      <c r="P83">
        <v>-22</v>
      </c>
      <c r="Q83">
        <f t="shared" si="21"/>
        <v>535788</v>
      </c>
      <c r="R83">
        <f t="shared" si="22"/>
        <v>-482262</v>
      </c>
    </row>
    <row r="84" spans="1:18">
      <c r="A84">
        <f t="shared" si="23"/>
        <v>81</v>
      </c>
      <c r="B84">
        <v>-2063</v>
      </c>
      <c r="C84">
        <v>32702</v>
      </c>
      <c r="D84" t="str">
        <f t="shared" si="12"/>
        <v>FFFFFFF7F1</v>
      </c>
      <c r="E84" t="str">
        <f t="shared" si="13"/>
        <v>7FBE</v>
      </c>
      <c r="F84">
        <v>-516</v>
      </c>
      <c r="G84" t="str">
        <f t="shared" si="14"/>
        <v>FFFFFFFDFC</v>
      </c>
      <c r="H84">
        <f t="shared" si="15"/>
        <v>1064508</v>
      </c>
      <c r="I84">
        <f t="shared" si="16"/>
        <v>-16874232</v>
      </c>
      <c r="J84">
        <v>801</v>
      </c>
      <c r="K84">
        <f t="shared" si="17"/>
        <v>-1652463</v>
      </c>
      <c r="L84">
        <f t="shared" si="18"/>
        <v>26194302</v>
      </c>
      <c r="M84">
        <v>3468</v>
      </c>
      <c r="N84">
        <f t="shared" si="19"/>
        <v>-7154484</v>
      </c>
      <c r="O84">
        <f t="shared" si="20"/>
        <v>113410536</v>
      </c>
      <c r="P84">
        <v>5741</v>
      </c>
      <c r="Q84">
        <f t="shared" si="21"/>
        <v>-11843683</v>
      </c>
      <c r="R84">
        <f t="shared" si="22"/>
        <v>187742182</v>
      </c>
    </row>
    <row r="85" spans="1:18">
      <c r="A85">
        <f t="shared" si="23"/>
        <v>82</v>
      </c>
      <c r="B85">
        <v>21406</v>
      </c>
      <c r="C85">
        <v>24808</v>
      </c>
      <c r="D85" t="str">
        <f t="shared" si="12"/>
        <v>539E</v>
      </c>
      <c r="E85" t="str">
        <f t="shared" si="13"/>
        <v>60E8</v>
      </c>
      <c r="F85">
        <v>5352</v>
      </c>
      <c r="G85" t="str">
        <f t="shared" si="14"/>
        <v>14E8</v>
      </c>
      <c r="H85">
        <f t="shared" si="15"/>
        <v>114564912</v>
      </c>
      <c r="I85">
        <f t="shared" si="16"/>
        <v>132772416</v>
      </c>
      <c r="J85">
        <v>6254</v>
      </c>
      <c r="K85">
        <f t="shared" si="17"/>
        <v>133873124</v>
      </c>
      <c r="L85">
        <f t="shared" si="18"/>
        <v>155149232</v>
      </c>
      <c r="M85">
        <v>7671</v>
      </c>
      <c r="N85">
        <f t="shared" si="19"/>
        <v>164205426</v>
      </c>
      <c r="O85">
        <f t="shared" si="20"/>
        <v>190302168</v>
      </c>
      <c r="P85">
        <v>8191</v>
      </c>
      <c r="Q85">
        <f t="shared" si="21"/>
        <v>175336546</v>
      </c>
      <c r="R85">
        <f t="shared" si="22"/>
        <v>203202328</v>
      </c>
    </row>
    <row r="86" spans="1:18">
      <c r="A86">
        <f t="shared" si="23"/>
        <v>83</v>
      </c>
      <c r="B86">
        <v>32652</v>
      </c>
      <c r="C86">
        <v>2748</v>
      </c>
      <c r="D86" t="str">
        <f t="shared" si="12"/>
        <v>7F8C</v>
      </c>
      <c r="E86" t="str">
        <f t="shared" si="13"/>
        <v>ABC</v>
      </c>
      <c r="F86">
        <v>8163</v>
      </c>
      <c r="G86" t="str">
        <f t="shared" si="14"/>
        <v>1FE3</v>
      </c>
      <c r="H86">
        <f t="shared" si="15"/>
        <v>266538276</v>
      </c>
      <c r="I86">
        <f t="shared" si="16"/>
        <v>22431924</v>
      </c>
      <c r="J86">
        <v>8173</v>
      </c>
      <c r="K86">
        <f t="shared" si="17"/>
        <v>266864796</v>
      </c>
      <c r="L86">
        <f t="shared" si="18"/>
        <v>22459404</v>
      </c>
      <c r="M86">
        <v>7493</v>
      </c>
      <c r="N86">
        <f t="shared" si="19"/>
        <v>244661436</v>
      </c>
      <c r="O86">
        <f t="shared" si="20"/>
        <v>20590764</v>
      </c>
      <c r="P86">
        <v>5916</v>
      </c>
      <c r="Q86">
        <f t="shared" si="21"/>
        <v>193169232</v>
      </c>
      <c r="R86">
        <f t="shared" si="22"/>
        <v>16257168</v>
      </c>
    </row>
    <row r="87" spans="1:18">
      <c r="A87">
        <f t="shared" si="23"/>
        <v>84</v>
      </c>
      <c r="B87">
        <v>25251</v>
      </c>
      <c r="C87">
        <v>-20882</v>
      </c>
      <c r="D87" t="str">
        <f t="shared" si="12"/>
        <v>62A3</v>
      </c>
      <c r="E87" t="str">
        <f t="shared" si="13"/>
        <v>FFFFFFAE6E</v>
      </c>
      <c r="F87">
        <v>6313</v>
      </c>
      <c r="G87" t="str">
        <f t="shared" si="14"/>
        <v>18A9</v>
      </c>
      <c r="H87">
        <f t="shared" si="15"/>
        <v>159409563</v>
      </c>
      <c r="I87">
        <f t="shared" si="16"/>
        <v>-131828066</v>
      </c>
      <c r="J87">
        <v>5472</v>
      </c>
      <c r="K87">
        <f t="shared" si="17"/>
        <v>138173472</v>
      </c>
      <c r="L87">
        <f t="shared" si="18"/>
        <v>-114266304</v>
      </c>
      <c r="M87">
        <v>3036</v>
      </c>
      <c r="N87">
        <f t="shared" si="19"/>
        <v>76662036</v>
      </c>
      <c r="O87">
        <f t="shared" si="20"/>
        <v>-63397752</v>
      </c>
      <c r="P87">
        <v>228</v>
      </c>
      <c r="Q87">
        <f t="shared" si="21"/>
        <v>5757228</v>
      </c>
      <c r="R87">
        <f t="shared" si="22"/>
        <v>-4761096</v>
      </c>
    </row>
    <row r="88" spans="1:18">
      <c r="A88">
        <f t="shared" si="23"/>
        <v>85</v>
      </c>
      <c r="B88">
        <v>3431</v>
      </c>
      <c r="C88">
        <v>-32587</v>
      </c>
      <c r="D88" t="str">
        <f t="shared" si="12"/>
        <v>D67</v>
      </c>
      <c r="E88" t="str">
        <f t="shared" si="13"/>
        <v>FFFFFF80B5</v>
      </c>
      <c r="F88">
        <v>858</v>
      </c>
      <c r="G88" t="str">
        <f t="shared" si="14"/>
        <v>35A</v>
      </c>
      <c r="H88">
        <f t="shared" si="15"/>
        <v>2943798</v>
      </c>
      <c r="I88">
        <f t="shared" si="16"/>
        <v>-27959646</v>
      </c>
      <c r="J88">
        <v>-321</v>
      </c>
      <c r="K88">
        <f t="shared" si="17"/>
        <v>-1101351</v>
      </c>
      <c r="L88">
        <f t="shared" si="18"/>
        <v>10460427</v>
      </c>
      <c r="M88">
        <v>-3154</v>
      </c>
      <c r="N88">
        <f t="shared" si="19"/>
        <v>-10821374</v>
      </c>
      <c r="O88">
        <f t="shared" si="20"/>
        <v>102779398</v>
      </c>
      <c r="P88">
        <v>-5592</v>
      </c>
      <c r="Q88">
        <f t="shared" si="21"/>
        <v>-19186152</v>
      </c>
      <c r="R88">
        <f t="shared" si="22"/>
        <v>182226504</v>
      </c>
    </row>
    <row r="89" spans="1:18">
      <c r="A89">
        <f t="shared" si="23"/>
        <v>86</v>
      </c>
      <c r="B89">
        <v>-20349</v>
      </c>
      <c r="C89">
        <v>-25683</v>
      </c>
      <c r="D89" t="str">
        <f t="shared" si="12"/>
        <v>FFFFFFB083</v>
      </c>
      <c r="E89" t="str">
        <f t="shared" si="13"/>
        <v>FFFFFF9BAD</v>
      </c>
      <c r="F89">
        <v>-5087</v>
      </c>
      <c r="G89" t="str">
        <f t="shared" si="14"/>
        <v>FFFFFFEC21</v>
      </c>
      <c r="H89">
        <f t="shared" si="15"/>
        <v>103515363</v>
      </c>
      <c r="I89">
        <f t="shared" si="16"/>
        <v>130649421</v>
      </c>
      <c r="J89">
        <v>-5933</v>
      </c>
      <c r="K89">
        <f t="shared" si="17"/>
        <v>120730617</v>
      </c>
      <c r="L89">
        <f t="shared" si="18"/>
        <v>152377239</v>
      </c>
      <c r="M89">
        <v>-7543</v>
      </c>
      <c r="N89">
        <f t="shared" si="19"/>
        <v>153492507</v>
      </c>
      <c r="O89">
        <f t="shared" si="20"/>
        <v>193726869</v>
      </c>
      <c r="P89">
        <v>-8185</v>
      </c>
      <c r="Q89">
        <f t="shared" si="21"/>
        <v>166556565</v>
      </c>
      <c r="R89">
        <f t="shared" si="22"/>
        <v>210215355</v>
      </c>
    </row>
    <row r="90" spans="1:18">
      <c r="A90">
        <f t="shared" si="23"/>
        <v>87</v>
      </c>
      <c r="B90">
        <v>-32508</v>
      </c>
      <c r="C90">
        <v>-4113</v>
      </c>
      <c r="D90" t="str">
        <f t="shared" si="12"/>
        <v>FFFFFF8104</v>
      </c>
      <c r="E90" t="str">
        <f t="shared" si="13"/>
        <v>FFFFFFEFEF</v>
      </c>
      <c r="F90">
        <v>-8127</v>
      </c>
      <c r="G90" t="str">
        <f t="shared" si="14"/>
        <v>FFFFFFE041</v>
      </c>
      <c r="H90">
        <f t="shared" si="15"/>
        <v>264192516</v>
      </c>
      <c r="I90">
        <f t="shared" si="16"/>
        <v>33426351</v>
      </c>
      <c r="J90">
        <v>-8192</v>
      </c>
      <c r="K90">
        <f t="shared" si="17"/>
        <v>266305536</v>
      </c>
      <c r="L90">
        <f t="shared" si="18"/>
        <v>33693696</v>
      </c>
      <c r="M90">
        <v>-7625</v>
      </c>
      <c r="N90">
        <f t="shared" si="19"/>
        <v>247873500</v>
      </c>
      <c r="O90">
        <f t="shared" si="20"/>
        <v>31361625</v>
      </c>
      <c r="P90">
        <v>-6056</v>
      </c>
      <c r="Q90">
        <f t="shared" si="21"/>
        <v>196868448</v>
      </c>
      <c r="R90">
        <f t="shared" si="22"/>
        <v>24908328</v>
      </c>
    </row>
    <row r="91" spans="1:18">
      <c r="A91">
        <f t="shared" si="23"/>
        <v>88</v>
      </c>
      <c r="B91">
        <v>-26104</v>
      </c>
      <c r="C91">
        <v>19806</v>
      </c>
      <c r="D91" t="str">
        <f t="shared" si="12"/>
        <v>FFFFFF9A08</v>
      </c>
      <c r="E91" t="str">
        <f t="shared" si="13"/>
        <v>4D5E</v>
      </c>
      <c r="F91">
        <v>-6526</v>
      </c>
      <c r="G91" t="str">
        <f t="shared" si="14"/>
        <v>FFFFFFE682</v>
      </c>
      <c r="H91">
        <f t="shared" si="15"/>
        <v>170354704</v>
      </c>
      <c r="I91">
        <f t="shared" si="16"/>
        <v>-129253956</v>
      </c>
      <c r="J91">
        <v>-5820</v>
      </c>
      <c r="K91">
        <f t="shared" si="17"/>
        <v>151925280</v>
      </c>
      <c r="L91">
        <f t="shared" si="18"/>
        <v>-115270920</v>
      </c>
      <c r="M91">
        <v>-3352</v>
      </c>
      <c r="N91">
        <f t="shared" si="19"/>
        <v>87500608</v>
      </c>
      <c r="O91">
        <f t="shared" si="20"/>
        <v>-66389712</v>
      </c>
      <c r="P91">
        <v>-433</v>
      </c>
      <c r="Q91">
        <f t="shared" si="21"/>
        <v>11303032</v>
      </c>
      <c r="R91">
        <f t="shared" si="22"/>
        <v>-8575998</v>
      </c>
    </row>
    <row r="92" spans="1:18">
      <c r="A92">
        <f t="shared" si="23"/>
        <v>89</v>
      </c>
      <c r="B92">
        <v>-4793</v>
      </c>
      <c r="C92">
        <v>32415</v>
      </c>
      <c r="D92" t="str">
        <f t="shared" si="12"/>
        <v>FFFFFFED47</v>
      </c>
      <c r="E92" t="str">
        <f t="shared" si="13"/>
        <v>7E9F</v>
      </c>
      <c r="F92">
        <v>-1198</v>
      </c>
      <c r="G92" t="str">
        <f t="shared" si="14"/>
        <v>FFFFFFFB52</v>
      </c>
      <c r="H92">
        <f t="shared" si="15"/>
        <v>5742014</v>
      </c>
      <c r="I92">
        <f t="shared" si="16"/>
        <v>-38833170</v>
      </c>
      <c r="J92">
        <v>-159</v>
      </c>
      <c r="K92">
        <f t="shared" si="17"/>
        <v>762087</v>
      </c>
      <c r="L92">
        <f t="shared" si="18"/>
        <v>-5153985</v>
      </c>
      <c r="M92">
        <v>2835</v>
      </c>
      <c r="N92">
        <f t="shared" si="19"/>
        <v>-13588155</v>
      </c>
      <c r="O92">
        <f t="shared" si="20"/>
        <v>91896525</v>
      </c>
      <c r="P92">
        <v>5440</v>
      </c>
      <c r="Q92">
        <f t="shared" si="21"/>
        <v>-26073920</v>
      </c>
      <c r="R92">
        <f t="shared" si="22"/>
        <v>176337600</v>
      </c>
    </row>
    <row r="93" spans="1:18">
      <c r="A93">
        <f t="shared" si="23"/>
        <v>90</v>
      </c>
      <c r="B93">
        <v>19255</v>
      </c>
      <c r="C93">
        <v>26513</v>
      </c>
      <c r="D93" t="str">
        <f t="shared" si="12"/>
        <v>4B37</v>
      </c>
      <c r="E93" t="str">
        <f t="shared" si="13"/>
        <v>6791</v>
      </c>
      <c r="F93">
        <v>4814</v>
      </c>
      <c r="G93" t="str">
        <f t="shared" si="14"/>
        <v>12CE</v>
      </c>
      <c r="H93">
        <f t="shared" si="15"/>
        <v>92693570</v>
      </c>
      <c r="I93">
        <f t="shared" si="16"/>
        <v>127633582</v>
      </c>
      <c r="J93">
        <v>5592</v>
      </c>
      <c r="K93">
        <f t="shared" si="17"/>
        <v>107673960</v>
      </c>
      <c r="L93">
        <f t="shared" si="18"/>
        <v>148260696</v>
      </c>
      <c r="M93">
        <v>7403</v>
      </c>
      <c r="N93">
        <f t="shared" si="19"/>
        <v>142544765</v>
      </c>
      <c r="O93">
        <f t="shared" si="20"/>
        <v>196275739</v>
      </c>
      <c r="P93">
        <v>8174</v>
      </c>
      <c r="Q93">
        <f t="shared" si="21"/>
        <v>157390370</v>
      </c>
      <c r="R93">
        <f t="shared" si="22"/>
        <v>216717262</v>
      </c>
    </row>
    <row r="94" spans="1:18">
      <c r="A94">
        <f t="shared" si="23"/>
        <v>91</v>
      </c>
      <c r="B94">
        <v>32307</v>
      </c>
      <c r="C94">
        <v>5471</v>
      </c>
      <c r="D94" t="str">
        <f t="shared" si="12"/>
        <v>7E33</v>
      </c>
      <c r="E94" t="str">
        <f t="shared" si="13"/>
        <v>155F</v>
      </c>
      <c r="F94">
        <v>8077</v>
      </c>
      <c r="G94" t="str">
        <f t="shared" si="14"/>
        <v>1F8D</v>
      </c>
      <c r="H94">
        <f t="shared" si="15"/>
        <v>260943639</v>
      </c>
      <c r="I94">
        <f t="shared" si="16"/>
        <v>44189267</v>
      </c>
      <c r="J94">
        <v>8182</v>
      </c>
      <c r="K94">
        <f t="shared" si="17"/>
        <v>264335874</v>
      </c>
      <c r="L94">
        <f t="shared" si="18"/>
        <v>44763722</v>
      </c>
      <c r="M94">
        <v>7743</v>
      </c>
      <c r="N94">
        <f t="shared" si="19"/>
        <v>250153101</v>
      </c>
      <c r="O94">
        <f t="shared" si="20"/>
        <v>42361953</v>
      </c>
      <c r="P94">
        <v>6193</v>
      </c>
      <c r="Q94">
        <f t="shared" si="21"/>
        <v>200077251</v>
      </c>
      <c r="R94">
        <f t="shared" si="22"/>
        <v>33881903</v>
      </c>
    </row>
    <row r="95" spans="1:18">
      <c r="A95">
        <f t="shared" si="23"/>
        <v>92</v>
      </c>
      <c r="B95">
        <v>26910</v>
      </c>
      <c r="C95">
        <v>-18695</v>
      </c>
      <c r="D95" t="str">
        <f t="shared" si="12"/>
        <v>691E</v>
      </c>
      <c r="E95" t="str">
        <f t="shared" si="13"/>
        <v>FFFFFFB6F9</v>
      </c>
      <c r="F95">
        <v>6728</v>
      </c>
      <c r="G95" t="str">
        <f t="shared" si="14"/>
        <v>1A48</v>
      </c>
      <c r="H95">
        <f t="shared" si="15"/>
        <v>181050480</v>
      </c>
      <c r="I95">
        <f t="shared" si="16"/>
        <v>-125779960</v>
      </c>
      <c r="J95">
        <v>6148</v>
      </c>
      <c r="K95">
        <f t="shared" si="17"/>
        <v>165442680</v>
      </c>
      <c r="L95">
        <f t="shared" si="18"/>
        <v>-114936860</v>
      </c>
      <c r="M95">
        <v>3662</v>
      </c>
      <c r="N95">
        <f t="shared" si="19"/>
        <v>98544420</v>
      </c>
      <c r="O95">
        <f t="shared" si="20"/>
        <v>-68461090</v>
      </c>
      <c r="P95">
        <v>639</v>
      </c>
      <c r="Q95">
        <f t="shared" si="21"/>
        <v>17195490</v>
      </c>
      <c r="R95">
        <f t="shared" si="22"/>
        <v>-11946105</v>
      </c>
    </row>
    <row r="96" spans="1:18">
      <c r="A96">
        <f t="shared" si="23"/>
        <v>93</v>
      </c>
      <c r="B96">
        <v>6146</v>
      </c>
      <c r="C96">
        <v>-32185</v>
      </c>
      <c r="D96" t="str">
        <f t="shared" si="12"/>
        <v>1802</v>
      </c>
      <c r="E96" t="str">
        <f t="shared" si="13"/>
        <v>FFFFFF8247</v>
      </c>
      <c r="F96">
        <v>1537</v>
      </c>
      <c r="G96" t="str">
        <f t="shared" si="14"/>
        <v>601</v>
      </c>
      <c r="H96">
        <f t="shared" si="15"/>
        <v>9446402</v>
      </c>
      <c r="I96">
        <f t="shared" si="16"/>
        <v>-49468345</v>
      </c>
      <c r="J96">
        <v>639</v>
      </c>
      <c r="K96">
        <f t="shared" si="17"/>
        <v>3927294</v>
      </c>
      <c r="L96">
        <f t="shared" si="18"/>
        <v>-20566215</v>
      </c>
      <c r="M96">
        <v>-2511</v>
      </c>
      <c r="N96">
        <f t="shared" si="19"/>
        <v>-15432606</v>
      </c>
      <c r="O96">
        <f t="shared" si="20"/>
        <v>80816535</v>
      </c>
      <c r="P96">
        <v>-5284</v>
      </c>
      <c r="Q96">
        <f t="shared" si="21"/>
        <v>-32475464</v>
      </c>
      <c r="R96">
        <f t="shared" si="22"/>
        <v>170065540</v>
      </c>
    </row>
    <row r="97" spans="1:18">
      <c r="A97">
        <f t="shared" si="23"/>
        <v>94</v>
      </c>
      <c r="B97">
        <v>-18128</v>
      </c>
      <c r="C97">
        <v>-27296</v>
      </c>
      <c r="D97" t="str">
        <f t="shared" si="12"/>
        <v>FFFFFFB930</v>
      </c>
      <c r="E97" t="str">
        <f t="shared" si="13"/>
        <v>FFFFFF9560</v>
      </c>
      <c r="F97">
        <v>-4532</v>
      </c>
      <c r="G97" t="str">
        <f t="shared" si="14"/>
        <v>FFFFFFEE4C</v>
      </c>
      <c r="H97">
        <f t="shared" si="15"/>
        <v>82156096</v>
      </c>
      <c r="I97">
        <f t="shared" si="16"/>
        <v>123705472</v>
      </c>
      <c r="J97">
        <v>-5231</v>
      </c>
      <c r="K97">
        <f t="shared" si="17"/>
        <v>94827568</v>
      </c>
      <c r="L97">
        <f t="shared" si="18"/>
        <v>142785376</v>
      </c>
      <c r="M97">
        <v>-7250</v>
      </c>
      <c r="N97">
        <f t="shared" si="19"/>
        <v>131428000</v>
      </c>
      <c r="O97">
        <f t="shared" si="20"/>
        <v>197896000</v>
      </c>
      <c r="P97">
        <v>-8158</v>
      </c>
      <c r="Q97">
        <f t="shared" si="21"/>
        <v>147888224</v>
      </c>
      <c r="R97">
        <f t="shared" si="22"/>
        <v>222680768</v>
      </c>
    </row>
    <row r="98" spans="1:18">
      <c r="A98">
        <f t="shared" si="23"/>
        <v>95</v>
      </c>
      <c r="B98">
        <v>-32050</v>
      </c>
      <c r="C98">
        <v>-6819</v>
      </c>
      <c r="D98" t="str">
        <f t="shared" si="12"/>
        <v>FFFFFF82CE</v>
      </c>
      <c r="E98" t="str">
        <f t="shared" si="13"/>
        <v>FFFFFFE55D</v>
      </c>
      <c r="F98">
        <v>-8013</v>
      </c>
      <c r="G98" t="str">
        <f t="shared" si="14"/>
        <v>FFFFFFE0B3</v>
      </c>
      <c r="H98">
        <f t="shared" si="15"/>
        <v>256816650</v>
      </c>
      <c r="I98">
        <f t="shared" si="16"/>
        <v>54640647</v>
      </c>
      <c r="J98">
        <v>-8145</v>
      </c>
      <c r="K98">
        <f t="shared" si="17"/>
        <v>261047250</v>
      </c>
      <c r="L98">
        <f t="shared" si="18"/>
        <v>55540755</v>
      </c>
      <c r="M98">
        <v>-7849</v>
      </c>
      <c r="N98">
        <f t="shared" si="19"/>
        <v>251560450</v>
      </c>
      <c r="O98">
        <f t="shared" si="20"/>
        <v>53522331</v>
      </c>
      <c r="P98">
        <v>-6326</v>
      </c>
      <c r="Q98">
        <f t="shared" si="21"/>
        <v>202748300</v>
      </c>
      <c r="R98">
        <f t="shared" si="22"/>
        <v>43136994</v>
      </c>
    </row>
    <row r="99" spans="1:18">
      <c r="A99">
        <f t="shared" si="23"/>
        <v>96</v>
      </c>
      <c r="B99">
        <v>-27670</v>
      </c>
      <c r="C99">
        <v>17552</v>
      </c>
      <c r="D99" t="str">
        <f t="shared" si="12"/>
        <v>FFFFFF93EA</v>
      </c>
      <c r="E99" t="str">
        <f t="shared" si="13"/>
        <v>4490</v>
      </c>
      <c r="F99">
        <v>-6918</v>
      </c>
      <c r="G99" t="str">
        <f t="shared" si="14"/>
        <v>FFFFFFE4FA</v>
      </c>
      <c r="H99">
        <f t="shared" si="15"/>
        <v>191421060</v>
      </c>
      <c r="I99">
        <f t="shared" si="16"/>
        <v>-121424736</v>
      </c>
      <c r="J99">
        <v>-6455</v>
      </c>
      <c r="K99">
        <f t="shared" si="17"/>
        <v>178609850</v>
      </c>
      <c r="L99">
        <f t="shared" si="18"/>
        <v>-113298160</v>
      </c>
      <c r="M99">
        <v>-3966</v>
      </c>
      <c r="N99">
        <f t="shared" si="19"/>
        <v>109739220</v>
      </c>
      <c r="O99">
        <f t="shared" si="20"/>
        <v>-69611232</v>
      </c>
      <c r="P99">
        <v>-844</v>
      </c>
      <c r="Q99">
        <f t="shared" si="21"/>
        <v>23353480</v>
      </c>
      <c r="R99">
        <f t="shared" si="22"/>
        <v>-14813888</v>
      </c>
    </row>
    <row r="100" spans="1:18">
      <c r="A100">
        <f t="shared" si="23"/>
        <v>97</v>
      </c>
      <c r="B100">
        <v>-7489</v>
      </c>
      <c r="C100">
        <v>31900</v>
      </c>
      <c r="D100" t="str">
        <f t="shared" si="12"/>
        <v>FFFFFFE2BF</v>
      </c>
      <c r="E100" t="str">
        <f t="shared" si="13"/>
        <v>7C9C</v>
      </c>
      <c r="F100">
        <v>-1872</v>
      </c>
      <c r="G100" t="str">
        <f t="shared" si="14"/>
        <v>FFFFFFF8B0</v>
      </c>
      <c r="H100">
        <f t="shared" si="15"/>
        <v>14019408</v>
      </c>
      <c r="I100">
        <f t="shared" si="16"/>
        <v>-59716800</v>
      </c>
      <c r="J100">
        <v>-1116</v>
      </c>
      <c r="K100">
        <f t="shared" si="17"/>
        <v>8357724</v>
      </c>
      <c r="L100">
        <f t="shared" si="18"/>
        <v>-35600400</v>
      </c>
      <c r="M100">
        <v>2182</v>
      </c>
      <c r="N100">
        <f t="shared" si="19"/>
        <v>-16340998</v>
      </c>
      <c r="O100">
        <f t="shared" si="20"/>
        <v>69605800</v>
      </c>
      <c r="P100">
        <v>5125</v>
      </c>
      <c r="Q100">
        <f t="shared" si="21"/>
        <v>-38381125</v>
      </c>
      <c r="R100">
        <f t="shared" si="22"/>
        <v>163487500</v>
      </c>
    </row>
    <row r="101" spans="1:18">
      <c r="A101">
        <f t="shared" si="23"/>
        <v>98</v>
      </c>
      <c r="B101">
        <v>16968</v>
      </c>
      <c r="C101">
        <v>28031</v>
      </c>
      <c r="D101" t="str">
        <f t="shared" si="12"/>
        <v>4248</v>
      </c>
      <c r="E101" t="str">
        <f t="shared" si="13"/>
        <v>6D7F</v>
      </c>
      <c r="F101">
        <v>4242</v>
      </c>
      <c r="G101" t="str">
        <f t="shared" si="14"/>
        <v>1092</v>
      </c>
      <c r="H101">
        <f t="shared" si="15"/>
        <v>71978256</v>
      </c>
      <c r="I101">
        <f t="shared" si="16"/>
        <v>118907502</v>
      </c>
      <c r="J101">
        <v>4853</v>
      </c>
      <c r="K101">
        <f t="shared" si="17"/>
        <v>82345704</v>
      </c>
      <c r="L101">
        <f t="shared" si="18"/>
        <v>136034443</v>
      </c>
      <c r="M101">
        <v>7084</v>
      </c>
      <c r="N101">
        <f t="shared" si="19"/>
        <v>120201312</v>
      </c>
      <c r="O101">
        <f t="shared" si="20"/>
        <v>198571604</v>
      </c>
      <c r="P101">
        <v>8137</v>
      </c>
      <c r="Q101">
        <f t="shared" si="21"/>
        <v>138068616</v>
      </c>
      <c r="R101">
        <f t="shared" si="22"/>
        <v>228088247</v>
      </c>
    </row>
    <row r="102" spans="1:18">
      <c r="A102">
        <f t="shared" si="23"/>
        <v>99</v>
      </c>
      <c r="B102">
        <v>31736</v>
      </c>
      <c r="C102">
        <v>8155</v>
      </c>
      <c r="D102" t="str">
        <f t="shared" si="12"/>
        <v>7BF8</v>
      </c>
      <c r="E102" t="str">
        <f t="shared" si="13"/>
        <v>1FDB</v>
      </c>
      <c r="F102">
        <v>7934</v>
      </c>
      <c r="G102" t="str">
        <f t="shared" si="14"/>
        <v>1EFE</v>
      </c>
      <c r="H102">
        <f t="shared" si="15"/>
        <v>251793424</v>
      </c>
      <c r="I102">
        <f t="shared" si="16"/>
        <v>64701770</v>
      </c>
      <c r="J102">
        <v>8079</v>
      </c>
      <c r="K102">
        <f t="shared" si="17"/>
        <v>256395144</v>
      </c>
      <c r="L102">
        <f t="shared" si="18"/>
        <v>65884245</v>
      </c>
      <c r="M102">
        <v>7940</v>
      </c>
      <c r="N102">
        <f t="shared" si="19"/>
        <v>251983840</v>
      </c>
      <c r="O102">
        <f t="shared" si="20"/>
        <v>64750700</v>
      </c>
      <c r="P102">
        <v>6455</v>
      </c>
      <c r="Q102">
        <f t="shared" si="21"/>
        <v>204855880</v>
      </c>
      <c r="R102">
        <f t="shared" si="22"/>
        <v>52640525</v>
      </c>
    </row>
    <row r="103" spans="1:18">
      <c r="A103">
        <f t="shared" si="23"/>
        <v>100</v>
      </c>
      <c r="B103">
        <v>28380</v>
      </c>
      <c r="C103">
        <v>-16378</v>
      </c>
      <c r="D103" t="str">
        <f t="shared" si="12"/>
        <v>6EDC</v>
      </c>
      <c r="E103" t="str">
        <f t="shared" si="13"/>
        <v>FFFFFFC006</v>
      </c>
      <c r="F103">
        <v>7095</v>
      </c>
      <c r="G103" t="str">
        <f t="shared" si="14"/>
        <v>1BB7</v>
      </c>
      <c r="H103">
        <f t="shared" si="15"/>
        <v>201356100</v>
      </c>
      <c r="I103">
        <f t="shared" si="16"/>
        <v>-116201910</v>
      </c>
      <c r="J103">
        <v>6739</v>
      </c>
      <c r="K103">
        <f t="shared" si="17"/>
        <v>191252820</v>
      </c>
      <c r="L103">
        <f t="shared" si="18"/>
        <v>-110371342</v>
      </c>
      <c r="M103">
        <v>4262</v>
      </c>
      <c r="N103">
        <f t="shared" si="19"/>
        <v>120955560</v>
      </c>
      <c r="O103">
        <f t="shared" si="20"/>
        <v>-69803036</v>
      </c>
      <c r="P103">
        <v>1048</v>
      </c>
      <c r="Q103">
        <f t="shared" si="21"/>
        <v>29742240</v>
      </c>
      <c r="R103">
        <f t="shared" si="22"/>
        <v>-17164144</v>
      </c>
    </row>
    <row r="104" spans="1:18">
      <c r="A104">
        <f t="shared" si="23"/>
        <v>101</v>
      </c>
      <c r="B104">
        <v>8818</v>
      </c>
      <c r="C104">
        <v>-31558</v>
      </c>
      <c r="D104" t="str">
        <f t="shared" si="12"/>
        <v>2272</v>
      </c>
      <c r="E104" t="str">
        <f t="shared" si="13"/>
        <v>FFFFFF84BA</v>
      </c>
      <c r="F104">
        <v>2205</v>
      </c>
      <c r="G104" t="str">
        <f t="shared" si="14"/>
        <v>89D</v>
      </c>
      <c r="H104">
        <f t="shared" si="15"/>
        <v>19443690</v>
      </c>
      <c r="I104">
        <f t="shared" si="16"/>
        <v>-69585390</v>
      </c>
      <c r="J104">
        <v>1590</v>
      </c>
      <c r="K104">
        <f t="shared" si="17"/>
        <v>14020620</v>
      </c>
      <c r="L104">
        <f t="shared" si="18"/>
        <v>-50177220</v>
      </c>
      <c r="M104">
        <v>-1849</v>
      </c>
      <c r="N104">
        <f t="shared" si="19"/>
        <v>-16304482</v>
      </c>
      <c r="O104">
        <f t="shared" si="20"/>
        <v>58350742</v>
      </c>
      <c r="P104">
        <v>-4963</v>
      </c>
      <c r="Q104">
        <f t="shared" si="21"/>
        <v>-43763734</v>
      </c>
      <c r="R104">
        <f t="shared" si="22"/>
        <v>156622354</v>
      </c>
    </row>
    <row r="105" spans="1:18">
      <c r="A105">
        <f t="shared" si="23"/>
        <v>102</v>
      </c>
      <c r="B105">
        <v>-15779</v>
      </c>
      <c r="C105">
        <v>-28717</v>
      </c>
      <c r="D105" t="str">
        <f t="shared" si="12"/>
        <v>FFFFFFC25D</v>
      </c>
      <c r="E105" t="str">
        <f t="shared" si="13"/>
        <v>FFFFFF8FD3</v>
      </c>
      <c r="F105">
        <v>-3945</v>
      </c>
      <c r="G105" t="str">
        <f t="shared" si="14"/>
        <v>FFFFFFF097</v>
      </c>
      <c r="H105">
        <f t="shared" si="15"/>
        <v>62248155</v>
      </c>
      <c r="I105">
        <f t="shared" si="16"/>
        <v>113288565</v>
      </c>
      <c r="J105">
        <v>-4458</v>
      </c>
      <c r="K105">
        <f t="shared" si="17"/>
        <v>70342782</v>
      </c>
      <c r="L105">
        <f t="shared" si="18"/>
        <v>128020386</v>
      </c>
      <c r="M105">
        <v>-6905</v>
      </c>
      <c r="N105">
        <f t="shared" si="19"/>
        <v>108953995</v>
      </c>
      <c r="O105">
        <f t="shared" si="20"/>
        <v>198290885</v>
      </c>
      <c r="P105">
        <v>-8111</v>
      </c>
      <c r="Q105">
        <f t="shared" si="21"/>
        <v>127983469</v>
      </c>
      <c r="R105">
        <f t="shared" si="22"/>
        <v>232923587</v>
      </c>
    </row>
    <row r="106" spans="1:18">
      <c r="A106">
        <f t="shared" si="23"/>
        <v>103</v>
      </c>
      <c r="B106">
        <v>-31366</v>
      </c>
      <c r="C106">
        <v>-9477</v>
      </c>
      <c r="D106" t="str">
        <f t="shared" si="12"/>
        <v>FFFFFF857A</v>
      </c>
      <c r="E106" t="str">
        <f t="shared" si="13"/>
        <v>FFFFFFDAFB</v>
      </c>
      <c r="F106">
        <v>-7842</v>
      </c>
      <c r="G106" t="str">
        <f t="shared" si="14"/>
        <v>FFFFFFE15E</v>
      </c>
      <c r="H106">
        <f t="shared" si="15"/>
        <v>245972172</v>
      </c>
      <c r="I106">
        <f t="shared" si="16"/>
        <v>74318634</v>
      </c>
      <c r="J106">
        <v>-7986</v>
      </c>
      <c r="K106">
        <f t="shared" si="17"/>
        <v>250488876</v>
      </c>
      <c r="L106">
        <f t="shared" si="18"/>
        <v>75683322</v>
      </c>
      <c r="M106">
        <v>-8017</v>
      </c>
      <c r="N106">
        <f t="shared" si="19"/>
        <v>251461222</v>
      </c>
      <c r="O106">
        <f t="shared" si="20"/>
        <v>75977109</v>
      </c>
      <c r="P106">
        <v>-6579</v>
      </c>
      <c r="Q106">
        <f t="shared" si="21"/>
        <v>206356914</v>
      </c>
      <c r="R106">
        <f t="shared" si="22"/>
        <v>62349183</v>
      </c>
    </row>
    <row r="107" spans="1:18">
      <c r="A107">
        <f t="shared" si="23"/>
        <v>104</v>
      </c>
      <c r="B107">
        <v>-29042</v>
      </c>
      <c r="C107">
        <v>15174</v>
      </c>
      <c r="D107" t="str">
        <f t="shared" si="12"/>
        <v>FFFFFF8E8E</v>
      </c>
      <c r="E107" t="str">
        <f t="shared" si="13"/>
        <v>3B46</v>
      </c>
      <c r="F107">
        <v>-7261</v>
      </c>
      <c r="G107" t="str">
        <f t="shared" si="14"/>
        <v>FFFFFFE3A3</v>
      </c>
      <c r="H107">
        <f t="shared" si="15"/>
        <v>210873962</v>
      </c>
      <c r="I107">
        <f t="shared" si="16"/>
        <v>-110178414</v>
      </c>
      <c r="J107">
        <v>-7001</v>
      </c>
      <c r="K107">
        <f t="shared" si="17"/>
        <v>203323042</v>
      </c>
      <c r="L107">
        <f t="shared" si="18"/>
        <v>-106233174</v>
      </c>
      <c r="M107">
        <v>-4551</v>
      </c>
      <c r="N107">
        <f t="shared" si="19"/>
        <v>132170142</v>
      </c>
      <c r="O107">
        <f t="shared" si="20"/>
        <v>-69056874</v>
      </c>
      <c r="P107">
        <v>-1252</v>
      </c>
      <c r="Q107">
        <f t="shared" si="21"/>
        <v>36360584</v>
      </c>
      <c r="R107">
        <f t="shared" si="22"/>
        <v>-18997848</v>
      </c>
    </row>
    <row r="108" spans="1:18">
      <c r="A108">
        <f t="shared" si="23"/>
        <v>105</v>
      </c>
      <c r="B108">
        <v>-10132</v>
      </c>
      <c r="C108">
        <v>31161</v>
      </c>
      <c r="D108" t="str">
        <f t="shared" si="12"/>
        <v>FFFFFFD86C</v>
      </c>
      <c r="E108" t="str">
        <f t="shared" si="13"/>
        <v>79B9</v>
      </c>
      <c r="F108">
        <v>-2533</v>
      </c>
      <c r="G108" t="str">
        <f t="shared" si="14"/>
        <v>FFFFFFF61B</v>
      </c>
      <c r="H108">
        <f t="shared" si="15"/>
        <v>25664356</v>
      </c>
      <c r="I108">
        <f t="shared" si="16"/>
        <v>-78930813</v>
      </c>
      <c r="J108">
        <v>-2058</v>
      </c>
      <c r="K108">
        <f t="shared" si="17"/>
        <v>20851656</v>
      </c>
      <c r="L108">
        <f t="shared" si="18"/>
        <v>-64129338</v>
      </c>
      <c r="M108">
        <v>1514</v>
      </c>
      <c r="N108">
        <f t="shared" si="19"/>
        <v>-15339848</v>
      </c>
      <c r="O108">
        <f t="shared" si="20"/>
        <v>47177754</v>
      </c>
      <c r="P108">
        <v>4798</v>
      </c>
      <c r="Q108">
        <f t="shared" si="21"/>
        <v>-48613336</v>
      </c>
      <c r="R108">
        <f t="shared" si="22"/>
        <v>149510478</v>
      </c>
    </row>
    <row r="109" spans="1:18">
      <c r="A109">
        <f t="shared" si="23"/>
        <v>106</v>
      </c>
      <c r="B109">
        <v>14563</v>
      </c>
      <c r="C109">
        <v>29353</v>
      </c>
      <c r="D109" t="str">
        <f t="shared" si="12"/>
        <v>38E3</v>
      </c>
      <c r="E109" t="str">
        <f t="shared" si="13"/>
        <v>72A9</v>
      </c>
      <c r="F109">
        <v>3641</v>
      </c>
      <c r="G109" t="str">
        <f t="shared" si="14"/>
        <v>E39</v>
      </c>
      <c r="H109">
        <f t="shared" si="15"/>
        <v>53023883</v>
      </c>
      <c r="I109">
        <f t="shared" si="16"/>
        <v>106874273</v>
      </c>
      <c r="J109">
        <v>4047</v>
      </c>
      <c r="K109">
        <f t="shared" si="17"/>
        <v>58936461</v>
      </c>
      <c r="L109">
        <f t="shared" si="18"/>
        <v>118791591</v>
      </c>
      <c r="M109">
        <v>6714</v>
      </c>
      <c r="N109">
        <f t="shared" si="19"/>
        <v>97775982</v>
      </c>
      <c r="O109">
        <f t="shared" si="20"/>
        <v>197076042</v>
      </c>
      <c r="P109">
        <v>8079</v>
      </c>
      <c r="Q109">
        <f t="shared" si="21"/>
        <v>117654477</v>
      </c>
      <c r="R109">
        <f t="shared" si="22"/>
        <v>237142887</v>
      </c>
    </row>
    <row r="110" spans="1:18">
      <c r="A110">
        <f t="shared" si="23"/>
        <v>107</v>
      </c>
      <c r="B110">
        <v>30942</v>
      </c>
      <c r="C110">
        <v>10783</v>
      </c>
      <c r="D110" t="str">
        <f t="shared" si="12"/>
        <v>78DE</v>
      </c>
      <c r="E110" t="str">
        <f t="shared" si="13"/>
        <v>2A1F</v>
      </c>
      <c r="F110">
        <v>7736</v>
      </c>
      <c r="G110" t="str">
        <f t="shared" si="14"/>
        <v>1E38</v>
      </c>
      <c r="H110">
        <f t="shared" si="15"/>
        <v>239367312</v>
      </c>
      <c r="I110">
        <f t="shared" si="16"/>
        <v>83417288</v>
      </c>
      <c r="J110">
        <v>7865</v>
      </c>
      <c r="K110">
        <f t="shared" si="17"/>
        <v>243358830</v>
      </c>
      <c r="L110">
        <f t="shared" si="18"/>
        <v>84808295</v>
      </c>
      <c r="M110">
        <v>8081</v>
      </c>
      <c r="N110">
        <f t="shared" si="19"/>
        <v>250042302</v>
      </c>
      <c r="O110">
        <f t="shared" si="20"/>
        <v>87137423</v>
      </c>
      <c r="P110">
        <v>6700</v>
      </c>
      <c r="Q110">
        <f t="shared" si="21"/>
        <v>207311400</v>
      </c>
      <c r="R110">
        <f t="shared" si="22"/>
        <v>72246100</v>
      </c>
    </row>
    <row r="111" spans="1:18">
      <c r="A111">
        <f t="shared" si="23"/>
        <v>108</v>
      </c>
      <c r="B111">
        <v>29652</v>
      </c>
      <c r="C111">
        <v>-13945</v>
      </c>
      <c r="D111" t="str">
        <f t="shared" si="12"/>
        <v>73D4</v>
      </c>
      <c r="E111" t="str">
        <f t="shared" si="13"/>
        <v>FFFFFFC987</v>
      </c>
      <c r="F111">
        <v>7413</v>
      </c>
      <c r="G111" t="str">
        <f t="shared" si="14"/>
        <v>1CF5</v>
      </c>
      <c r="H111">
        <f t="shared" si="15"/>
        <v>219810276</v>
      </c>
      <c r="I111">
        <f t="shared" si="16"/>
        <v>-103374285</v>
      </c>
      <c r="J111">
        <v>7238</v>
      </c>
      <c r="K111">
        <f t="shared" si="17"/>
        <v>214621176</v>
      </c>
      <c r="L111">
        <f t="shared" si="18"/>
        <v>-100933910</v>
      </c>
      <c r="M111">
        <v>4833</v>
      </c>
      <c r="N111">
        <f t="shared" si="19"/>
        <v>143308116</v>
      </c>
      <c r="O111">
        <f t="shared" si="20"/>
        <v>-67396185</v>
      </c>
      <c r="P111">
        <v>1455</v>
      </c>
      <c r="Q111">
        <f t="shared" si="21"/>
        <v>43143660</v>
      </c>
      <c r="R111">
        <f t="shared" si="22"/>
        <v>-20289975</v>
      </c>
    </row>
    <row r="112" spans="1:18">
      <c r="A112">
        <f t="shared" si="23"/>
        <v>109</v>
      </c>
      <c r="B112">
        <v>11429</v>
      </c>
      <c r="C112">
        <v>-30709</v>
      </c>
      <c r="D112" t="str">
        <f t="shared" si="12"/>
        <v>2CA5</v>
      </c>
      <c r="E112" t="str">
        <f t="shared" si="13"/>
        <v>FFFFFF880B</v>
      </c>
      <c r="F112">
        <v>2857</v>
      </c>
      <c r="G112" t="str">
        <f t="shared" si="14"/>
        <v>B29</v>
      </c>
      <c r="H112">
        <f t="shared" si="15"/>
        <v>32652653</v>
      </c>
      <c r="I112">
        <f t="shared" si="16"/>
        <v>-87735613</v>
      </c>
      <c r="J112">
        <v>2520</v>
      </c>
      <c r="K112">
        <f t="shared" si="17"/>
        <v>28801080</v>
      </c>
      <c r="L112">
        <f t="shared" si="18"/>
        <v>-77386680</v>
      </c>
      <c r="M112">
        <v>-1175</v>
      </c>
      <c r="N112">
        <f t="shared" si="19"/>
        <v>-13429075</v>
      </c>
      <c r="O112">
        <f t="shared" si="20"/>
        <v>36083075</v>
      </c>
      <c r="P112">
        <v>-4629</v>
      </c>
      <c r="Q112">
        <f t="shared" si="21"/>
        <v>-52904841</v>
      </c>
      <c r="R112">
        <f t="shared" si="22"/>
        <v>142151961</v>
      </c>
    </row>
    <row r="113" spans="1:18">
      <c r="A113">
        <f t="shared" si="23"/>
        <v>110</v>
      </c>
      <c r="B113">
        <v>-13321</v>
      </c>
      <c r="C113">
        <v>-29937</v>
      </c>
      <c r="D113" t="str">
        <f t="shared" si="12"/>
        <v>FFFFFFCBF7</v>
      </c>
      <c r="E113" t="str">
        <f t="shared" si="13"/>
        <v>FFFFFF8B0F</v>
      </c>
      <c r="F113">
        <v>-3330</v>
      </c>
      <c r="G113" t="str">
        <f t="shared" si="14"/>
        <v>FFFFFFF2FE</v>
      </c>
      <c r="H113">
        <f t="shared" si="15"/>
        <v>44358930</v>
      </c>
      <c r="I113">
        <f t="shared" si="16"/>
        <v>99690210</v>
      </c>
      <c r="J113">
        <v>-3623</v>
      </c>
      <c r="K113">
        <f t="shared" si="17"/>
        <v>48261983</v>
      </c>
      <c r="L113">
        <f t="shared" si="18"/>
        <v>108461751</v>
      </c>
      <c r="M113">
        <v>-6512</v>
      </c>
      <c r="N113">
        <f t="shared" si="19"/>
        <v>86746352</v>
      </c>
      <c r="O113">
        <f t="shared" si="20"/>
        <v>194949744</v>
      </c>
      <c r="P113">
        <v>-8043</v>
      </c>
      <c r="Q113">
        <f t="shared" si="21"/>
        <v>107140803</v>
      </c>
      <c r="R113">
        <f t="shared" si="22"/>
        <v>240783291</v>
      </c>
    </row>
    <row r="114" spans="1:18">
      <c r="A114">
        <f t="shared" si="23"/>
        <v>111</v>
      </c>
      <c r="B114">
        <v>-30463</v>
      </c>
      <c r="C114">
        <v>-12069</v>
      </c>
      <c r="D114" t="str">
        <f t="shared" si="12"/>
        <v>FFFFFF8901</v>
      </c>
      <c r="E114" t="str">
        <f t="shared" si="13"/>
        <v>FFFFFFD0DB</v>
      </c>
      <c r="F114">
        <v>-7616</v>
      </c>
      <c r="G114" t="str">
        <f t="shared" si="14"/>
        <v>FFFFFFE240</v>
      </c>
      <c r="H114">
        <f t="shared" si="15"/>
        <v>232006208</v>
      </c>
      <c r="I114">
        <f t="shared" si="16"/>
        <v>91917504</v>
      </c>
      <c r="J114">
        <v>-7718</v>
      </c>
      <c r="K114">
        <f t="shared" si="17"/>
        <v>235113434</v>
      </c>
      <c r="L114">
        <f t="shared" si="18"/>
        <v>93148542</v>
      </c>
      <c r="M114">
        <v>-8130</v>
      </c>
      <c r="N114">
        <f t="shared" si="19"/>
        <v>247664190</v>
      </c>
      <c r="O114">
        <f t="shared" si="20"/>
        <v>98120970</v>
      </c>
      <c r="P114">
        <v>-6816</v>
      </c>
      <c r="Q114">
        <f t="shared" si="21"/>
        <v>207635808</v>
      </c>
      <c r="R114">
        <f t="shared" si="22"/>
        <v>82262304</v>
      </c>
    </row>
    <row r="115" spans="1:18">
      <c r="A115">
        <f t="shared" si="23"/>
        <v>112</v>
      </c>
      <c r="B115">
        <v>-30210</v>
      </c>
      <c r="C115">
        <v>12691</v>
      </c>
      <c r="D115" t="str">
        <f t="shared" si="12"/>
        <v>FFFFFF89FE</v>
      </c>
      <c r="E115" t="str">
        <f t="shared" si="13"/>
        <v>3193</v>
      </c>
      <c r="F115">
        <v>-7553</v>
      </c>
      <c r="G115" t="str">
        <f t="shared" si="14"/>
        <v>FFFFFFE27F</v>
      </c>
      <c r="H115">
        <f t="shared" si="15"/>
        <v>228176130</v>
      </c>
      <c r="I115">
        <f t="shared" si="16"/>
        <v>-95855123</v>
      </c>
      <c r="J115">
        <v>-7450</v>
      </c>
      <c r="K115">
        <f t="shared" si="17"/>
        <v>225064500</v>
      </c>
      <c r="L115">
        <f t="shared" si="18"/>
        <v>-94547950</v>
      </c>
      <c r="M115">
        <v>-5105</v>
      </c>
      <c r="N115">
        <f t="shared" si="19"/>
        <v>154222050</v>
      </c>
      <c r="O115">
        <f t="shared" si="20"/>
        <v>-64787555</v>
      </c>
      <c r="P115">
        <v>-1657</v>
      </c>
      <c r="Q115">
        <f t="shared" si="21"/>
        <v>50057970</v>
      </c>
      <c r="R115">
        <f t="shared" si="22"/>
        <v>-21028987</v>
      </c>
    </row>
    <row r="116" spans="1:18">
      <c r="A116">
        <f t="shared" si="23"/>
        <v>113</v>
      </c>
      <c r="B116">
        <v>-12705</v>
      </c>
      <c r="C116">
        <v>30204</v>
      </c>
      <c r="D116" t="str">
        <f t="shared" si="12"/>
        <v>FFFFFFCE5F</v>
      </c>
      <c r="E116" t="str">
        <f t="shared" si="13"/>
        <v>75FC</v>
      </c>
      <c r="F116">
        <v>-3176</v>
      </c>
      <c r="G116" t="str">
        <f t="shared" si="14"/>
        <v>FFFFFFF398</v>
      </c>
      <c r="H116">
        <f t="shared" si="15"/>
        <v>40351080</v>
      </c>
      <c r="I116">
        <f t="shared" si="16"/>
        <v>-95927904</v>
      </c>
      <c r="J116">
        <v>-2972</v>
      </c>
      <c r="K116">
        <f t="shared" si="17"/>
        <v>37759260</v>
      </c>
      <c r="L116">
        <f t="shared" si="18"/>
        <v>-89766288</v>
      </c>
      <c r="M116">
        <v>835</v>
      </c>
      <c r="N116">
        <f t="shared" si="19"/>
        <v>-10608675</v>
      </c>
      <c r="O116">
        <f t="shared" si="20"/>
        <v>25220340</v>
      </c>
      <c r="P116">
        <v>4458</v>
      </c>
      <c r="Q116">
        <f t="shared" si="21"/>
        <v>-56638890</v>
      </c>
      <c r="R116">
        <f t="shared" si="22"/>
        <v>134649432</v>
      </c>
    </row>
    <row r="117" spans="1:18">
      <c r="A117">
        <f t="shared" si="23"/>
        <v>114</v>
      </c>
      <c r="B117">
        <v>12055</v>
      </c>
      <c r="C117">
        <v>30469</v>
      </c>
      <c r="D117" t="str">
        <f t="shared" si="12"/>
        <v>2F17</v>
      </c>
      <c r="E117" t="str">
        <f t="shared" si="13"/>
        <v>7705</v>
      </c>
      <c r="F117">
        <v>3014</v>
      </c>
      <c r="G117" t="str">
        <f t="shared" si="14"/>
        <v>BC6</v>
      </c>
      <c r="H117">
        <f t="shared" si="15"/>
        <v>36333770</v>
      </c>
      <c r="I117">
        <f t="shared" si="16"/>
        <v>91833566</v>
      </c>
      <c r="J117">
        <v>3186</v>
      </c>
      <c r="K117">
        <f t="shared" si="17"/>
        <v>38407230</v>
      </c>
      <c r="L117">
        <f t="shared" si="18"/>
        <v>97074234</v>
      </c>
      <c r="M117">
        <v>6298</v>
      </c>
      <c r="N117">
        <f t="shared" si="19"/>
        <v>75922390</v>
      </c>
      <c r="O117">
        <f t="shared" si="20"/>
        <v>191893762</v>
      </c>
      <c r="P117">
        <v>8001</v>
      </c>
      <c r="Q117">
        <f t="shared" si="21"/>
        <v>96452055</v>
      </c>
      <c r="R117">
        <f t="shared" si="22"/>
        <v>243782469</v>
      </c>
    </row>
    <row r="118" spans="1:18">
      <c r="A118">
        <f t="shared" si="23"/>
        <v>115</v>
      </c>
      <c r="B118">
        <v>29931</v>
      </c>
      <c r="C118">
        <v>13335</v>
      </c>
      <c r="D118" t="str">
        <f t="shared" si="12"/>
        <v>74EB</v>
      </c>
      <c r="E118" t="str">
        <f t="shared" si="13"/>
        <v>3417</v>
      </c>
      <c r="F118">
        <v>7483</v>
      </c>
      <c r="G118" t="str">
        <f t="shared" si="14"/>
        <v>1D3B</v>
      </c>
      <c r="H118">
        <f t="shared" si="15"/>
        <v>223973673</v>
      </c>
      <c r="I118">
        <f t="shared" si="16"/>
        <v>99785805</v>
      </c>
      <c r="J118">
        <v>7543</v>
      </c>
      <c r="K118">
        <f t="shared" si="17"/>
        <v>225769533</v>
      </c>
      <c r="L118">
        <f t="shared" si="18"/>
        <v>100585905</v>
      </c>
      <c r="M118">
        <v>8165</v>
      </c>
      <c r="N118">
        <f t="shared" si="19"/>
        <v>244386615</v>
      </c>
      <c r="O118">
        <f t="shared" si="20"/>
        <v>108880275</v>
      </c>
      <c r="P118">
        <v>6928</v>
      </c>
      <c r="Q118">
        <f t="shared" si="21"/>
        <v>207361968</v>
      </c>
      <c r="R118">
        <f t="shared" si="22"/>
        <v>92384880</v>
      </c>
    </row>
    <row r="119" spans="1:18">
      <c r="A119">
        <f t="shared" si="23"/>
        <v>116</v>
      </c>
      <c r="B119">
        <v>30715</v>
      </c>
      <c r="C119">
        <v>-11414</v>
      </c>
      <c r="D119" t="str">
        <f t="shared" si="12"/>
        <v>77FB</v>
      </c>
      <c r="E119" t="str">
        <f t="shared" si="13"/>
        <v>FFFFFFD36A</v>
      </c>
      <c r="F119">
        <v>7679</v>
      </c>
      <c r="G119" t="str">
        <f t="shared" si="14"/>
        <v>1DFF</v>
      </c>
      <c r="H119">
        <f t="shared" si="15"/>
        <v>235860485</v>
      </c>
      <c r="I119">
        <f t="shared" si="16"/>
        <v>-87648106</v>
      </c>
      <c r="J119">
        <v>7637</v>
      </c>
      <c r="K119">
        <f t="shared" si="17"/>
        <v>234570455</v>
      </c>
      <c r="L119">
        <f t="shared" si="18"/>
        <v>-87168718</v>
      </c>
      <c r="M119">
        <v>5369</v>
      </c>
      <c r="N119">
        <f t="shared" si="19"/>
        <v>164908835</v>
      </c>
      <c r="O119">
        <f t="shared" si="20"/>
        <v>-61281766</v>
      </c>
      <c r="P119">
        <v>1858</v>
      </c>
      <c r="Q119">
        <f t="shared" si="21"/>
        <v>57068470</v>
      </c>
      <c r="R119">
        <f t="shared" si="22"/>
        <v>-21207212</v>
      </c>
    </row>
    <row r="120" spans="1:18">
      <c r="A120">
        <f t="shared" si="23"/>
        <v>117</v>
      </c>
      <c r="B120">
        <v>13959</v>
      </c>
      <c r="C120">
        <v>-29645</v>
      </c>
      <c r="D120" t="str">
        <f t="shared" si="12"/>
        <v>3687</v>
      </c>
      <c r="E120" t="str">
        <f t="shared" si="13"/>
        <v>FFFFFF8C33</v>
      </c>
      <c r="F120">
        <v>3490</v>
      </c>
      <c r="G120" t="str">
        <f t="shared" si="14"/>
        <v>DA2</v>
      </c>
      <c r="H120">
        <f t="shared" si="15"/>
        <v>48716910</v>
      </c>
      <c r="I120">
        <f t="shared" si="16"/>
        <v>-103461050</v>
      </c>
      <c r="J120">
        <v>3414</v>
      </c>
      <c r="K120">
        <f t="shared" si="17"/>
        <v>47656026</v>
      </c>
      <c r="L120">
        <f t="shared" si="18"/>
        <v>-101208030</v>
      </c>
      <c r="M120">
        <v>-493</v>
      </c>
      <c r="N120">
        <f t="shared" si="19"/>
        <v>-6881787</v>
      </c>
      <c r="O120">
        <f t="shared" si="20"/>
        <v>14614985</v>
      </c>
      <c r="P120">
        <v>-4284</v>
      </c>
      <c r="Q120">
        <f t="shared" si="21"/>
        <v>-59800356</v>
      </c>
      <c r="R120">
        <f t="shared" si="22"/>
        <v>126999180</v>
      </c>
    </row>
    <row r="121" spans="1:18">
      <c r="A121">
        <f t="shared" si="23"/>
        <v>118</v>
      </c>
      <c r="B121">
        <v>-10768</v>
      </c>
      <c r="C121">
        <v>-30947</v>
      </c>
      <c r="D121" t="str">
        <f t="shared" si="12"/>
        <v>FFFFFFD5F0</v>
      </c>
      <c r="E121" t="str">
        <f t="shared" si="13"/>
        <v>FFFFFF871D</v>
      </c>
      <c r="F121">
        <v>-2692</v>
      </c>
      <c r="G121" t="str">
        <f t="shared" si="14"/>
        <v>FFFFFFF57C</v>
      </c>
      <c r="H121">
        <f t="shared" si="15"/>
        <v>28987456</v>
      </c>
      <c r="I121">
        <f t="shared" si="16"/>
        <v>83309324</v>
      </c>
      <c r="J121">
        <v>-2738</v>
      </c>
      <c r="K121">
        <f t="shared" si="17"/>
        <v>29482784</v>
      </c>
      <c r="L121">
        <f t="shared" si="18"/>
        <v>84732886</v>
      </c>
      <c r="M121">
        <v>-6073</v>
      </c>
      <c r="N121">
        <f t="shared" si="19"/>
        <v>65394064</v>
      </c>
      <c r="O121">
        <f t="shared" si="20"/>
        <v>187941131</v>
      </c>
      <c r="P121">
        <v>-7954</v>
      </c>
      <c r="Q121">
        <f t="shared" si="21"/>
        <v>85648672</v>
      </c>
      <c r="R121">
        <f t="shared" si="22"/>
        <v>246152438</v>
      </c>
    </row>
    <row r="122" spans="1:18">
      <c r="A122">
        <f t="shared" si="23"/>
        <v>119</v>
      </c>
      <c r="B122">
        <v>-29346</v>
      </c>
      <c r="C122">
        <v>-14577</v>
      </c>
      <c r="D122" t="str">
        <f t="shared" si="12"/>
        <v>FFFFFF8D5E</v>
      </c>
      <c r="E122" t="str">
        <f t="shared" si="13"/>
        <v>FFFFFFC70F</v>
      </c>
      <c r="F122">
        <v>-7337</v>
      </c>
      <c r="G122" t="str">
        <f t="shared" si="14"/>
        <v>FFFFFFE357</v>
      </c>
      <c r="H122">
        <f t="shared" si="15"/>
        <v>215311602</v>
      </c>
      <c r="I122">
        <f t="shared" si="16"/>
        <v>106951449</v>
      </c>
      <c r="J122">
        <v>-7343</v>
      </c>
      <c r="K122">
        <f t="shared" si="17"/>
        <v>215487678</v>
      </c>
      <c r="L122">
        <f t="shared" si="18"/>
        <v>107038911</v>
      </c>
      <c r="M122">
        <v>-8186</v>
      </c>
      <c r="N122">
        <f t="shared" si="19"/>
        <v>240226356</v>
      </c>
      <c r="O122">
        <f t="shared" si="20"/>
        <v>119327322</v>
      </c>
      <c r="P122">
        <v>-7036</v>
      </c>
      <c r="Q122">
        <f t="shared" si="21"/>
        <v>206478456</v>
      </c>
      <c r="R122">
        <f t="shared" si="22"/>
        <v>102563772</v>
      </c>
    </row>
    <row r="123" spans="1:18">
      <c r="A123">
        <f t="shared" si="23"/>
        <v>120</v>
      </c>
      <c r="B123">
        <v>-31166</v>
      </c>
      <c r="C123">
        <v>10118</v>
      </c>
      <c r="D123" t="str">
        <f t="shared" si="12"/>
        <v>FFFFFF8642</v>
      </c>
      <c r="E123" t="str">
        <f t="shared" si="13"/>
        <v>2786</v>
      </c>
      <c r="F123">
        <v>-7792</v>
      </c>
      <c r="G123" t="str">
        <f t="shared" si="14"/>
        <v>FFFFFFE190</v>
      </c>
      <c r="H123">
        <f t="shared" si="15"/>
        <v>242845472</v>
      </c>
      <c r="I123">
        <f t="shared" si="16"/>
        <v>-78839456</v>
      </c>
      <c r="J123">
        <v>-7798</v>
      </c>
      <c r="K123">
        <f t="shared" si="17"/>
        <v>243032468</v>
      </c>
      <c r="L123">
        <f t="shared" si="18"/>
        <v>-78900164</v>
      </c>
      <c r="M123">
        <v>-5624</v>
      </c>
      <c r="N123">
        <f t="shared" si="19"/>
        <v>175277584</v>
      </c>
      <c r="O123">
        <f t="shared" si="20"/>
        <v>-56903632</v>
      </c>
      <c r="P123">
        <v>-2058</v>
      </c>
      <c r="Q123">
        <f t="shared" si="21"/>
        <v>64139628</v>
      </c>
      <c r="R123">
        <f t="shared" si="22"/>
        <v>-20822844</v>
      </c>
    </row>
    <row r="124" spans="1:18">
      <c r="A124">
        <f t="shared" si="23"/>
        <v>121</v>
      </c>
      <c r="B124">
        <v>-15188</v>
      </c>
      <c r="C124">
        <v>29034</v>
      </c>
      <c r="D124" t="str">
        <f t="shared" si="12"/>
        <v>FFFFFFC4AC</v>
      </c>
      <c r="E124" t="str">
        <f t="shared" si="13"/>
        <v>716A</v>
      </c>
      <c r="F124">
        <v>-3797</v>
      </c>
      <c r="G124" t="str">
        <f t="shared" si="14"/>
        <v>FFFFFFF12B</v>
      </c>
      <c r="H124">
        <f t="shared" si="15"/>
        <v>57668836</v>
      </c>
      <c r="I124">
        <f t="shared" si="16"/>
        <v>-110242098</v>
      </c>
      <c r="J124">
        <v>-3845</v>
      </c>
      <c r="K124">
        <f t="shared" si="17"/>
        <v>58397860</v>
      </c>
      <c r="L124">
        <f t="shared" si="18"/>
        <v>-111635730</v>
      </c>
      <c r="M124">
        <v>150</v>
      </c>
      <c r="N124">
        <f t="shared" si="19"/>
        <v>-2278200</v>
      </c>
      <c r="O124">
        <f t="shared" si="20"/>
        <v>4355100</v>
      </c>
      <c r="P124">
        <v>4107</v>
      </c>
      <c r="Q124">
        <f t="shared" si="21"/>
        <v>-62377116</v>
      </c>
      <c r="R124">
        <f t="shared" si="22"/>
        <v>119242638</v>
      </c>
    </row>
    <row r="125" spans="1:18">
      <c r="A125">
        <f t="shared" si="23"/>
        <v>122</v>
      </c>
      <c r="B125">
        <v>9463</v>
      </c>
      <c r="C125">
        <v>31371</v>
      </c>
      <c r="D125" t="str">
        <f t="shared" si="12"/>
        <v>24F7</v>
      </c>
      <c r="E125" t="str">
        <f t="shared" si="13"/>
        <v>7A8B</v>
      </c>
      <c r="F125">
        <v>2366</v>
      </c>
      <c r="G125" t="str">
        <f t="shared" si="14"/>
        <v>93E</v>
      </c>
      <c r="H125">
        <f t="shared" si="15"/>
        <v>22389458</v>
      </c>
      <c r="I125">
        <f t="shared" si="16"/>
        <v>74223786</v>
      </c>
      <c r="J125">
        <v>2281</v>
      </c>
      <c r="K125">
        <f t="shared" si="17"/>
        <v>21585103</v>
      </c>
      <c r="L125">
        <f t="shared" si="18"/>
        <v>71557251</v>
      </c>
      <c r="M125">
        <v>5838</v>
      </c>
      <c r="N125">
        <f t="shared" si="19"/>
        <v>55244994</v>
      </c>
      <c r="O125">
        <f t="shared" si="20"/>
        <v>183143898</v>
      </c>
      <c r="P125">
        <v>7903</v>
      </c>
      <c r="Q125">
        <f t="shared" si="21"/>
        <v>74786089</v>
      </c>
      <c r="R125">
        <f t="shared" si="22"/>
        <v>247925013</v>
      </c>
    </row>
    <row r="126" spans="1:18">
      <c r="A126">
        <f t="shared" si="23"/>
        <v>123</v>
      </c>
      <c r="B126">
        <v>28710</v>
      </c>
      <c r="C126">
        <v>15793</v>
      </c>
      <c r="D126" t="str">
        <f t="shared" si="12"/>
        <v>7026</v>
      </c>
      <c r="E126" t="str">
        <f t="shared" si="13"/>
        <v>3DB1</v>
      </c>
      <c r="F126">
        <v>7178</v>
      </c>
      <c r="G126" t="str">
        <f t="shared" si="14"/>
        <v>1C0A</v>
      </c>
      <c r="H126">
        <f t="shared" si="15"/>
        <v>206080380</v>
      </c>
      <c r="I126">
        <f t="shared" si="16"/>
        <v>113362154</v>
      </c>
      <c r="J126">
        <v>7118</v>
      </c>
      <c r="K126">
        <f t="shared" si="17"/>
        <v>204357780</v>
      </c>
      <c r="L126">
        <f t="shared" si="18"/>
        <v>112414574</v>
      </c>
      <c r="M126">
        <v>8192</v>
      </c>
      <c r="N126">
        <f t="shared" si="19"/>
        <v>235192320</v>
      </c>
      <c r="O126">
        <f t="shared" si="20"/>
        <v>129376256</v>
      </c>
      <c r="P126">
        <v>7139</v>
      </c>
      <c r="Q126">
        <f t="shared" si="21"/>
        <v>204960690</v>
      </c>
      <c r="R126">
        <f t="shared" si="22"/>
        <v>112746227</v>
      </c>
    </row>
    <row r="127" spans="1:18">
      <c r="A127">
        <f t="shared" si="23"/>
        <v>124</v>
      </c>
      <c r="B127">
        <v>31562</v>
      </c>
      <c r="C127">
        <v>-8803</v>
      </c>
      <c r="D127" t="str">
        <f t="shared" si="12"/>
        <v>7B4A</v>
      </c>
      <c r="E127" t="str">
        <f t="shared" si="13"/>
        <v>FFFFFFDD9D</v>
      </c>
      <c r="F127">
        <v>7891</v>
      </c>
      <c r="G127" t="str">
        <f t="shared" si="14"/>
        <v>1ED3</v>
      </c>
      <c r="H127">
        <f t="shared" si="15"/>
        <v>249055742</v>
      </c>
      <c r="I127">
        <f t="shared" si="16"/>
        <v>-69464473</v>
      </c>
      <c r="J127">
        <v>7931</v>
      </c>
      <c r="K127">
        <f t="shared" si="17"/>
        <v>250318222</v>
      </c>
      <c r="L127">
        <f t="shared" si="18"/>
        <v>-69816593</v>
      </c>
      <c r="M127">
        <v>5868</v>
      </c>
      <c r="N127">
        <f t="shared" si="19"/>
        <v>185205816</v>
      </c>
      <c r="O127">
        <f t="shared" si="20"/>
        <v>-51656004</v>
      </c>
      <c r="P127">
        <v>2257</v>
      </c>
      <c r="Q127">
        <f t="shared" si="21"/>
        <v>71235434</v>
      </c>
      <c r="R127">
        <f t="shared" si="22"/>
        <v>-19868371</v>
      </c>
    </row>
    <row r="128" spans="1:18">
      <c r="A128">
        <f t="shared" si="23"/>
        <v>125</v>
      </c>
      <c r="B128">
        <v>16391</v>
      </c>
      <c r="C128">
        <v>-28373</v>
      </c>
      <c r="D128" t="str">
        <f t="shared" si="12"/>
        <v>4007</v>
      </c>
      <c r="E128" t="str">
        <f t="shared" si="13"/>
        <v>FFFFFF912B</v>
      </c>
      <c r="F128">
        <v>4098</v>
      </c>
      <c r="G128" t="str">
        <f t="shared" si="14"/>
        <v>1002</v>
      </c>
      <c r="H128">
        <f t="shared" si="15"/>
        <v>67170318</v>
      </c>
      <c r="I128">
        <f t="shared" si="16"/>
        <v>-116272554</v>
      </c>
      <c r="J128">
        <v>4262</v>
      </c>
      <c r="K128">
        <f t="shared" si="17"/>
        <v>69858442</v>
      </c>
      <c r="L128">
        <f t="shared" si="18"/>
        <v>-120925726</v>
      </c>
      <c r="M128">
        <v>193</v>
      </c>
      <c r="N128">
        <f t="shared" si="19"/>
        <v>3163463</v>
      </c>
      <c r="O128">
        <f t="shared" si="20"/>
        <v>-5475989</v>
      </c>
      <c r="P128">
        <v>-3927</v>
      </c>
      <c r="Q128">
        <f t="shared" si="21"/>
        <v>-64367457</v>
      </c>
      <c r="R128">
        <f t="shared" si="22"/>
        <v>111420771</v>
      </c>
    </row>
    <row r="129" spans="1:18">
      <c r="A129">
        <f t="shared" si="23"/>
        <v>126</v>
      </c>
      <c r="B129">
        <v>-8140</v>
      </c>
      <c r="C129">
        <v>-31740</v>
      </c>
      <c r="D129" t="str">
        <f t="shared" si="12"/>
        <v>FFFFFFE034</v>
      </c>
      <c r="E129" t="str">
        <f t="shared" si="13"/>
        <v>FFFFFF8404</v>
      </c>
      <c r="F129">
        <v>-2035</v>
      </c>
      <c r="G129" t="str">
        <f t="shared" si="14"/>
        <v>FFFFFFF80D</v>
      </c>
      <c r="H129">
        <f t="shared" si="15"/>
        <v>16564900</v>
      </c>
      <c r="I129">
        <f t="shared" si="16"/>
        <v>64590900</v>
      </c>
      <c r="J129">
        <v>-1816</v>
      </c>
      <c r="K129">
        <f t="shared" si="17"/>
        <v>14782240</v>
      </c>
      <c r="L129">
        <f t="shared" si="18"/>
        <v>57639840</v>
      </c>
      <c r="M129">
        <v>-5592</v>
      </c>
      <c r="N129">
        <f t="shared" si="19"/>
        <v>45518880</v>
      </c>
      <c r="O129">
        <f t="shared" si="20"/>
        <v>177490080</v>
      </c>
      <c r="P129">
        <v>-7846</v>
      </c>
      <c r="Q129">
        <f t="shared" si="21"/>
        <v>63866440</v>
      </c>
      <c r="R129">
        <f t="shared" si="22"/>
        <v>249032040</v>
      </c>
    </row>
    <row r="130" spans="1:18">
      <c r="A130">
        <f t="shared" si="23"/>
        <v>127</v>
      </c>
      <c r="B130">
        <v>-28023</v>
      </c>
      <c r="C130">
        <v>-16982</v>
      </c>
      <c r="D130" t="str">
        <f t="shared" si="12"/>
        <v>FFFFFF9289</v>
      </c>
      <c r="E130" t="str">
        <f t="shared" si="13"/>
        <v>FFFFFFBDAA</v>
      </c>
      <c r="F130">
        <v>-7006</v>
      </c>
      <c r="G130" t="str">
        <f t="shared" si="14"/>
        <v>FFFFFFE4A2</v>
      </c>
      <c r="H130">
        <f t="shared" si="15"/>
        <v>196329138</v>
      </c>
      <c r="I130">
        <f t="shared" si="16"/>
        <v>118975892</v>
      </c>
      <c r="J130">
        <v>-6868</v>
      </c>
      <c r="K130">
        <f t="shared" si="17"/>
        <v>192461964</v>
      </c>
      <c r="L130">
        <f t="shared" si="18"/>
        <v>116632376</v>
      </c>
      <c r="M130">
        <v>-8184</v>
      </c>
      <c r="N130">
        <f t="shared" si="19"/>
        <v>229340232</v>
      </c>
      <c r="O130">
        <f t="shared" si="20"/>
        <v>138980688</v>
      </c>
      <c r="P130">
        <v>-7238</v>
      </c>
      <c r="Q130">
        <f t="shared" si="21"/>
        <v>202830474</v>
      </c>
      <c r="R130">
        <f t="shared" si="22"/>
        <v>122915716</v>
      </c>
    </row>
    <row r="131" spans="1:18">
      <c r="A131">
        <f t="shared" si="23"/>
        <v>128</v>
      </c>
      <c r="B131">
        <v>-31903</v>
      </c>
      <c r="C131">
        <v>7474</v>
      </c>
      <c r="D131" t="str">
        <f t="shared" ref="D131:D194" si="24">DEC2HEX(B131)</f>
        <v>FFFFFF8361</v>
      </c>
      <c r="E131" t="str">
        <f t="shared" ref="E131:E194" si="25">DEC2HEX(C131)</f>
        <v>1D32</v>
      </c>
      <c r="F131">
        <v>-7976</v>
      </c>
      <c r="G131" t="str">
        <f t="shared" ref="G131:G194" si="26">DEC2HEX(F131)</f>
        <v>FFFFFFE0D8</v>
      </c>
      <c r="H131">
        <f t="shared" ref="H131:H194" si="27">F131*B131</f>
        <v>254458328</v>
      </c>
      <c r="I131">
        <f t="shared" ref="I131:I194" si="28">F131*C131</f>
        <v>-59612624</v>
      </c>
      <c r="J131">
        <v>-8038</v>
      </c>
      <c r="K131">
        <f t="shared" ref="K131:K194" si="29">J131*B131</f>
        <v>256436314</v>
      </c>
      <c r="L131">
        <f t="shared" ref="L131:L194" si="30">J131*C131</f>
        <v>-60076012</v>
      </c>
      <c r="M131">
        <v>-6102</v>
      </c>
      <c r="N131">
        <f t="shared" ref="N131:N194" si="31">M131*B131</f>
        <v>194672106</v>
      </c>
      <c r="O131">
        <f t="shared" ref="O131:O194" si="32">M131*C131</f>
        <v>-45606348</v>
      </c>
      <c r="P131">
        <v>-2454</v>
      </c>
      <c r="Q131">
        <f t="shared" ref="Q131:Q194" si="33">P131*B131</f>
        <v>78289962</v>
      </c>
      <c r="R131">
        <f t="shared" ref="R131:R194" si="34">P131*C131</f>
        <v>-18341196</v>
      </c>
    </row>
    <row r="132" spans="1:18">
      <c r="A132">
        <f t="shared" si="23"/>
        <v>129</v>
      </c>
      <c r="B132">
        <v>-17565</v>
      </c>
      <c r="C132">
        <v>27661</v>
      </c>
      <c r="D132" t="str">
        <f t="shared" si="24"/>
        <v>FFFFFFBB63</v>
      </c>
      <c r="E132" t="str">
        <f t="shared" si="25"/>
        <v>6C0D</v>
      </c>
      <c r="F132">
        <v>-4391</v>
      </c>
      <c r="G132" t="str">
        <f t="shared" si="26"/>
        <v>FFFFFFEED9</v>
      </c>
      <c r="H132">
        <f t="shared" si="27"/>
        <v>77127915</v>
      </c>
      <c r="I132">
        <f t="shared" si="28"/>
        <v>-121459451</v>
      </c>
      <c r="J132">
        <v>-4665</v>
      </c>
      <c r="K132">
        <f t="shared" si="29"/>
        <v>81940725</v>
      </c>
      <c r="L132">
        <f t="shared" si="30"/>
        <v>-129038565</v>
      </c>
      <c r="M132">
        <v>-536</v>
      </c>
      <c r="N132">
        <f t="shared" si="31"/>
        <v>9414840</v>
      </c>
      <c r="O132">
        <f t="shared" si="32"/>
        <v>-14826296</v>
      </c>
      <c r="P132">
        <v>3746</v>
      </c>
      <c r="Q132">
        <f t="shared" si="33"/>
        <v>-65798490</v>
      </c>
      <c r="R132">
        <f t="shared" si="34"/>
        <v>103618106</v>
      </c>
    </row>
    <row r="133" spans="1:18">
      <c r="A133">
        <f t="shared" ref="A133:A196" si="35">A132+1</f>
        <v>130</v>
      </c>
      <c r="B133">
        <v>6804</v>
      </c>
      <c r="C133">
        <v>32053</v>
      </c>
      <c r="D133" t="str">
        <f t="shared" si="24"/>
        <v>1A94</v>
      </c>
      <c r="E133" t="str">
        <f t="shared" si="25"/>
        <v>7D35</v>
      </c>
      <c r="F133">
        <v>1701</v>
      </c>
      <c r="G133" t="str">
        <f t="shared" si="26"/>
        <v>6A5</v>
      </c>
      <c r="H133">
        <f t="shared" si="27"/>
        <v>11573604</v>
      </c>
      <c r="I133">
        <f t="shared" si="28"/>
        <v>54522153</v>
      </c>
      <c r="J133">
        <v>1345</v>
      </c>
      <c r="K133">
        <f t="shared" si="29"/>
        <v>9151380</v>
      </c>
      <c r="L133">
        <f t="shared" si="30"/>
        <v>43111285</v>
      </c>
      <c r="M133">
        <v>5336</v>
      </c>
      <c r="N133">
        <f t="shared" si="31"/>
        <v>36306144</v>
      </c>
      <c r="O133">
        <f t="shared" si="32"/>
        <v>171034808</v>
      </c>
      <c r="P133">
        <v>7784</v>
      </c>
      <c r="Q133">
        <f t="shared" si="33"/>
        <v>52962336</v>
      </c>
      <c r="R133">
        <f t="shared" si="34"/>
        <v>249500552</v>
      </c>
    </row>
    <row r="134" spans="1:18">
      <c r="A134">
        <f t="shared" si="35"/>
        <v>131</v>
      </c>
      <c r="B134">
        <v>27287</v>
      </c>
      <c r="C134">
        <v>18140</v>
      </c>
      <c r="D134" t="str">
        <f t="shared" si="24"/>
        <v>6A97</v>
      </c>
      <c r="E134" t="str">
        <f t="shared" si="25"/>
        <v>46DC</v>
      </c>
      <c r="F134">
        <v>6822</v>
      </c>
      <c r="G134" t="str">
        <f t="shared" si="26"/>
        <v>1AA6</v>
      </c>
      <c r="H134">
        <f t="shared" si="27"/>
        <v>186151914</v>
      </c>
      <c r="I134">
        <f t="shared" si="28"/>
        <v>123751080</v>
      </c>
      <c r="J134">
        <v>6594</v>
      </c>
      <c r="K134">
        <f t="shared" si="29"/>
        <v>179930478</v>
      </c>
      <c r="L134">
        <f t="shared" si="30"/>
        <v>119615160</v>
      </c>
      <c r="M134">
        <v>8161</v>
      </c>
      <c r="N134">
        <f t="shared" si="31"/>
        <v>222689207</v>
      </c>
      <c r="O134">
        <f t="shared" si="32"/>
        <v>148040540</v>
      </c>
      <c r="P134">
        <v>7332</v>
      </c>
      <c r="Q134">
        <f t="shared" si="33"/>
        <v>200068284</v>
      </c>
      <c r="R134">
        <f t="shared" si="34"/>
        <v>133002480</v>
      </c>
    </row>
    <row r="135" spans="1:18">
      <c r="A135">
        <f t="shared" si="35"/>
        <v>132</v>
      </c>
      <c r="B135">
        <v>32188</v>
      </c>
      <c r="C135">
        <v>-6131</v>
      </c>
      <c r="D135" t="str">
        <f t="shared" si="24"/>
        <v>7DBC</v>
      </c>
      <c r="E135" t="str">
        <f t="shared" si="25"/>
        <v>FFFFFFE80D</v>
      </c>
      <c r="F135">
        <v>8047</v>
      </c>
      <c r="G135" t="str">
        <f t="shared" si="26"/>
        <v>1F6F</v>
      </c>
      <c r="H135">
        <f t="shared" si="27"/>
        <v>259016836</v>
      </c>
      <c r="I135">
        <f t="shared" si="28"/>
        <v>-49336157</v>
      </c>
      <c r="J135">
        <v>8117</v>
      </c>
      <c r="K135">
        <f t="shared" si="29"/>
        <v>261269996</v>
      </c>
      <c r="L135">
        <f t="shared" si="30"/>
        <v>-49765327</v>
      </c>
      <c r="M135">
        <v>6326</v>
      </c>
      <c r="N135">
        <f t="shared" si="31"/>
        <v>203621288</v>
      </c>
      <c r="O135">
        <f t="shared" si="32"/>
        <v>-38784706</v>
      </c>
      <c r="P135">
        <v>2650</v>
      </c>
      <c r="Q135">
        <f t="shared" si="33"/>
        <v>85298200</v>
      </c>
      <c r="R135">
        <f t="shared" si="34"/>
        <v>-16247150</v>
      </c>
    </row>
    <row r="136" spans="1:18">
      <c r="A136">
        <f t="shared" si="35"/>
        <v>133</v>
      </c>
      <c r="B136">
        <v>18708</v>
      </c>
      <c r="C136">
        <v>-26901</v>
      </c>
      <c r="D136" t="str">
        <f t="shared" si="24"/>
        <v>4914</v>
      </c>
      <c r="E136" t="str">
        <f t="shared" si="25"/>
        <v>FFFFFF96EB</v>
      </c>
      <c r="F136">
        <v>4677</v>
      </c>
      <c r="G136" t="str">
        <f t="shared" si="26"/>
        <v>1245</v>
      </c>
      <c r="H136">
        <f t="shared" si="27"/>
        <v>87497316</v>
      </c>
      <c r="I136">
        <f t="shared" si="28"/>
        <v>-125815977</v>
      </c>
      <c r="J136">
        <v>5052</v>
      </c>
      <c r="K136">
        <f t="shared" si="29"/>
        <v>94512816</v>
      </c>
      <c r="L136">
        <f t="shared" si="30"/>
        <v>-135903852</v>
      </c>
      <c r="M136">
        <v>878</v>
      </c>
      <c r="N136">
        <f t="shared" si="31"/>
        <v>16425624</v>
      </c>
      <c r="O136">
        <f t="shared" si="32"/>
        <v>-23619078</v>
      </c>
      <c r="P136">
        <v>-3561</v>
      </c>
      <c r="Q136">
        <f t="shared" si="33"/>
        <v>-66619188</v>
      </c>
      <c r="R136">
        <f t="shared" si="34"/>
        <v>95794461</v>
      </c>
    </row>
    <row r="137" spans="1:18">
      <c r="A137">
        <f t="shared" si="35"/>
        <v>134</v>
      </c>
      <c r="B137">
        <v>-5455</v>
      </c>
      <c r="C137">
        <v>-32310</v>
      </c>
      <c r="D137" t="str">
        <f t="shared" si="24"/>
        <v>FFFFFFEAB1</v>
      </c>
      <c r="E137" t="str">
        <f t="shared" si="25"/>
        <v>FFFFFF81CA</v>
      </c>
      <c r="F137">
        <v>-1364</v>
      </c>
      <c r="G137" t="str">
        <f t="shared" si="26"/>
        <v>FFFFFFFAAC</v>
      </c>
      <c r="H137">
        <f t="shared" si="27"/>
        <v>7440620</v>
      </c>
      <c r="I137">
        <f t="shared" si="28"/>
        <v>44070840</v>
      </c>
      <c r="J137">
        <v>-869</v>
      </c>
      <c r="K137">
        <f t="shared" si="29"/>
        <v>4740395</v>
      </c>
      <c r="L137">
        <f t="shared" si="30"/>
        <v>28077390</v>
      </c>
      <c r="M137">
        <v>-5071</v>
      </c>
      <c r="N137">
        <f t="shared" si="31"/>
        <v>27662305</v>
      </c>
      <c r="O137">
        <f t="shared" si="32"/>
        <v>163844010</v>
      </c>
      <c r="P137">
        <v>-7718</v>
      </c>
      <c r="Q137">
        <f t="shared" si="33"/>
        <v>42101690</v>
      </c>
      <c r="R137">
        <f t="shared" si="34"/>
        <v>249368580</v>
      </c>
    </row>
    <row r="138" spans="1:18">
      <c r="A138">
        <f t="shared" si="35"/>
        <v>135</v>
      </c>
      <c r="B138">
        <v>-26504</v>
      </c>
      <c r="C138">
        <v>-19267</v>
      </c>
      <c r="D138" t="str">
        <f t="shared" si="24"/>
        <v>FFFFFF9878</v>
      </c>
      <c r="E138" t="str">
        <f t="shared" si="25"/>
        <v>FFFFFFB4BD</v>
      </c>
      <c r="F138">
        <v>-6626</v>
      </c>
      <c r="G138" t="str">
        <f t="shared" si="26"/>
        <v>FFFFFFE61E</v>
      </c>
      <c r="H138">
        <f t="shared" si="27"/>
        <v>175615504</v>
      </c>
      <c r="I138">
        <f t="shared" si="28"/>
        <v>127663142</v>
      </c>
      <c r="J138">
        <v>-6298</v>
      </c>
      <c r="K138">
        <f t="shared" si="29"/>
        <v>166922192</v>
      </c>
      <c r="L138">
        <f t="shared" si="30"/>
        <v>121343566</v>
      </c>
      <c r="M138">
        <v>-8125</v>
      </c>
      <c r="N138">
        <f t="shared" si="31"/>
        <v>215345000</v>
      </c>
      <c r="O138">
        <f t="shared" si="32"/>
        <v>156544375</v>
      </c>
      <c r="P138">
        <v>-7422</v>
      </c>
      <c r="Q138">
        <f t="shared" si="33"/>
        <v>196712688</v>
      </c>
      <c r="R138">
        <f t="shared" si="34"/>
        <v>142999674</v>
      </c>
    </row>
    <row r="139" spans="1:18">
      <c r="A139">
        <f t="shared" si="35"/>
        <v>136</v>
      </c>
      <c r="B139">
        <v>-32417</v>
      </c>
      <c r="C139">
        <v>4777</v>
      </c>
      <c r="D139" t="str">
        <f t="shared" si="24"/>
        <v>FFFFFF815F</v>
      </c>
      <c r="E139" t="str">
        <f t="shared" si="25"/>
        <v>12A9</v>
      </c>
      <c r="F139">
        <v>-8104</v>
      </c>
      <c r="G139" t="str">
        <f t="shared" si="26"/>
        <v>FFFFFFE058</v>
      </c>
      <c r="H139">
        <f t="shared" si="27"/>
        <v>262707368</v>
      </c>
      <c r="I139">
        <f t="shared" si="28"/>
        <v>-38712808</v>
      </c>
      <c r="J139">
        <v>-8168</v>
      </c>
      <c r="K139">
        <f t="shared" si="29"/>
        <v>264782056</v>
      </c>
      <c r="L139">
        <f t="shared" si="30"/>
        <v>-39018536</v>
      </c>
      <c r="M139">
        <v>-6538</v>
      </c>
      <c r="N139">
        <f t="shared" si="31"/>
        <v>211942346</v>
      </c>
      <c r="O139">
        <f t="shared" si="32"/>
        <v>-31232026</v>
      </c>
      <c r="P139">
        <v>-2844</v>
      </c>
      <c r="Q139">
        <f t="shared" si="33"/>
        <v>92193948</v>
      </c>
      <c r="R139">
        <f t="shared" si="34"/>
        <v>-13585788</v>
      </c>
    </row>
    <row r="140" spans="1:18">
      <c r="A140">
        <f t="shared" si="35"/>
        <v>137</v>
      </c>
      <c r="B140">
        <v>-19818</v>
      </c>
      <c r="C140">
        <v>26094</v>
      </c>
      <c r="D140" t="str">
        <f t="shared" si="24"/>
        <v>FFFFFFB296</v>
      </c>
      <c r="E140" t="str">
        <f t="shared" si="25"/>
        <v>65EE</v>
      </c>
      <c r="F140">
        <v>-4955</v>
      </c>
      <c r="G140" t="str">
        <f t="shared" si="26"/>
        <v>FFFFFFECA5</v>
      </c>
      <c r="H140">
        <f t="shared" si="27"/>
        <v>98198190</v>
      </c>
      <c r="I140">
        <f t="shared" si="28"/>
        <v>-129295770</v>
      </c>
      <c r="J140">
        <v>-5421</v>
      </c>
      <c r="K140">
        <f t="shared" si="29"/>
        <v>107433378</v>
      </c>
      <c r="L140">
        <f t="shared" si="30"/>
        <v>-141455574</v>
      </c>
      <c r="M140">
        <v>-1218</v>
      </c>
      <c r="N140">
        <f t="shared" si="31"/>
        <v>24138324</v>
      </c>
      <c r="O140">
        <f t="shared" si="32"/>
        <v>-31782492</v>
      </c>
      <c r="P140">
        <v>3375</v>
      </c>
      <c r="Q140">
        <f t="shared" si="33"/>
        <v>-66885750</v>
      </c>
      <c r="R140">
        <f t="shared" si="34"/>
        <v>88067250</v>
      </c>
    </row>
    <row r="141" spans="1:18">
      <c r="A141">
        <f t="shared" si="35"/>
        <v>138</v>
      </c>
      <c r="B141">
        <v>4097</v>
      </c>
      <c r="C141">
        <v>32510</v>
      </c>
      <c r="D141" t="str">
        <f t="shared" si="24"/>
        <v>1001</v>
      </c>
      <c r="E141" t="str">
        <f t="shared" si="25"/>
        <v>7EFE</v>
      </c>
      <c r="F141">
        <v>1024</v>
      </c>
      <c r="G141" t="str">
        <f t="shared" si="26"/>
        <v>400</v>
      </c>
      <c r="H141">
        <f t="shared" si="27"/>
        <v>4195328</v>
      </c>
      <c r="I141">
        <f t="shared" si="28"/>
        <v>33290240</v>
      </c>
      <c r="J141">
        <v>390</v>
      </c>
      <c r="K141">
        <f t="shared" si="29"/>
        <v>1597830</v>
      </c>
      <c r="L141">
        <f t="shared" si="30"/>
        <v>12678900</v>
      </c>
      <c r="M141">
        <v>4798</v>
      </c>
      <c r="N141">
        <f t="shared" si="31"/>
        <v>19657406</v>
      </c>
      <c r="O141">
        <f t="shared" si="32"/>
        <v>155982980</v>
      </c>
      <c r="P141">
        <v>7646</v>
      </c>
      <c r="Q141">
        <f t="shared" si="33"/>
        <v>31325662</v>
      </c>
      <c r="R141">
        <f t="shared" si="34"/>
        <v>248571460</v>
      </c>
    </row>
    <row r="142" spans="1:18">
      <c r="A142">
        <f t="shared" si="35"/>
        <v>139</v>
      </c>
      <c r="B142">
        <v>25673</v>
      </c>
      <c r="C142">
        <v>20361</v>
      </c>
      <c r="D142" t="str">
        <f t="shared" si="24"/>
        <v>6449</v>
      </c>
      <c r="E142" t="str">
        <f t="shared" si="25"/>
        <v>4F89</v>
      </c>
      <c r="F142">
        <v>6419</v>
      </c>
      <c r="G142" t="str">
        <f t="shared" si="26"/>
        <v>1913</v>
      </c>
      <c r="H142">
        <f t="shared" si="27"/>
        <v>164794987</v>
      </c>
      <c r="I142">
        <f t="shared" si="28"/>
        <v>130697259</v>
      </c>
      <c r="J142">
        <v>5980</v>
      </c>
      <c r="K142">
        <f t="shared" si="29"/>
        <v>153524540</v>
      </c>
      <c r="L142">
        <f t="shared" si="30"/>
        <v>121758780</v>
      </c>
      <c r="M142">
        <v>8074</v>
      </c>
      <c r="N142">
        <f t="shared" si="31"/>
        <v>207283802</v>
      </c>
      <c r="O142">
        <f t="shared" si="32"/>
        <v>164394714</v>
      </c>
      <c r="P142">
        <v>7506</v>
      </c>
      <c r="Q142">
        <f t="shared" si="33"/>
        <v>192701538</v>
      </c>
      <c r="R142">
        <f t="shared" si="34"/>
        <v>152829666</v>
      </c>
    </row>
    <row r="143" spans="1:18">
      <c r="A143">
        <f t="shared" si="35"/>
        <v>140</v>
      </c>
      <c r="B143">
        <v>32589</v>
      </c>
      <c r="C143">
        <v>-3416</v>
      </c>
      <c r="D143" t="str">
        <f t="shared" si="24"/>
        <v>7F4D</v>
      </c>
      <c r="E143" t="str">
        <f t="shared" si="25"/>
        <v>FFFFFFF2A8</v>
      </c>
      <c r="F143">
        <v>8147</v>
      </c>
      <c r="G143" t="str">
        <f t="shared" si="26"/>
        <v>1FD3</v>
      </c>
      <c r="H143">
        <f t="shared" si="27"/>
        <v>265502583</v>
      </c>
      <c r="I143">
        <f t="shared" si="28"/>
        <v>-27830152</v>
      </c>
      <c r="J143">
        <v>8191</v>
      </c>
      <c r="K143">
        <f t="shared" si="29"/>
        <v>266936499</v>
      </c>
      <c r="L143">
        <f t="shared" si="30"/>
        <v>-27980456</v>
      </c>
      <c r="M143">
        <v>6739</v>
      </c>
      <c r="N143">
        <f t="shared" si="31"/>
        <v>219617271</v>
      </c>
      <c r="O143">
        <f t="shared" si="32"/>
        <v>-23020424</v>
      </c>
      <c r="P143">
        <v>3036</v>
      </c>
      <c r="Q143">
        <f t="shared" si="33"/>
        <v>98940204</v>
      </c>
      <c r="R143">
        <f t="shared" si="34"/>
        <v>-10370976</v>
      </c>
    </row>
    <row r="144" spans="1:18">
      <c r="A144">
        <f t="shared" si="35"/>
        <v>141</v>
      </c>
      <c r="B144">
        <v>20894</v>
      </c>
      <c r="C144">
        <v>-25241</v>
      </c>
      <c r="D144" t="str">
        <f t="shared" si="24"/>
        <v>519E</v>
      </c>
      <c r="E144" t="str">
        <f t="shared" si="25"/>
        <v>FFFFFF9D67</v>
      </c>
      <c r="F144">
        <v>5224</v>
      </c>
      <c r="G144" t="str">
        <f t="shared" si="26"/>
        <v>1468</v>
      </c>
      <c r="H144">
        <f t="shared" si="27"/>
        <v>109150256</v>
      </c>
      <c r="I144">
        <f t="shared" si="28"/>
        <v>-131858984</v>
      </c>
      <c r="J144">
        <v>5772</v>
      </c>
      <c r="K144">
        <f t="shared" si="29"/>
        <v>120600168</v>
      </c>
      <c r="L144">
        <f t="shared" si="30"/>
        <v>-145691052</v>
      </c>
      <c r="M144">
        <v>1556</v>
      </c>
      <c r="N144">
        <f t="shared" si="31"/>
        <v>32511064</v>
      </c>
      <c r="O144">
        <f t="shared" si="32"/>
        <v>-39274996</v>
      </c>
      <c r="P144">
        <v>-3186</v>
      </c>
      <c r="Q144">
        <f t="shared" si="33"/>
        <v>-66568284</v>
      </c>
      <c r="R144">
        <f t="shared" si="34"/>
        <v>80417826</v>
      </c>
    </row>
    <row r="145" spans="1:18">
      <c r="A145">
        <f t="shared" si="35"/>
        <v>142</v>
      </c>
      <c r="B145">
        <v>-2732</v>
      </c>
      <c r="C145">
        <v>-32653</v>
      </c>
      <c r="D145" t="str">
        <f t="shared" si="24"/>
        <v>FFFFFFF554</v>
      </c>
      <c r="E145" t="str">
        <f t="shared" si="25"/>
        <v>FFFFFF8073</v>
      </c>
      <c r="F145">
        <v>-683</v>
      </c>
      <c r="G145" t="str">
        <f t="shared" si="26"/>
        <v>FFFFFFFD55</v>
      </c>
      <c r="H145">
        <f t="shared" si="27"/>
        <v>1865956</v>
      </c>
      <c r="I145">
        <f t="shared" si="28"/>
        <v>22301999</v>
      </c>
      <c r="J145">
        <v>90</v>
      </c>
      <c r="K145">
        <f t="shared" si="29"/>
        <v>-245880</v>
      </c>
      <c r="L145">
        <f t="shared" si="30"/>
        <v>-2938770</v>
      </c>
      <c r="M145">
        <v>-4515</v>
      </c>
      <c r="N145">
        <f t="shared" si="31"/>
        <v>12334980</v>
      </c>
      <c r="O145">
        <f t="shared" si="32"/>
        <v>147428295</v>
      </c>
      <c r="P145">
        <v>-7570</v>
      </c>
      <c r="Q145">
        <f t="shared" si="33"/>
        <v>20681240</v>
      </c>
      <c r="R145">
        <f t="shared" si="34"/>
        <v>247183210</v>
      </c>
    </row>
    <row r="146" spans="1:18">
      <c r="A146">
        <f t="shared" si="35"/>
        <v>143</v>
      </c>
      <c r="B146">
        <v>-24798</v>
      </c>
      <c r="C146">
        <v>-21418</v>
      </c>
      <c r="D146" t="str">
        <f t="shared" si="24"/>
        <v>FFFFFF9F22</v>
      </c>
      <c r="E146" t="str">
        <f t="shared" si="25"/>
        <v>FFFFFFAC56</v>
      </c>
      <c r="F146">
        <v>-6200</v>
      </c>
      <c r="G146" t="str">
        <f t="shared" si="26"/>
        <v>FFFFFFE7C8</v>
      </c>
      <c r="H146">
        <f t="shared" si="27"/>
        <v>153747600</v>
      </c>
      <c r="I146">
        <f t="shared" si="28"/>
        <v>132791600</v>
      </c>
      <c r="J146">
        <v>-5642</v>
      </c>
      <c r="K146">
        <f t="shared" si="29"/>
        <v>139910316</v>
      </c>
      <c r="L146">
        <f t="shared" si="30"/>
        <v>120840356</v>
      </c>
      <c r="M146">
        <v>-8008</v>
      </c>
      <c r="N146">
        <f t="shared" si="31"/>
        <v>198582384</v>
      </c>
      <c r="O146">
        <f t="shared" si="32"/>
        <v>171515344</v>
      </c>
      <c r="P146">
        <v>-7586</v>
      </c>
      <c r="Q146">
        <f t="shared" si="33"/>
        <v>188117628</v>
      </c>
      <c r="R146">
        <f t="shared" si="34"/>
        <v>162476948</v>
      </c>
    </row>
    <row r="147" spans="1:18">
      <c r="A147">
        <f t="shared" si="35"/>
        <v>144</v>
      </c>
      <c r="B147">
        <v>-32703</v>
      </c>
      <c r="C147">
        <v>2048</v>
      </c>
      <c r="D147" t="str">
        <f t="shared" si="24"/>
        <v>FFFFFF8041</v>
      </c>
      <c r="E147" t="str">
        <f t="shared" si="25"/>
        <v>800</v>
      </c>
      <c r="F147">
        <v>-8176</v>
      </c>
      <c r="G147" t="str">
        <f t="shared" si="26"/>
        <v>FFFFFFE010</v>
      </c>
      <c r="H147">
        <f t="shared" si="27"/>
        <v>267379728</v>
      </c>
      <c r="I147">
        <f t="shared" si="28"/>
        <v>-16744448</v>
      </c>
      <c r="J147">
        <v>-8185</v>
      </c>
      <c r="K147">
        <f t="shared" si="29"/>
        <v>267674055</v>
      </c>
      <c r="L147">
        <f t="shared" si="30"/>
        <v>-16762880</v>
      </c>
      <c r="M147">
        <v>-6928</v>
      </c>
      <c r="N147">
        <f t="shared" si="31"/>
        <v>226566384</v>
      </c>
      <c r="O147">
        <f t="shared" si="32"/>
        <v>-14188544</v>
      </c>
      <c r="P147">
        <v>-3226</v>
      </c>
      <c r="Q147">
        <f t="shared" si="33"/>
        <v>105499878</v>
      </c>
      <c r="R147">
        <f t="shared" si="34"/>
        <v>-6606848</v>
      </c>
    </row>
    <row r="148" spans="1:18">
      <c r="A148">
        <f t="shared" si="35"/>
        <v>145</v>
      </c>
      <c r="B148">
        <v>-21933</v>
      </c>
      <c r="C148">
        <v>24344</v>
      </c>
      <c r="D148" t="str">
        <f t="shared" si="24"/>
        <v>FFFFFFAA53</v>
      </c>
      <c r="E148" t="str">
        <f t="shared" si="25"/>
        <v>5F18</v>
      </c>
      <c r="F148">
        <v>-5483</v>
      </c>
      <c r="G148" t="str">
        <f t="shared" si="26"/>
        <v>FFFFFFEA95</v>
      </c>
      <c r="H148">
        <f t="shared" si="27"/>
        <v>120258639</v>
      </c>
      <c r="I148">
        <f t="shared" si="28"/>
        <v>-133478152</v>
      </c>
      <c r="J148">
        <v>-6102</v>
      </c>
      <c r="K148">
        <f t="shared" si="29"/>
        <v>133835166</v>
      </c>
      <c r="L148">
        <f t="shared" si="30"/>
        <v>-148547088</v>
      </c>
      <c r="M148">
        <v>-1892</v>
      </c>
      <c r="N148">
        <f t="shared" si="31"/>
        <v>41497236</v>
      </c>
      <c r="O148">
        <f t="shared" si="32"/>
        <v>-46058848</v>
      </c>
      <c r="P148">
        <v>2995</v>
      </c>
      <c r="Q148">
        <f t="shared" si="33"/>
        <v>-65689335</v>
      </c>
      <c r="R148">
        <f t="shared" si="34"/>
        <v>72910280</v>
      </c>
    </row>
    <row r="149" spans="1:18">
      <c r="A149">
        <f t="shared" si="35"/>
        <v>146</v>
      </c>
      <c r="B149">
        <v>1362</v>
      </c>
      <c r="C149">
        <v>32739</v>
      </c>
      <c r="D149" t="str">
        <f t="shared" si="24"/>
        <v>552</v>
      </c>
      <c r="E149" t="str">
        <f t="shared" si="25"/>
        <v>7FE3</v>
      </c>
      <c r="F149">
        <v>341</v>
      </c>
      <c r="G149" t="str">
        <f t="shared" si="26"/>
        <v>155</v>
      </c>
      <c r="H149">
        <f t="shared" si="27"/>
        <v>464442</v>
      </c>
      <c r="I149">
        <f t="shared" si="28"/>
        <v>11163999</v>
      </c>
      <c r="J149">
        <v>-570</v>
      </c>
      <c r="K149">
        <f t="shared" si="29"/>
        <v>-776340</v>
      </c>
      <c r="L149">
        <f t="shared" si="30"/>
        <v>-18661230</v>
      </c>
      <c r="M149">
        <v>4225</v>
      </c>
      <c r="N149">
        <f t="shared" si="31"/>
        <v>5754450</v>
      </c>
      <c r="O149">
        <f t="shared" si="32"/>
        <v>138322275</v>
      </c>
      <c r="P149">
        <v>7489</v>
      </c>
      <c r="Q149">
        <f t="shared" si="33"/>
        <v>10200018</v>
      </c>
      <c r="R149">
        <f t="shared" si="34"/>
        <v>245182371</v>
      </c>
    </row>
    <row r="150" spans="1:18">
      <c r="A150">
        <f t="shared" si="35"/>
        <v>147</v>
      </c>
      <c r="B150">
        <v>23879</v>
      </c>
      <c r="C150">
        <v>22438</v>
      </c>
      <c r="D150" t="str">
        <f t="shared" si="24"/>
        <v>5D47</v>
      </c>
      <c r="E150" t="str">
        <f t="shared" si="25"/>
        <v>57A6</v>
      </c>
      <c r="F150">
        <v>5970</v>
      </c>
      <c r="G150" t="str">
        <f t="shared" si="26"/>
        <v>1752</v>
      </c>
      <c r="H150">
        <f t="shared" si="27"/>
        <v>142557630</v>
      </c>
      <c r="I150">
        <f t="shared" si="28"/>
        <v>133954860</v>
      </c>
      <c r="J150">
        <v>5284</v>
      </c>
      <c r="K150">
        <f t="shared" si="29"/>
        <v>126176636</v>
      </c>
      <c r="L150">
        <f t="shared" si="30"/>
        <v>118562392</v>
      </c>
      <c r="M150">
        <v>7929</v>
      </c>
      <c r="N150">
        <f t="shared" si="31"/>
        <v>189336591</v>
      </c>
      <c r="O150">
        <f t="shared" si="32"/>
        <v>177910902</v>
      </c>
      <c r="P150">
        <v>7662</v>
      </c>
      <c r="Q150">
        <f t="shared" si="33"/>
        <v>182960898</v>
      </c>
      <c r="R150">
        <f t="shared" si="34"/>
        <v>171919956</v>
      </c>
    </row>
    <row r="151" spans="1:18">
      <c r="A151">
        <f t="shared" si="35"/>
        <v>148</v>
      </c>
      <c r="B151">
        <v>32760</v>
      </c>
      <c r="C151">
        <v>-676</v>
      </c>
      <c r="D151" t="str">
        <f t="shared" si="24"/>
        <v>7FF8</v>
      </c>
      <c r="E151" t="str">
        <f t="shared" si="25"/>
        <v>FFFFFFFD5C</v>
      </c>
      <c r="F151">
        <v>8190</v>
      </c>
      <c r="G151" t="str">
        <f t="shared" si="26"/>
        <v>1FFE</v>
      </c>
      <c r="H151">
        <f t="shared" si="27"/>
        <v>268304400</v>
      </c>
      <c r="I151">
        <f t="shared" si="28"/>
        <v>-5536440</v>
      </c>
      <c r="J151">
        <v>8152</v>
      </c>
      <c r="K151">
        <f t="shared" si="29"/>
        <v>267059520</v>
      </c>
      <c r="L151">
        <f t="shared" si="30"/>
        <v>-5510752</v>
      </c>
      <c r="M151">
        <v>7105</v>
      </c>
      <c r="N151">
        <f t="shared" si="31"/>
        <v>232759800</v>
      </c>
      <c r="O151">
        <f t="shared" si="32"/>
        <v>-4802980</v>
      </c>
      <c r="P151">
        <v>3414</v>
      </c>
      <c r="Q151">
        <f t="shared" si="33"/>
        <v>111842640</v>
      </c>
      <c r="R151">
        <f t="shared" si="34"/>
        <v>-2307864</v>
      </c>
    </row>
    <row r="152" spans="1:18">
      <c r="A152">
        <f t="shared" si="35"/>
        <v>149</v>
      </c>
      <c r="B152">
        <v>22933</v>
      </c>
      <c r="C152">
        <v>-23404</v>
      </c>
      <c r="D152" t="str">
        <f t="shared" si="24"/>
        <v>5995</v>
      </c>
      <c r="E152" t="str">
        <f t="shared" si="25"/>
        <v>FFFFFFA494</v>
      </c>
      <c r="F152">
        <v>5733</v>
      </c>
      <c r="G152" t="str">
        <f t="shared" si="26"/>
        <v>1665</v>
      </c>
      <c r="H152">
        <f t="shared" si="27"/>
        <v>131474889</v>
      </c>
      <c r="I152">
        <f t="shared" si="28"/>
        <v>-134175132</v>
      </c>
      <c r="J152">
        <v>6412</v>
      </c>
      <c r="K152">
        <f t="shared" si="29"/>
        <v>147046396</v>
      </c>
      <c r="L152">
        <f t="shared" si="30"/>
        <v>-150066448</v>
      </c>
      <c r="M152">
        <v>2224</v>
      </c>
      <c r="N152">
        <f t="shared" si="31"/>
        <v>51002992</v>
      </c>
      <c r="O152">
        <f t="shared" si="32"/>
        <v>-52050496</v>
      </c>
      <c r="P152">
        <v>-2803</v>
      </c>
      <c r="Q152">
        <f t="shared" si="33"/>
        <v>-64281199</v>
      </c>
      <c r="R152">
        <f t="shared" si="34"/>
        <v>65601412</v>
      </c>
    </row>
    <row r="153" spans="1:18">
      <c r="A153">
        <f t="shared" si="35"/>
        <v>150</v>
      </c>
      <c r="B153">
        <v>10</v>
      </c>
      <c r="C153">
        <v>-32767</v>
      </c>
      <c r="D153" t="str">
        <f t="shared" si="24"/>
        <v>A</v>
      </c>
      <c r="E153" t="str">
        <f t="shared" si="25"/>
        <v>FFFFFF8001</v>
      </c>
      <c r="F153">
        <v>3</v>
      </c>
      <c r="G153" t="str">
        <f t="shared" si="26"/>
        <v>3</v>
      </c>
      <c r="H153">
        <f t="shared" si="27"/>
        <v>30</v>
      </c>
      <c r="I153">
        <f t="shared" si="28"/>
        <v>-98301</v>
      </c>
      <c r="J153">
        <v>1048</v>
      </c>
      <c r="K153">
        <f t="shared" si="29"/>
        <v>10480</v>
      </c>
      <c r="L153">
        <f t="shared" si="30"/>
        <v>-34339816</v>
      </c>
      <c r="M153">
        <v>-3927</v>
      </c>
      <c r="N153">
        <f t="shared" si="31"/>
        <v>-39270</v>
      </c>
      <c r="O153">
        <f t="shared" si="32"/>
        <v>128676009</v>
      </c>
      <c r="P153">
        <v>-7403</v>
      </c>
      <c r="Q153">
        <f t="shared" si="33"/>
        <v>-74030</v>
      </c>
      <c r="R153">
        <f t="shared" si="34"/>
        <v>242574101</v>
      </c>
    </row>
    <row r="154" spans="1:18">
      <c r="A154">
        <f t="shared" si="35"/>
        <v>151</v>
      </c>
      <c r="B154">
        <v>-22918</v>
      </c>
      <c r="C154">
        <v>-23418</v>
      </c>
      <c r="D154" t="str">
        <f t="shared" si="24"/>
        <v>FFFFFFA67A</v>
      </c>
      <c r="E154" t="str">
        <f t="shared" si="25"/>
        <v>FFFFFFA486</v>
      </c>
      <c r="F154">
        <v>-5730</v>
      </c>
      <c r="G154" t="str">
        <f t="shared" si="26"/>
        <v>FFFFFFE99E</v>
      </c>
      <c r="H154">
        <f t="shared" si="27"/>
        <v>131320140</v>
      </c>
      <c r="I154">
        <f t="shared" si="28"/>
        <v>134185140</v>
      </c>
      <c r="J154">
        <v>-4908</v>
      </c>
      <c r="K154">
        <f t="shared" si="29"/>
        <v>112481544</v>
      </c>
      <c r="L154">
        <f t="shared" si="30"/>
        <v>114935544</v>
      </c>
      <c r="M154">
        <v>-7836</v>
      </c>
      <c r="N154">
        <f t="shared" si="31"/>
        <v>179585448</v>
      </c>
      <c r="O154">
        <f t="shared" si="32"/>
        <v>183503448</v>
      </c>
      <c r="P154">
        <v>-7732</v>
      </c>
      <c r="Q154">
        <f t="shared" si="33"/>
        <v>177201976</v>
      </c>
      <c r="R154">
        <f t="shared" si="34"/>
        <v>181067976</v>
      </c>
    </row>
    <row r="155" spans="1:18">
      <c r="A155">
        <f t="shared" si="35"/>
        <v>152</v>
      </c>
      <c r="B155">
        <v>-32760</v>
      </c>
      <c r="C155">
        <v>-697</v>
      </c>
      <c r="D155" t="str">
        <f t="shared" si="24"/>
        <v>FFFFFF8008</v>
      </c>
      <c r="E155" t="str">
        <f t="shared" si="25"/>
        <v>FFFFFFFD47</v>
      </c>
      <c r="F155">
        <v>-8190</v>
      </c>
      <c r="G155" t="str">
        <f t="shared" si="26"/>
        <v>FFFFFFE002</v>
      </c>
      <c r="H155">
        <f t="shared" si="27"/>
        <v>268304400</v>
      </c>
      <c r="I155">
        <f t="shared" si="28"/>
        <v>5708430</v>
      </c>
      <c r="J155">
        <v>-8090</v>
      </c>
      <c r="K155">
        <f t="shared" si="29"/>
        <v>265028400</v>
      </c>
      <c r="L155">
        <f t="shared" si="30"/>
        <v>5638730</v>
      </c>
      <c r="M155">
        <v>-7270</v>
      </c>
      <c r="N155">
        <f t="shared" si="31"/>
        <v>238165200</v>
      </c>
      <c r="O155">
        <f t="shared" si="32"/>
        <v>5067190</v>
      </c>
      <c r="P155">
        <v>-3600</v>
      </c>
      <c r="Q155">
        <f t="shared" si="33"/>
        <v>117936000</v>
      </c>
      <c r="R155">
        <f t="shared" si="34"/>
        <v>2509200</v>
      </c>
    </row>
    <row r="156" spans="1:18">
      <c r="A156">
        <f t="shared" si="35"/>
        <v>153</v>
      </c>
      <c r="B156">
        <v>-23893</v>
      </c>
      <c r="C156">
        <v>22423</v>
      </c>
      <c r="D156" t="str">
        <f t="shared" si="24"/>
        <v>FFFFFFA2AB</v>
      </c>
      <c r="E156" t="str">
        <f t="shared" si="25"/>
        <v>5797</v>
      </c>
      <c r="F156">
        <v>-5974</v>
      </c>
      <c r="G156" t="str">
        <f t="shared" si="26"/>
        <v>FFFFFFE8AA</v>
      </c>
      <c r="H156">
        <f t="shared" si="27"/>
        <v>142736782</v>
      </c>
      <c r="I156">
        <f t="shared" si="28"/>
        <v>-133955002</v>
      </c>
      <c r="J156">
        <v>-6700</v>
      </c>
      <c r="K156">
        <f t="shared" si="29"/>
        <v>160083100</v>
      </c>
      <c r="L156">
        <f t="shared" si="30"/>
        <v>-150234100</v>
      </c>
      <c r="M156">
        <v>-2552</v>
      </c>
      <c r="N156">
        <f t="shared" si="31"/>
        <v>60974936</v>
      </c>
      <c r="O156">
        <f t="shared" si="32"/>
        <v>-57223496</v>
      </c>
      <c r="P156">
        <v>2609</v>
      </c>
      <c r="Q156">
        <f t="shared" si="33"/>
        <v>-62336837</v>
      </c>
      <c r="R156">
        <f t="shared" si="34"/>
        <v>58501607</v>
      </c>
    </row>
    <row r="157" spans="1:18">
      <c r="A157">
        <f t="shared" si="35"/>
        <v>154</v>
      </c>
      <c r="B157">
        <v>-1383</v>
      </c>
      <c r="C157">
        <v>32738</v>
      </c>
      <c r="D157" t="str">
        <f t="shared" si="24"/>
        <v>FFFFFFFA99</v>
      </c>
      <c r="E157" t="str">
        <f t="shared" si="25"/>
        <v>7FE2</v>
      </c>
      <c r="F157">
        <v>-346</v>
      </c>
      <c r="G157" t="str">
        <f t="shared" si="26"/>
        <v>FFFFFFFEA6</v>
      </c>
      <c r="H157">
        <f t="shared" si="27"/>
        <v>478518</v>
      </c>
      <c r="I157">
        <f t="shared" si="28"/>
        <v>-11327348</v>
      </c>
      <c r="J157">
        <v>-1523</v>
      </c>
      <c r="K157">
        <f t="shared" si="29"/>
        <v>2106309</v>
      </c>
      <c r="L157">
        <f t="shared" si="30"/>
        <v>-49859974</v>
      </c>
      <c r="M157">
        <v>3623</v>
      </c>
      <c r="N157">
        <f t="shared" si="31"/>
        <v>-5010609</v>
      </c>
      <c r="O157">
        <f t="shared" si="32"/>
        <v>118609774</v>
      </c>
      <c r="P157">
        <v>7313</v>
      </c>
      <c r="Q157">
        <f t="shared" si="33"/>
        <v>-10113879</v>
      </c>
      <c r="R157">
        <f t="shared" si="34"/>
        <v>239412994</v>
      </c>
    </row>
    <row r="158" spans="1:18">
      <c r="A158">
        <f t="shared" si="35"/>
        <v>155</v>
      </c>
      <c r="B158">
        <v>21917</v>
      </c>
      <c r="C158">
        <v>24358</v>
      </c>
      <c r="D158" t="str">
        <f t="shared" si="24"/>
        <v>559D</v>
      </c>
      <c r="E158" t="str">
        <f t="shared" si="25"/>
        <v>5F26</v>
      </c>
      <c r="F158">
        <v>5480</v>
      </c>
      <c r="G158" t="str">
        <f t="shared" si="26"/>
        <v>1568</v>
      </c>
      <c r="H158">
        <f t="shared" si="27"/>
        <v>120105160</v>
      </c>
      <c r="I158">
        <f t="shared" si="28"/>
        <v>133481840</v>
      </c>
      <c r="J158">
        <v>4515</v>
      </c>
      <c r="K158">
        <f t="shared" si="29"/>
        <v>98955255</v>
      </c>
      <c r="L158">
        <f t="shared" si="30"/>
        <v>109976370</v>
      </c>
      <c r="M158">
        <v>7729</v>
      </c>
      <c r="N158">
        <f t="shared" si="31"/>
        <v>169396493</v>
      </c>
      <c r="O158">
        <f t="shared" si="32"/>
        <v>188262982</v>
      </c>
      <c r="P158">
        <v>7798</v>
      </c>
      <c r="Q158">
        <f t="shared" si="33"/>
        <v>170908766</v>
      </c>
      <c r="R158">
        <f t="shared" si="34"/>
        <v>189943684</v>
      </c>
    </row>
    <row r="159" spans="1:18">
      <c r="A159">
        <f t="shared" si="35"/>
        <v>156</v>
      </c>
      <c r="B159">
        <v>32702</v>
      </c>
      <c r="C159">
        <v>2068</v>
      </c>
      <c r="D159" t="str">
        <f t="shared" si="24"/>
        <v>7FBE</v>
      </c>
      <c r="E159" t="str">
        <f t="shared" si="25"/>
        <v>814</v>
      </c>
      <c r="F159">
        <v>8176</v>
      </c>
      <c r="G159" t="str">
        <f t="shared" si="26"/>
        <v>1FF0</v>
      </c>
      <c r="H159">
        <f t="shared" si="27"/>
        <v>267371552</v>
      </c>
      <c r="I159">
        <f t="shared" si="28"/>
        <v>16907968</v>
      </c>
      <c r="J159">
        <v>8001</v>
      </c>
      <c r="K159">
        <f t="shared" si="29"/>
        <v>261648702</v>
      </c>
      <c r="L159">
        <f t="shared" si="30"/>
        <v>16546068</v>
      </c>
      <c r="M159">
        <v>7422</v>
      </c>
      <c r="N159">
        <f t="shared" si="31"/>
        <v>242714244</v>
      </c>
      <c r="O159">
        <f t="shared" si="32"/>
        <v>15348696</v>
      </c>
      <c r="P159">
        <v>3784</v>
      </c>
      <c r="Q159">
        <f t="shared" si="33"/>
        <v>123744368</v>
      </c>
      <c r="R159">
        <f t="shared" si="34"/>
        <v>7825312</v>
      </c>
    </row>
    <row r="160" spans="1:18">
      <c r="A160">
        <f t="shared" si="35"/>
        <v>157</v>
      </c>
      <c r="B160">
        <v>24811</v>
      </c>
      <c r="C160">
        <v>-21402</v>
      </c>
      <c r="D160" t="str">
        <f t="shared" si="24"/>
        <v>60EB</v>
      </c>
      <c r="E160" t="str">
        <f t="shared" si="25"/>
        <v>FFFFFFAC66</v>
      </c>
      <c r="F160">
        <v>6203</v>
      </c>
      <c r="G160" t="str">
        <f t="shared" si="26"/>
        <v>183B</v>
      </c>
      <c r="H160">
        <f t="shared" si="27"/>
        <v>153902633</v>
      </c>
      <c r="I160">
        <f t="shared" si="28"/>
        <v>-132756606</v>
      </c>
      <c r="J160">
        <v>6965</v>
      </c>
      <c r="K160">
        <f t="shared" si="29"/>
        <v>172808615</v>
      </c>
      <c r="L160">
        <f t="shared" si="30"/>
        <v>-149064930</v>
      </c>
      <c r="M160">
        <v>2876</v>
      </c>
      <c r="N160">
        <f t="shared" si="31"/>
        <v>71356436</v>
      </c>
      <c r="O160">
        <f t="shared" si="32"/>
        <v>-61552152</v>
      </c>
      <c r="P160">
        <v>-2413</v>
      </c>
      <c r="Q160">
        <f t="shared" si="33"/>
        <v>-59868943</v>
      </c>
      <c r="R160">
        <f t="shared" si="34"/>
        <v>51643026</v>
      </c>
    </row>
    <row r="161" spans="1:18">
      <c r="A161">
        <f t="shared" si="35"/>
        <v>158</v>
      </c>
      <c r="B161">
        <v>2753</v>
      </c>
      <c r="C161">
        <v>-32651</v>
      </c>
      <c r="D161" t="str">
        <f t="shared" si="24"/>
        <v>AC1</v>
      </c>
      <c r="E161" t="str">
        <f t="shared" si="25"/>
        <v>FFFFFF8075</v>
      </c>
      <c r="F161">
        <v>688</v>
      </c>
      <c r="G161" t="str">
        <f t="shared" si="26"/>
        <v>2B0</v>
      </c>
      <c r="H161">
        <f t="shared" si="27"/>
        <v>1894064</v>
      </c>
      <c r="I161">
        <f t="shared" si="28"/>
        <v>-22463888</v>
      </c>
      <c r="J161">
        <v>1992</v>
      </c>
      <c r="K161">
        <f t="shared" si="29"/>
        <v>5483976</v>
      </c>
      <c r="L161">
        <f t="shared" si="30"/>
        <v>-65040792</v>
      </c>
      <c r="M161">
        <v>-3312</v>
      </c>
      <c r="N161">
        <f t="shared" si="31"/>
        <v>-9117936</v>
      </c>
      <c r="O161">
        <f t="shared" si="32"/>
        <v>108140112</v>
      </c>
      <c r="P161">
        <v>-7217</v>
      </c>
      <c r="Q161">
        <f t="shared" si="33"/>
        <v>-19868401</v>
      </c>
      <c r="R161">
        <f t="shared" si="34"/>
        <v>235642267</v>
      </c>
    </row>
    <row r="162" spans="1:18">
      <c r="A162">
        <f t="shared" si="35"/>
        <v>159</v>
      </c>
      <c r="B162">
        <v>-20878</v>
      </c>
      <c r="C162">
        <v>-25254</v>
      </c>
      <c r="D162" t="str">
        <f t="shared" si="24"/>
        <v>FFFFFFAE72</v>
      </c>
      <c r="E162" t="str">
        <f t="shared" si="25"/>
        <v>FFFFFF9D5A</v>
      </c>
      <c r="F162">
        <v>-5220</v>
      </c>
      <c r="G162" t="str">
        <f t="shared" si="26"/>
        <v>FFFFFFEB9C</v>
      </c>
      <c r="H162">
        <f t="shared" si="27"/>
        <v>108983160</v>
      </c>
      <c r="I162">
        <f t="shared" si="28"/>
        <v>131825880</v>
      </c>
      <c r="J162">
        <v>-4107</v>
      </c>
      <c r="K162">
        <f t="shared" si="29"/>
        <v>85745946</v>
      </c>
      <c r="L162">
        <f t="shared" si="30"/>
        <v>103718178</v>
      </c>
      <c r="M162">
        <v>-7609</v>
      </c>
      <c r="N162">
        <f t="shared" si="31"/>
        <v>158860702</v>
      </c>
      <c r="O162">
        <f t="shared" si="32"/>
        <v>192157686</v>
      </c>
      <c r="P162">
        <v>-7858</v>
      </c>
      <c r="Q162">
        <f t="shared" si="33"/>
        <v>164059324</v>
      </c>
      <c r="R162">
        <f t="shared" si="34"/>
        <v>198445932</v>
      </c>
    </row>
    <row r="163" spans="1:18">
      <c r="A163">
        <f t="shared" si="35"/>
        <v>160</v>
      </c>
      <c r="B163">
        <v>-32586</v>
      </c>
      <c r="C163">
        <v>-3436</v>
      </c>
      <c r="D163" t="str">
        <f t="shared" si="24"/>
        <v>FFFFFF80B6</v>
      </c>
      <c r="E163" t="str">
        <f t="shared" si="25"/>
        <v>FFFFFFF294</v>
      </c>
      <c r="F163">
        <v>-8147</v>
      </c>
      <c r="G163" t="str">
        <f t="shared" si="26"/>
        <v>FFFFFFE02D</v>
      </c>
      <c r="H163">
        <f t="shared" si="27"/>
        <v>265478142</v>
      </c>
      <c r="I163">
        <f t="shared" si="28"/>
        <v>27993092</v>
      </c>
      <c r="J163">
        <v>-7884</v>
      </c>
      <c r="K163">
        <f t="shared" si="29"/>
        <v>256908024</v>
      </c>
      <c r="L163">
        <f t="shared" si="30"/>
        <v>27089424</v>
      </c>
      <c r="M163">
        <v>-7560</v>
      </c>
      <c r="N163">
        <f t="shared" si="31"/>
        <v>246350160</v>
      </c>
      <c r="O163">
        <f t="shared" si="32"/>
        <v>25976160</v>
      </c>
      <c r="P163">
        <v>-3966</v>
      </c>
      <c r="Q163">
        <f t="shared" si="33"/>
        <v>129236076</v>
      </c>
      <c r="R163">
        <f t="shared" si="34"/>
        <v>13627176</v>
      </c>
    </row>
    <row r="164" spans="1:18">
      <c r="A164">
        <f t="shared" si="35"/>
        <v>161</v>
      </c>
      <c r="B164">
        <v>-25686</v>
      </c>
      <c r="C164">
        <v>20344</v>
      </c>
      <c r="D164" t="str">
        <f t="shared" si="24"/>
        <v>FFFFFF9BAA</v>
      </c>
      <c r="E164" t="str">
        <f t="shared" si="25"/>
        <v>4F78</v>
      </c>
      <c r="F164">
        <v>-6422</v>
      </c>
      <c r="G164" t="str">
        <f t="shared" si="26"/>
        <v>FFFFFFE6EA</v>
      </c>
      <c r="H164">
        <f t="shared" si="27"/>
        <v>164955492</v>
      </c>
      <c r="I164">
        <f t="shared" si="28"/>
        <v>-130649168</v>
      </c>
      <c r="J164">
        <v>-7206</v>
      </c>
      <c r="K164">
        <f t="shared" si="29"/>
        <v>185093316</v>
      </c>
      <c r="L164">
        <f t="shared" si="30"/>
        <v>-146598864</v>
      </c>
      <c r="M164">
        <v>-3195</v>
      </c>
      <c r="N164">
        <f t="shared" si="31"/>
        <v>82066770</v>
      </c>
      <c r="O164">
        <f t="shared" si="32"/>
        <v>-64999080</v>
      </c>
      <c r="P164">
        <v>2215</v>
      </c>
      <c r="Q164">
        <f t="shared" si="33"/>
        <v>-56894490</v>
      </c>
      <c r="R164">
        <f t="shared" si="34"/>
        <v>45061960</v>
      </c>
    </row>
    <row r="165" spans="1:18">
      <c r="A165">
        <f t="shared" si="35"/>
        <v>162</v>
      </c>
      <c r="B165">
        <v>-4118</v>
      </c>
      <c r="C165">
        <v>32507</v>
      </c>
      <c r="D165" t="str">
        <f t="shared" si="24"/>
        <v>FFFFFFEFEA</v>
      </c>
      <c r="E165" t="str">
        <f t="shared" si="25"/>
        <v>7EFB</v>
      </c>
      <c r="F165">
        <v>-1029</v>
      </c>
      <c r="G165" t="str">
        <f t="shared" si="26"/>
        <v>FFFFFFFBFB</v>
      </c>
      <c r="H165">
        <f t="shared" si="27"/>
        <v>4237422</v>
      </c>
      <c r="I165">
        <f t="shared" si="28"/>
        <v>-33449703</v>
      </c>
      <c r="J165">
        <v>-2454</v>
      </c>
      <c r="K165">
        <f t="shared" si="29"/>
        <v>10105572</v>
      </c>
      <c r="L165">
        <f t="shared" si="30"/>
        <v>-79772178</v>
      </c>
      <c r="M165">
        <v>2995</v>
      </c>
      <c r="N165">
        <f t="shared" si="31"/>
        <v>-12333410</v>
      </c>
      <c r="O165">
        <f t="shared" si="32"/>
        <v>97358465</v>
      </c>
      <c r="P165">
        <v>7118</v>
      </c>
      <c r="Q165">
        <f t="shared" si="33"/>
        <v>-29311924</v>
      </c>
      <c r="R165">
        <f t="shared" si="34"/>
        <v>231384826</v>
      </c>
    </row>
    <row r="166" spans="1:18">
      <c r="A166">
        <f t="shared" si="35"/>
        <v>163</v>
      </c>
      <c r="B166">
        <v>19802</v>
      </c>
      <c r="C166">
        <v>26107</v>
      </c>
      <c r="D166" t="str">
        <f t="shared" si="24"/>
        <v>4D5A</v>
      </c>
      <c r="E166" t="str">
        <f t="shared" si="25"/>
        <v>65FB</v>
      </c>
      <c r="F166">
        <v>4951</v>
      </c>
      <c r="G166" t="str">
        <f t="shared" si="26"/>
        <v>1357</v>
      </c>
      <c r="H166">
        <f t="shared" si="27"/>
        <v>98039702</v>
      </c>
      <c r="I166">
        <f t="shared" si="28"/>
        <v>129255757</v>
      </c>
      <c r="J166">
        <v>3684</v>
      </c>
      <c r="K166">
        <f t="shared" si="29"/>
        <v>72950568</v>
      </c>
      <c r="L166">
        <f t="shared" si="30"/>
        <v>96178188</v>
      </c>
      <c r="M166">
        <v>7475</v>
      </c>
      <c r="N166">
        <f t="shared" si="31"/>
        <v>148019950</v>
      </c>
      <c r="O166">
        <f t="shared" si="32"/>
        <v>195149825</v>
      </c>
      <c r="P166">
        <v>7914</v>
      </c>
      <c r="Q166">
        <f t="shared" si="33"/>
        <v>156713028</v>
      </c>
      <c r="R166">
        <f t="shared" si="34"/>
        <v>206610798</v>
      </c>
    </row>
    <row r="167" spans="1:18">
      <c r="A167">
        <f t="shared" si="35"/>
        <v>164</v>
      </c>
      <c r="B167">
        <v>32414</v>
      </c>
      <c r="C167">
        <v>4798</v>
      </c>
      <c r="D167" t="str">
        <f t="shared" si="24"/>
        <v>7E9E</v>
      </c>
      <c r="E167" t="str">
        <f t="shared" si="25"/>
        <v>12BE</v>
      </c>
      <c r="F167">
        <v>8104</v>
      </c>
      <c r="G167" t="str">
        <f t="shared" si="26"/>
        <v>1FA8</v>
      </c>
      <c r="H167">
        <f t="shared" si="27"/>
        <v>262683056</v>
      </c>
      <c r="I167">
        <f t="shared" si="28"/>
        <v>38882992</v>
      </c>
      <c r="J167">
        <v>7740</v>
      </c>
      <c r="K167">
        <f t="shared" si="29"/>
        <v>250884360</v>
      </c>
      <c r="L167">
        <f t="shared" si="30"/>
        <v>37136520</v>
      </c>
      <c r="M167">
        <v>7686</v>
      </c>
      <c r="N167">
        <f t="shared" si="31"/>
        <v>249134004</v>
      </c>
      <c r="O167">
        <f t="shared" si="32"/>
        <v>36877428</v>
      </c>
      <c r="P167">
        <v>4144</v>
      </c>
      <c r="Q167">
        <f t="shared" si="33"/>
        <v>134323616</v>
      </c>
      <c r="R167">
        <f t="shared" si="34"/>
        <v>19882912</v>
      </c>
    </row>
    <row r="168" spans="1:18">
      <c r="A168">
        <f t="shared" si="35"/>
        <v>165</v>
      </c>
      <c r="B168">
        <v>26516</v>
      </c>
      <c r="C168">
        <v>-19251</v>
      </c>
      <c r="D168" t="str">
        <f t="shared" si="24"/>
        <v>6794</v>
      </c>
      <c r="E168" t="str">
        <f t="shared" si="25"/>
        <v>FFFFFFB4CD</v>
      </c>
      <c r="F168">
        <v>6629</v>
      </c>
      <c r="G168" t="str">
        <f t="shared" si="26"/>
        <v>19E5</v>
      </c>
      <c r="H168">
        <f t="shared" si="27"/>
        <v>175774564</v>
      </c>
      <c r="I168">
        <f t="shared" si="28"/>
        <v>-127614879</v>
      </c>
      <c r="J168">
        <v>7422</v>
      </c>
      <c r="K168">
        <f t="shared" si="29"/>
        <v>196801752</v>
      </c>
      <c r="L168">
        <f t="shared" si="30"/>
        <v>-142880922</v>
      </c>
      <c r="M168">
        <v>3508</v>
      </c>
      <c r="N168">
        <f t="shared" si="31"/>
        <v>93018128</v>
      </c>
      <c r="O168">
        <f t="shared" si="32"/>
        <v>-67532508</v>
      </c>
      <c r="P168">
        <v>-2016</v>
      </c>
      <c r="Q168">
        <f t="shared" si="33"/>
        <v>-53456256</v>
      </c>
      <c r="R168">
        <f t="shared" si="34"/>
        <v>38810016</v>
      </c>
    </row>
    <row r="169" spans="1:18">
      <c r="A169">
        <f t="shared" si="35"/>
        <v>166</v>
      </c>
      <c r="B169">
        <v>5476</v>
      </c>
      <c r="C169">
        <v>-32306</v>
      </c>
      <c r="D169" t="str">
        <f t="shared" si="24"/>
        <v>1564</v>
      </c>
      <c r="E169" t="str">
        <f t="shared" si="25"/>
        <v>FFFFFF81CE</v>
      </c>
      <c r="F169">
        <v>1369</v>
      </c>
      <c r="G169" t="str">
        <f t="shared" si="26"/>
        <v>559</v>
      </c>
      <c r="H169">
        <f t="shared" si="27"/>
        <v>7496644</v>
      </c>
      <c r="I169">
        <f t="shared" si="28"/>
        <v>-44226914</v>
      </c>
      <c r="J169">
        <v>2908</v>
      </c>
      <c r="K169">
        <f t="shared" si="29"/>
        <v>15924208</v>
      </c>
      <c r="L169">
        <f t="shared" si="30"/>
        <v>-93945848</v>
      </c>
      <c r="M169">
        <v>-2674</v>
      </c>
      <c r="N169">
        <f t="shared" si="31"/>
        <v>-14642824</v>
      </c>
      <c r="O169">
        <f t="shared" si="32"/>
        <v>86386244</v>
      </c>
      <c r="P169">
        <v>-7014</v>
      </c>
      <c r="Q169">
        <f t="shared" si="33"/>
        <v>-38408664</v>
      </c>
      <c r="R169">
        <f t="shared" si="34"/>
        <v>226594284</v>
      </c>
    </row>
    <row r="170" spans="1:18">
      <c r="A170">
        <f t="shared" si="35"/>
        <v>167</v>
      </c>
      <c r="B170">
        <v>-18691</v>
      </c>
      <c r="C170">
        <v>-26913</v>
      </c>
      <c r="D170" t="str">
        <f t="shared" si="24"/>
        <v>FFFFFFB6FD</v>
      </c>
      <c r="E170" t="str">
        <f t="shared" si="25"/>
        <v>FFFFFF96DF</v>
      </c>
      <c r="F170">
        <v>-4673</v>
      </c>
      <c r="G170" t="str">
        <f t="shared" si="26"/>
        <v>FFFFFFEDBF</v>
      </c>
      <c r="H170">
        <f t="shared" si="27"/>
        <v>87343043</v>
      </c>
      <c r="I170">
        <f t="shared" si="28"/>
        <v>125764449</v>
      </c>
      <c r="J170">
        <v>-3249</v>
      </c>
      <c r="K170">
        <f t="shared" si="29"/>
        <v>60727059</v>
      </c>
      <c r="L170">
        <f t="shared" si="30"/>
        <v>87440337</v>
      </c>
      <c r="M170">
        <v>-7328</v>
      </c>
      <c r="N170">
        <f t="shared" si="31"/>
        <v>136967648</v>
      </c>
      <c r="O170">
        <f t="shared" si="32"/>
        <v>197218464</v>
      </c>
      <c r="P170">
        <v>-7965</v>
      </c>
      <c r="Q170">
        <f t="shared" si="33"/>
        <v>148873815</v>
      </c>
      <c r="R170">
        <f t="shared" si="34"/>
        <v>214362045</v>
      </c>
    </row>
    <row r="171" spans="1:18">
      <c r="A171">
        <f t="shared" si="35"/>
        <v>168</v>
      </c>
      <c r="B171">
        <v>-32184</v>
      </c>
      <c r="C171">
        <v>-6151</v>
      </c>
      <c r="D171" t="str">
        <f t="shared" si="24"/>
        <v>FFFFFF8248</v>
      </c>
      <c r="E171" t="str">
        <f t="shared" si="25"/>
        <v>FFFFFFE7F9</v>
      </c>
      <c r="F171">
        <v>-8046</v>
      </c>
      <c r="G171" t="str">
        <f t="shared" si="26"/>
        <v>FFFFFFE092</v>
      </c>
      <c r="H171">
        <f t="shared" si="27"/>
        <v>258952464</v>
      </c>
      <c r="I171">
        <f t="shared" si="28"/>
        <v>49490946</v>
      </c>
      <c r="J171">
        <v>-7570</v>
      </c>
      <c r="K171">
        <f t="shared" si="29"/>
        <v>243632880</v>
      </c>
      <c r="L171">
        <f t="shared" si="30"/>
        <v>46563070</v>
      </c>
      <c r="M171">
        <v>-7798</v>
      </c>
      <c r="N171">
        <f t="shared" si="31"/>
        <v>250970832</v>
      </c>
      <c r="O171">
        <f t="shared" si="32"/>
        <v>47965498</v>
      </c>
      <c r="P171">
        <v>-4321</v>
      </c>
      <c r="Q171">
        <f t="shared" si="33"/>
        <v>139067064</v>
      </c>
      <c r="R171">
        <f t="shared" si="34"/>
        <v>26578471</v>
      </c>
    </row>
    <row r="172" spans="1:18">
      <c r="A172">
        <f t="shared" si="35"/>
        <v>169</v>
      </c>
      <c r="B172">
        <v>-27299</v>
      </c>
      <c r="C172">
        <v>18123</v>
      </c>
      <c r="D172" t="str">
        <f t="shared" si="24"/>
        <v>FFFFFF955D</v>
      </c>
      <c r="E172" t="str">
        <f t="shared" si="25"/>
        <v>46CB</v>
      </c>
      <c r="F172">
        <v>-6825</v>
      </c>
      <c r="G172" t="str">
        <f t="shared" si="26"/>
        <v>FFFFFFE557</v>
      </c>
      <c r="H172">
        <f t="shared" si="27"/>
        <v>186315675</v>
      </c>
      <c r="I172">
        <f t="shared" si="28"/>
        <v>-123689475</v>
      </c>
      <c r="J172">
        <v>-7612</v>
      </c>
      <c r="K172">
        <f t="shared" si="29"/>
        <v>207799988</v>
      </c>
      <c r="L172">
        <f t="shared" si="30"/>
        <v>-137952276</v>
      </c>
      <c r="M172">
        <v>-3815</v>
      </c>
      <c r="N172">
        <f t="shared" si="31"/>
        <v>104145685</v>
      </c>
      <c r="O172">
        <f t="shared" si="32"/>
        <v>-69139245</v>
      </c>
      <c r="P172">
        <v>1816</v>
      </c>
      <c r="Q172">
        <f t="shared" si="33"/>
        <v>-49574984</v>
      </c>
      <c r="R172">
        <f t="shared" si="34"/>
        <v>32911368</v>
      </c>
    </row>
    <row r="173" spans="1:18">
      <c r="A173">
        <f t="shared" si="35"/>
        <v>170</v>
      </c>
      <c r="B173">
        <v>-6824</v>
      </c>
      <c r="C173">
        <v>32049</v>
      </c>
      <c r="D173" t="str">
        <f t="shared" si="24"/>
        <v>FFFFFFE558</v>
      </c>
      <c r="E173" t="str">
        <f t="shared" si="25"/>
        <v>7D31</v>
      </c>
      <c r="F173">
        <v>-1706</v>
      </c>
      <c r="G173" t="str">
        <f t="shared" si="26"/>
        <v>FFFFFFF956</v>
      </c>
      <c r="H173">
        <f t="shared" si="27"/>
        <v>11641744</v>
      </c>
      <c r="I173">
        <f t="shared" si="28"/>
        <v>-54675594</v>
      </c>
      <c r="J173">
        <v>-3352</v>
      </c>
      <c r="K173">
        <f t="shared" si="29"/>
        <v>22874048</v>
      </c>
      <c r="L173">
        <f t="shared" si="30"/>
        <v>-107428248</v>
      </c>
      <c r="M173">
        <v>2347</v>
      </c>
      <c r="N173">
        <f t="shared" si="31"/>
        <v>-16015928</v>
      </c>
      <c r="O173">
        <f t="shared" si="32"/>
        <v>75219003</v>
      </c>
      <c r="P173">
        <v>6905</v>
      </c>
      <c r="Q173">
        <f t="shared" si="33"/>
        <v>-47119720</v>
      </c>
      <c r="R173">
        <f t="shared" si="34"/>
        <v>221298345</v>
      </c>
    </row>
    <row r="174" spans="1:18">
      <c r="A174">
        <f t="shared" si="35"/>
        <v>171</v>
      </c>
      <c r="B174">
        <v>17548</v>
      </c>
      <c r="C174">
        <v>27672</v>
      </c>
      <c r="D174" t="str">
        <f t="shared" si="24"/>
        <v>448C</v>
      </c>
      <c r="E174" t="str">
        <f t="shared" si="25"/>
        <v>6C18</v>
      </c>
      <c r="F174">
        <v>4387</v>
      </c>
      <c r="G174" t="str">
        <f t="shared" si="26"/>
        <v>1123</v>
      </c>
      <c r="H174">
        <f t="shared" si="27"/>
        <v>76983076</v>
      </c>
      <c r="I174">
        <f t="shared" si="28"/>
        <v>121397064</v>
      </c>
      <c r="J174">
        <v>2803</v>
      </c>
      <c r="K174">
        <f t="shared" si="29"/>
        <v>49187044</v>
      </c>
      <c r="L174">
        <f t="shared" si="30"/>
        <v>77564616</v>
      </c>
      <c r="M174">
        <v>7168</v>
      </c>
      <c r="N174">
        <f t="shared" si="31"/>
        <v>125784064</v>
      </c>
      <c r="O174">
        <f t="shared" si="32"/>
        <v>198352896</v>
      </c>
      <c r="P174">
        <v>8010</v>
      </c>
      <c r="Q174">
        <f t="shared" si="33"/>
        <v>140559480</v>
      </c>
      <c r="R174">
        <f t="shared" si="34"/>
        <v>221652720</v>
      </c>
    </row>
    <row r="175" spans="1:18">
      <c r="A175">
        <f t="shared" si="35"/>
        <v>172</v>
      </c>
      <c r="B175">
        <v>31899</v>
      </c>
      <c r="C175">
        <v>7494</v>
      </c>
      <c r="D175" t="str">
        <f t="shared" si="24"/>
        <v>7C9B</v>
      </c>
      <c r="E175" t="str">
        <f t="shared" si="25"/>
        <v>1D46</v>
      </c>
      <c r="F175">
        <v>7975</v>
      </c>
      <c r="G175" t="str">
        <f t="shared" si="26"/>
        <v>1F27</v>
      </c>
      <c r="H175">
        <f t="shared" si="27"/>
        <v>254394525</v>
      </c>
      <c r="I175">
        <f t="shared" si="28"/>
        <v>59764650</v>
      </c>
      <c r="J175">
        <v>7373</v>
      </c>
      <c r="K175">
        <f t="shared" si="29"/>
        <v>235191327</v>
      </c>
      <c r="L175">
        <f t="shared" si="30"/>
        <v>55253262</v>
      </c>
      <c r="M175">
        <v>7896</v>
      </c>
      <c r="N175">
        <f t="shared" si="31"/>
        <v>251874504</v>
      </c>
      <c r="O175">
        <f t="shared" si="32"/>
        <v>59172624</v>
      </c>
      <c r="P175">
        <v>4494</v>
      </c>
      <c r="Q175">
        <f t="shared" si="33"/>
        <v>143354106</v>
      </c>
      <c r="R175">
        <f t="shared" si="34"/>
        <v>33678036</v>
      </c>
    </row>
    <row r="176" spans="1:18">
      <c r="A176">
        <f t="shared" si="35"/>
        <v>173</v>
      </c>
      <c r="B176">
        <v>28034</v>
      </c>
      <c r="C176">
        <v>-16964</v>
      </c>
      <c r="D176" t="str">
        <f t="shared" si="24"/>
        <v>6D82</v>
      </c>
      <c r="E176" t="str">
        <f t="shared" si="25"/>
        <v>FFFFFFBDBC</v>
      </c>
      <c r="F176">
        <v>7009</v>
      </c>
      <c r="G176" t="str">
        <f t="shared" si="26"/>
        <v>1B61</v>
      </c>
      <c r="H176">
        <f t="shared" si="27"/>
        <v>196490306</v>
      </c>
      <c r="I176">
        <f t="shared" si="28"/>
        <v>-118900676</v>
      </c>
      <c r="J176">
        <v>7776</v>
      </c>
      <c r="K176">
        <f t="shared" si="29"/>
        <v>217992384</v>
      </c>
      <c r="L176">
        <f t="shared" si="30"/>
        <v>-131912064</v>
      </c>
      <c r="M176">
        <v>4115</v>
      </c>
      <c r="N176">
        <f t="shared" si="31"/>
        <v>115359910</v>
      </c>
      <c r="O176">
        <f t="shared" si="32"/>
        <v>-69806860</v>
      </c>
      <c r="P176">
        <v>-1615</v>
      </c>
      <c r="Q176">
        <f t="shared" si="33"/>
        <v>-45274910</v>
      </c>
      <c r="R176">
        <f t="shared" si="34"/>
        <v>27396860</v>
      </c>
    </row>
    <row r="177" spans="1:18">
      <c r="A177">
        <f t="shared" si="35"/>
        <v>174</v>
      </c>
      <c r="B177">
        <v>8160</v>
      </c>
      <c r="C177">
        <v>-31735</v>
      </c>
      <c r="D177" t="str">
        <f t="shared" si="24"/>
        <v>1FE0</v>
      </c>
      <c r="E177" t="str">
        <f t="shared" si="25"/>
        <v>FFFFFF8409</v>
      </c>
      <c r="F177">
        <v>2040</v>
      </c>
      <c r="G177" t="str">
        <f t="shared" si="26"/>
        <v>7F8</v>
      </c>
      <c r="H177">
        <f t="shared" si="27"/>
        <v>16646400</v>
      </c>
      <c r="I177">
        <f t="shared" si="28"/>
        <v>-64739400</v>
      </c>
      <c r="J177">
        <v>3784</v>
      </c>
      <c r="K177">
        <f t="shared" si="29"/>
        <v>30877440</v>
      </c>
      <c r="L177">
        <f t="shared" si="30"/>
        <v>-120085240</v>
      </c>
      <c r="M177">
        <v>-2016</v>
      </c>
      <c r="N177">
        <f t="shared" si="31"/>
        <v>-16450560</v>
      </c>
      <c r="O177">
        <f t="shared" si="32"/>
        <v>63977760</v>
      </c>
      <c r="P177">
        <v>-6792</v>
      </c>
      <c r="Q177">
        <f t="shared" si="33"/>
        <v>-55422720</v>
      </c>
      <c r="R177">
        <f t="shared" si="34"/>
        <v>215544120</v>
      </c>
    </row>
    <row r="178" spans="1:18">
      <c r="A178">
        <f t="shared" si="35"/>
        <v>175</v>
      </c>
      <c r="B178">
        <v>-16373</v>
      </c>
      <c r="C178">
        <v>-28383</v>
      </c>
      <c r="D178" t="str">
        <f t="shared" si="24"/>
        <v>FFFFFFC00B</v>
      </c>
      <c r="E178" t="str">
        <f t="shared" si="25"/>
        <v>FFFFFF9121</v>
      </c>
      <c r="F178">
        <v>-4093</v>
      </c>
      <c r="G178" t="str">
        <f t="shared" si="26"/>
        <v>FFFFFFF003</v>
      </c>
      <c r="H178">
        <f t="shared" si="27"/>
        <v>67014689</v>
      </c>
      <c r="I178">
        <f t="shared" si="28"/>
        <v>116171619</v>
      </c>
      <c r="J178">
        <v>-2347</v>
      </c>
      <c r="K178">
        <f t="shared" si="29"/>
        <v>38427431</v>
      </c>
      <c r="L178">
        <f t="shared" si="30"/>
        <v>66614901</v>
      </c>
      <c r="M178">
        <v>-6996</v>
      </c>
      <c r="N178">
        <f t="shared" si="31"/>
        <v>114545508</v>
      </c>
      <c r="O178">
        <f t="shared" si="32"/>
        <v>198567468</v>
      </c>
      <c r="P178">
        <v>-8051</v>
      </c>
      <c r="Q178">
        <f t="shared" si="33"/>
        <v>131819023</v>
      </c>
      <c r="R178">
        <f t="shared" si="34"/>
        <v>228511533</v>
      </c>
    </row>
    <row r="179" spans="1:18">
      <c r="A179">
        <f t="shared" si="35"/>
        <v>176</v>
      </c>
      <c r="B179">
        <v>-31557</v>
      </c>
      <c r="C179">
        <v>-8823</v>
      </c>
      <c r="D179" t="str">
        <f t="shared" si="24"/>
        <v>FFFFFF84BB</v>
      </c>
      <c r="E179" t="str">
        <f t="shared" si="25"/>
        <v>FFFFFFDD89</v>
      </c>
      <c r="F179">
        <v>-7889</v>
      </c>
      <c r="G179" t="str">
        <f t="shared" si="26"/>
        <v>FFFFFFE12F</v>
      </c>
      <c r="H179">
        <f t="shared" si="27"/>
        <v>248953173</v>
      </c>
      <c r="I179">
        <f t="shared" si="28"/>
        <v>69604647</v>
      </c>
      <c r="J179">
        <v>-7152</v>
      </c>
      <c r="K179">
        <f t="shared" si="29"/>
        <v>225695664</v>
      </c>
      <c r="L179">
        <f t="shared" si="30"/>
        <v>63102096</v>
      </c>
      <c r="M179">
        <v>-7980</v>
      </c>
      <c r="N179">
        <f t="shared" si="31"/>
        <v>251824860</v>
      </c>
      <c r="O179">
        <f t="shared" si="32"/>
        <v>70407540</v>
      </c>
      <c r="P179">
        <v>-4665</v>
      </c>
      <c r="Q179">
        <f t="shared" si="33"/>
        <v>147213405</v>
      </c>
      <c r="R179">
        <f t="shared" si="34"/>
        <v>41159295</v>
      </c>
    </row>
    <row r="180" spans="1:18">
      <c r="A180">
        <f t="shared" si="35"/>
        <v>177</v>
      </c>
      <c r="B180">
        <v>-28720</v>
      </c>
      <c r="C180">
        <v>15775</v>
      </c>
      <c r="D180" t="str">
        <f t="shared" si="24"/>
        <v>FFFFFF8FD0</v>
      </c>
      <c r="E180" t="str">
        <f t="shared" si="25"/>
        <v>3D9F</v>
      </c>
      <c r="F180">
        <v>-7180</v>
      </c>
      <c r="G180" t="str">
        <f t="shared" si="26"/>
        <v>FFFFFFE3F4</v>
      </c>
      <c r="H180">
        <f t="shared" si="27"/>
        <v>206209600</v>
      </c>
      <c r="I180">
        <f t="shared" si="28"/>
        <v>-113264500</v>
      </c>
      <c r="J180">
        <v>-7914</v>
      </c>
      <c r="K180">
        <f t="shared" si="29"/>
        <v>227290080</v>
      </c>
      <c r="L180">
        <f t="shared" si="30"/>
        <v>-124843350</v>
      </c>
      <c r="M180">
        <v>-4408</v>
      </c>
      <c r="N180">
        <f t="shared" si="31"/>
        <v>126597760</v>
      </c>
      <c r="O180">
        <f t="shared" si="32"/>
        <v>-69536200</v>
      </c>
      <c r="P180">
        <v>1412</v>
      </c>
      <c r="Q180">
        <f t="shared" si="33"/>
        <v>-40552640</v>
      </c>
      <c r="R180">
        <f t="shared" si="34"/>
        <v>22274300</v>
      </c>
    </row>
    <row r="181" spans="1:18">
      <c r="A181">
        <f t="shared" si="35"/>
        <v>178</v>
      </c>
      <c r="B181">
        <v>-9482</v>
      </c>
      <c r="C181">
        <v>31365</v>
      </c>
      <c r="D181" t="str">
        <f t="shared" si="24"/>
        <v>FFFFFFDAF6</v>
      </c>
      <c r="E181" t="str">
        <f t="shared" si="25"/>
        <v>7A85</v>
      </c>
      <c r="F181">
        <v>-2371</v>
      </c>
      <c r="G181" t="str">
        <f t="shared" si="26"/>
        <v>FFFFFFF6BD</v>
      </c>
      <c r="H181">
        <f t="shared" si="27"/>
        <v>22481822</v>
      </c>
      <c r="I181">
        <f t="shared" si="28"/>
        <v>-74366415</v>
      </c>
      <c r="J181">
        <v>-4204</v>
      </c>
      <c r="K181">
        <f t="shared" si="29"/>
        <v>39862328</v>
      </c>
      <c r="L181">
        <f t="shared" si="30"/>
        <v>-131858460</v>
      </c>
      <c r="M181">
        <v>1682</v>
      </c>
      <c r="N181">
        <f t="shared" si="31"/>
        <v>-15948724</v>
      </c>
      <c r="O181">
        <f t="shared" si="32"/>
        <v>52755930</v>
      </c>
      <c r="P181">
        <v>6675</v>
      </c>
      <c r="Q181">
        <f t="shared" si="33"/>
        <v>-63292350</v>
      </c>
      <c r="R181">
        <f t="shared" si="34"/>
        <v>209361375</v>
      </c>
    </row>
    <row r="182" spans="1:18">
      <c r="A182">
        <f t="shared" si="35"/>
        <v>179</v>
      </c>
      <c r="B182">
        <v>15170</v>
      </c>
      <c r="C182">
        <v>29044</v>
      </c>
      <c r="D182" t="str">
        <f t="shared" si="24"/>
        <v>3B42</v>
      </c>
      <c r="E182" t="str">
        <f t="shared" si="25"/>
        <v>7174</v>
      </c>
      <c r="F182">
        <v>3793</v>
      </c>
      <c r="G182" t="str">
        <f t="shared" si="26"/>
        <v>ED1</v>
      </c>
      <c r="H182">
        <f t="shared" si="27"/>
        <v>57539810</v>
      </c>
      <c r="I182">
        <f t="shared" si="28"/>
        <v>110163892</v>
      </c>
      <c r="J182">
        <v>1883</v>
      </c>
      <c r="K182">
        <f t="shared" si="29"/>
        <v>28565110</v>
      </c>
      <c r="L182">
        <f t="shared" si="30"/>
        <v>54689852</v>
      </c>
      <c r="M182">
        <v>6811</v>
      </c>
      <c r="N182">
        <f t="shared" si="31"/>
        <v>103322870</v>
      </c>
      <c r="O182">
        <f t="shared" si="32"/>
        <v>197818684</v>
      </c>
      <c r="P182">
        <v>8086</v>
      </c>
      <c r="Q182">
        <f t="shared" si="33"/>
        <v>122664620</v>
      </c>
      <c r="R182">
        <f t="shared" si="34"/>
        <v>234849784</v>
      </c>
    </row>
    <row r="183" spans="1:18">
      <c r="A183">
        <f t="shared" si="35"/>
        <v>180</v>
      </c>
      <c r="B183">
        <v>31159</v>
      </c>
      <c r="C183">
        <v>10137</v>
      </c>
      <c r="D183" t="str">
        <f t="shared" si="24"/>
        <v>79B7</v>
      </c>
      <c r="E183" t="str">
        <f t="shared" si="25"/>
        <v>2799</v>
      </c>
      <c r="F183">
        <v>7790</v>
      </c>
      <c r="G183" t="str">
        <f t="shared" si="26"/>
        <v>1E6E</v>
      </c>
      <c r="H183">
        <f t="shared" si="27"/>
        <v>242728610</v>
      </c>
      <c r="I183">
        <f t="shared" si="28"/>
        <v>78967230</v>
      </c>
      <c r="J183">
        <v>6905</v>
      </c>
      <c r="K183">
        <f t="shared" si="29"/>
        <v>215152895</v>
      </c>
      <c r="L183">
        <f t="shared" si="30"/>
        <v>69995985</v>
      </c>
      <c r="M183">
        <v>8051</v>
      </c>
      <c r="N183">
        <f t="shared" si="31"/>
        <v>250861109</v>
      </c>
      <c r="O183">
        <f t="shared" si="32"/>
        <v>81612987</v>
      </c>
      <c r="P183">
        <v>4833</v>
      </c>
      <c r="Q183">
        <f t="shared" si="33"/>
        <v>150591447</v>
      </c>
      <c r="R183">
        <f t="shared" si="34"/>
        <v>48992121</v>
      </c>
    </row>
    <row r="184" spans="1:18">
      <c r="A184">
        <f t="shared" si="35"/>
        <v>181</v>
      </c>
      <c r="B184">
        <v>29355</v>
      </c>
      <c r="C184">
        <v>-14558</v>
      </c>
      <c r="D184" t="str">
        <f t="shared" si="24"/>
        <v>72AB</v>
      </c>
      <c r="E184" t="str">
        <f t="shared" si="25"/>
        <v>FFFFFFC722</v>
      </c>
      <c r="F184">
        <v>7339</v>
      </c>
      <c r="G184" t="str">
        <f t="shared" si="26"/>
        <v>1CAB</v>
      </c>
      <c r="H184">
        <f t="shared" si="27"/>
        <v>215436345</v>
      </c>
      <c r="I184">
        <f t="shared" si="28"/>
        <v>-106841162</v>
      </c>
      <c r="J184">
        <v>8024</v>
      </c>
      <c r="K184">
        <f t="shared" si="29"/>
        <v>235544520</v>
      </c>
      <c r="L184">
        <f t="shared" si="30"/>
        <v>-116813392</v>
      </c>
      <c r="M184">
        <v>4693</v>
      </c>
      <c r="N184">
        <f t="shared" si="31"/>
        <v>137763015</v>
      </c>
      <c r="O184">
        <f t="shared" si="32"/>
        <v>-68320694</v>
      </c>
      <c r="P184">
        <v>-1209</v>
      </c>
      <c r="Q184">
        <f t="shared" si="33"/>
        <v>-35490195</v>
      </c>
      <c r="R184">
        <f t="shared" si="34"/>
        <v>17600622</v>
      </c>
    </row>
    <row r="185" spans="1:18">
      <c r="A185">
        <f t="shared" si="35"/>
        <v>182</v>
      </c>
      <c r="B185">
        <v>10788</v>
      </c>
      <c r="C185">
        <v>-30940</v>
      </c>
      <c r="D185" t="str">
        <f t="shared" si="24"/>
        <v>2A24</v>
      </c>
      <c r="E185" t="str">
        <f t="shared" si="25"/>
        <v>FFFFFF8724</v>
      </c>
      <c r="F185">
        <v>2697</v>
      </c>
      <c r="G185" t="str">
        <f t="shared" si="26"/>
        <v>A89</v>
      </c>
      <c r="H185">
        <f t="shared" si="27"/>
        <v>29095236</v>
      </c>
      <c r="I185">
        <f t="shared" si="28"/>
        <v>-83445180</v>
      </c>
      <c r="J185">
        <v>4608</v>
      </c>
      <c r="K185">
        <f t="shared" si="29"/>
        <v>49711104</v>
      </c>
      <c r="L185">
        <f t="shared" si="30"/>
        <v>-142571520</v>
      </c>
      <c r="M185">
        <v>-1345</v>
      </c>
      <c r="N185">
        <f t="shared" si="31"/>
        <v>-14509860</v>
      </c>
      <c r="O185">
        <f t="shared" si="32"/>
        <v>41614300</v>
      </c>
      <c r="P185">
        <v>-6553</v>
      </c>
      <c r="Q185">
        <f t="shared" si="33"/>
        <v>-70693764</v>
      </c>
      <c r="R185">
        <f t="shared" si="34"/>
        <v>202749820</v>
      </c>
    </row>
    <row r="186" spans="1:18">
      <c r="A186">
        <f t="shared" si="35"/>
        <v>183</v>
      </c>
      <c r="B186">
        <v>-13940</v>
      </c>
      <c r="C186">
        <v>-29654</v>
      </c>
      <c r="D186" t="str">
        <f t="shared" si="24"/>
        <v>FFFFFFC98C</v>
      </c>
      <c r="E186" t="str">
        <f t="shared" si="25"/>
        <v>FFFFFF8C2A</v>
      </c>
      <c r="F186">
        <v>-3485</v>
      </c>
      <c r="G186" t="str">
        <f t="shared" si="26"/>
        <v>FFFFFFF263</v>
      </c>
      <c r="H186">
        <f t="shared" si="27"/>
        <v>48580900</v>
      </c>
      <c r="I186">
        <f t="shared" si="28"/>
        <v>103344190</v>
      </c>
      <c r="J186">
        <v>-1412</v>
      </c>
      <c r="K186">
        <f t="shared" si="29"/>
        <v>19683280</v>
      </c>
      <c r="L186">
        <f t="shared" si="30"/>
        <v>41871448</v>
      </c>
      <c r="M186">
        <v>-6615</v>
      </c>
      <c r="N186">
        <f t="shared" si="31"/>
        <v>92213100</v>
      </c>
      <c r="O186">
        <f t="shared" si="32"/>
        <v>196161210</v>
      </c>
      <c r="P186">
        <v>-8117</v>
      </c>
      <c r="Q186">
        <f t="shared" si="33"/>
        <v>113150980</v>
      </c>
      <c r="R186">
        <f t="shared" si="34"/>
        <v>240701518</v>
      </c>
    </row>
    <row r="187" spans="1:18">
      <c r="A187">
        <f t="shared" si="35"/>
        <v>184</v>
      </c>
      <c r="B187">
        <v>-30708</v>
      </c>
      <c r="C187">
        <v>-11433</v>
      </c>
      <c r="D187" t="str">
        <f t="shared" si="24"/>
        <v>FFFFFF880C</v>
      </c>
      <c r="E187" t="str">
        <f t="shared" si="25"/>
        <v>FFFFFFD357</v>
      </c>
      <c r="F187">
        <v>-7677</v>
      </c>
      <c r="G187" t="str">
        <f t="shared" si="26"/>
        <v>FFFFFFE203</v>
      </c>
      <c r="H187">
        <f t="shared" si="27"/>
        <v>235745316</v>
      </c>
      <c r="I187">
        <f t="shared" si="28"/>
        <v>87771141</v>
      </c>
      <c r="J187">
        <v>-6635</v>
      </c>
      <c r="K187">
        <f t="shared" si="29"/>
        <v>203747580</v>
      </c>
      <c r="L187">
        <f t="shared" si="30"/>
        <v>75857955</v>
      </c>
      <c r="M187">
        <v>-8107</v>
      </c>
      <c r="N187">
        <f t="shared" si="31"/>
        <v>248949756</v>
      </c>
      <c r="O187">
        <f t="shared" si="32"/>
        <v>92687331</v>
      </c>
      <c r="P187">
        <v>-4997</v>
      </c>
      <c r="Q187">
        <f t="shared" si="33"/>
        <v>153447876</v>
      </c>
      <c r="R187">
        <f t="shared" si="34"/>
        <v>57130701</v>
      </c>
    </row>
    <row r="188" spans="1:18">
      <c r="A188">
        <f t="shared" si="35"/>
        <v>185</v>
      </c>
      <c r="B188">
        <v>-29939</v>
      </c>
      <c r="C188">
        <v>13316</v>
      </c>
      <c r="D188" t="str">
        <f t="shared" si="24"/>
        <v>FFFFFF8B0D</v>
      </c>
      <c r="E188" t="str">
        <f t="shared" si="25"/>
        <v>3404</v>
      </c>
      <c r="F188">
        <v>-7485</v>
      </c>
      <c r="G188" t="str">
        <f t="shared" si="26"/>
        <v>FFFFFFE2C3</v>
      </c>
      <c r="H188">
        <f t="shared" si="27"/>
        <v>224093415</v>
      </c>
      <c r="I188">
        <f t="shared" si="28"/>
        <v>-99670260</v>
      </c>
      <c r="J188">
        <v>-8107</v>
      </c>
      <c r="K188">
        <f t="shared" si="29"/>
        <v>242715473</v>
      </c>
      <c r="L188">
        <f t="shared" si="30"/>
        <v>-107952812</v>
      </c>
      <c r="M188">
        <v>-4970</v>
      </c>
      <c r="N188">
        <f t="shared" si="31"/>
        <v>148796830</v>
      </c>
      <c r="O188">
        <f t="shared" si="32"/>
        <v>-66180520</v>
      </c>
      <c r="P188">
        <v>1005</v>
      </c>
      <c r="Q188">
        <f t="shared" si="33"/>
        <v>-30088695</v>
      </c>
      <c r="R188">
        <f t="shared" si="34"/>
        <v>13382580</v>
      </c>
    </row>
    <row r="189" spans="1:18">
      <c r="A189">
        <f t="shared" si="35"/>
        <v>186</v>
      </c>
      <c r="B189">
        <v>-12074</v>
      </c>
      <c r="C189">
        <v>30461</v>
      </c>
      <c r="D189" t="str">
        <f t="shared" si="24"/>
        <v>FFFFFFD0D6</v>
      </c>
      <c r="E189" t="str">
        <f t="shared" si="25"/>
        <v>76FD</v>
      </c>
      <c r="F189">
        <v>-3019</v>
      </c>
      <c r="G189" t="str">
        <f t="shared" si="26"/>
        <v>FFFFFFF435</v>
      </c>
      <c r="H189">
        <f t="shared" si="27"/>
        <v>36451406</v>
      </c>
      <c r="I189">
        <f t="shared" si="28"/>
        <v>-91961759</v>
      </c>
      <c r="J189">
        <v>-4997</v>
      </c>
      <c r="K189">
        <f t="shared" si="29"/>
        <v>60333778</v>
      </c>
      <c r="L189">
        <f t="shared" si="30"/>
        <v>-152213617</v>
      </c>
      <c r="M189">
        <v>1005</v>
      </c>
      <c r="N189">
        <f t="shared" si="31"/>
        <v>-12134370</v>
      </c>
      <c r="O189">
        <f t="shared" si="32"/>
        <v>30613305</v>
      </c>
      <c r="P189">
        <v>6428</v>
      </c>
      <c r="Q189">
        <f t="shared" si="33"/>
        <v>-77611672</v>
      </c>
      <c r="R189">
        <f t="shared" si="34"/>
        <v>195803308</v>
      </c>
    </row>
    <row r="190" spans="1:18">
      <c r="A190">
        <f t="shared" si="35"/>
        <v>187</v>
      </c>
      <c r="B190">
        <v>12686</v>
      </c>
      <c r="C190">
        <v>30212</v>
      </c>
      <c r="D190" t="str">
        <f t="shared" si="24"/>
        <v>318E</v>
      </c>
      <c r="E190" t="str">
        <f t="shared" si="25"/>
        <v>7604</v>
      </c>
      <c r="F190">
        <v>3172</v>
      </c>
      <c r="G190" t="str">
        <f t="shared" si="26"/>
        <v>C64</v>
      </c>
      <c r="H190">
        <f t="shared" si="27"/>
        <v>40239992</v>
      </c>
      <c r="I190">
        <f t="shared" si="28"/>
        <v>95832464</v>
      </c>
      <c r="J190">
        <v>937</v>
      </c>
      <c r="K190">
        <f t="shared" si="29"/>
        <v>11886782</v>
      </c>
      <c r="L190">
        <f t="shared" si="30"/>
        <v>28308644</v>
      </c>
      <c r="M190">
        <v>6406</v>
      </c>
      <c r="N190">
        <f t="shared" si="31"/>
        <v>81266516</v>
      </c>
      <c r="O190">
        <f t="shared" si="32"/>
        <v>193538072</v>
      </c>
      <c r="P190">
        <v>8142</v>
      </c>
      <c r="Q190">
        <f t="shared" si="33"/>
        <v>103289412</v>
      </c>
      <c r="R190">
        <f t="shared" si="34"/>
        <v>245986104</v>
      </c>
    </row>
    <row r="191" spans="1:18">
      <c r="A191">
        <f t="shared" si="35"/>
        <v>188</v>
      </c>
      <c r="B191">
        <v>30202</v>
      </c>
      <c r="C191">
        <v>12710</v>
      </c>
      <c r="D191" t="str">
        <f t="shared" si="24"/>
        <v>75FA</v>
      </c>
      <c r="E191" t="str">
        <f t="shared" si="25"/>
        <v>31A6</v>
      </c>
      <c r="F191">
        <v>7551</v>
      </c>
      <c r="G191" t="str">
        <f t="shared" si="26"/>
        <v>1D7F</v>
      </c>
      <c r="H191">
        <f t="shared" si="27"/>
        <v>228055302</v>
      </c>
      <c r="I191">
        <f t="shared" si="28"/>
        <v>95973210</v>
      </c>
      <c r="J191">
        <v>6342</v>
      </c>
      <c r="K191">
        <f t="shared" si="29"/>
        <v>191541084</v>
      </c>
      <c r="L191">
        <f t="shared" si="30"/>
        <v>80606820</v>
      </c>
      <c r="M191">
        <v>8149</v>
      </c>
      <c r="N191">
        <f t="shared" si="31"/>
        <v>246116098</v>
      </c>
      <c r="O191">
        <f t="shared" si="32"/>
        <v>103573790</v>
      </c>
      <c r="P191">
        <v>5159</v>
      </c>
      <c r="Q191">
        <f t="shared" si="33"/>
        <v>155812118</v>
      </c>
      <c r="R191">
        <f t="shared" si="34"/>
        <v>65570890</v>
      </c>
    </row>
    <row r="192" spans="1:18">
      <c r="A192">
        <f t="shared" si="35"/>
        <v>189</v>
      </c>
      <c r="B192">
        <v>30471</v>
      </c>
      <c r="C192">
        <v>-12050</v>
      </c>
      <c r="D192" t="str">
        <f t="shared" si="24"/>
        <v>7707</v>
      </c>
      <c r="E192" t="str">
        <f t="shared" si="25"/>
        <v>FFFFFFD0EE</v>
      </c>
      <c r="F192">
        <v>7618</v>
      </c>
      <c r="G192" t="str">
        <f t="shared" si="26"/>
        <v>1DC2</v>
      </c>
      <c r="H192">
        <f t="shared" si="27"/>
        <v>232128078</v>
      </c>
      <c r="I192">
        <f t="shared" si="28"/>
        <v>-91796900</v>
      </c>
      <c r="J192">
        <v>8162</v>
      </c>
      <c r="K192">
        <f t="shared" si="29"/>
        <v>248704302</v>
      </c>
      <c r="L192">
        <f t="shared" si="30"/>
        <v>-98352100</v>
      </c>
      <c r="M192">
        <v>5239</v>
      </c>
      <c r="N192">
        <f t="shared" si="31"/>
        <v>159637569</v>
      </c>
      <c r="O192">
        <f t="shared" si="32"/>
        <v>-63129950</v>
      </c>
      <c r="P192">
        <v>-801</v>
      </c>
      <c r="Q192">
        <f t="shared" si="33"/>
        <v>-24407271</v>
      </c>
      <c r="R192">
        <f t="shared" si="34"/>
        <v>9652050</v>
      </c>
    </row>
    <row r="193" spans="1:18">
      <c r="A193">
        <f t="shared" si="35"/>
        <v>190</v>
      </c>
      <c r="B193">
        <v>13339</v>
      </c>
      <c r="C193">
        <v>-29929</v>
      </c>
      <c r="D193" t="str">
        <f t="shared" si="24"/>
        <v>341B</v>
      </c>
      <c r="E193" t="str">
        <f t="shared" si="25"/>
        <v>FFFFFF8B17</v>
      </c>
      <c r="F193">
        <v>3335</v>
      </c>
      <c r="G193" t="str">
        <f t="shared" si="26"/>
        <v>D07</v>
      </c>
      <c r="H193">
        <f t="shared" si="27"/>
        <v>44485565</v>
      </c>
      <c r="I193">
        <f t="shared" si="28"/>
        <v>-99813215</v>
      </c>
      <c r="J193">
        <v>5369</v>
      </c>
      <c r="K193">
        <f t="shared" si="29"/>
        <v>71617091</v>
      </c>
      <c r="L193">
        <f t="shared" si="30"/>
        <v>-160688801</v>
      </c>
      <c r="M193">
        <v>-664</v>
      </c>
      <c r="N193">
        <f t="shared" si="31"/>
        <v>-8857096</v>
      </c>
      <c r="O193">
        <f t="shared" si="32"/>
        <v>19872856</v>
      </c>
      <c r="P193">
        <v>-6298</v>
      </c>
      <c r="Q193">
        <f t="shared" si="33"/>
        <v>-84009022</v>
      </c>
      <c r="R193">
        <f t="shared" si="34"/>
        <v>188492842</v>
      </c>
    </row>
    <row r="194" spans="1:18">
      <c r="A194">
        <f t="shared" si="35"/>
        <v>191</v>
      </c>
      <c r="B194">
        <v>-11409</v>
      </c>
      <c r="C194">
        <v>-30716</v>
      </c>
      <c r="D194" t="str">
        <f t="shared" si="24"/>
        <v>FFFFFFD36F</v>
      </c>
      <c r="E194" t="str">
        <f t="shared" si="25"/>
        <v>FFFFFF8804</v>
      </c>
      <c r="F194">
        <v>-2852</v>
      </c>
      <c r="G194" t="str">
        <f t="shared" si="26"/>
        <v>FFFFFFF4DC</v>
      </c>
      <c r="H194">
        <f t="shared" si="27"/>
        <v>32538468</v>
      </c>
      <c r="I194">
        <f t="shared" si="28"/>
        <v>87602032</v>
      </c>
      <c r="J194">
        <v>-458</v>
      </c>
      <c r="K194">
        <f t="shared" si="29"/>
        <v>5225322</v>
      </c>
      <c r="L194">
        <f t="shared" si="30"/>
        <v>14067928</v>
      </c>
      <c r="M194">
        <v>-6187</v>
      </c>
      <c r="N194">
        <f t="shared" si="31"/>
        <v>70587483</v>
      </c>
      <c r="O194">
        <f t="shared" si="32"/>
        <v>190039892</v>
      </c>
      <c r="P194">
        <v>-8162</v>
      </c>
      <c r="Q194">
        <f t="shared" si="33"/>
        <v>93120258</v>
      </c>
      <c r="R194">
        <f t="shared" si="34"/>
        <v>250703992</v>
      </c>
    </row>
    <row r="195" spans="1:18">
      <c r="A195">
        <f t="shared" si="35"/>
        <v>192</v>
      </c>
      <c r="B195">
        <v>-29643</v>
      </c>
      <c r="C195">
        <v>-13963</v>
      </c>
      <c r="D195" t="str">
        <f t="shared" ref="D195:D258" si="36">DEC2HEX(B195)</f>
        <v>FFFFFF8C35</v>
      </c>
      <c r="E195" t="str">
        <f t="shared" ref="E195:E258" si="37">DEC2HEX(C195)</f>
        <v>FFFFFFC975</v>
      </c>
      <c r="F195">
        <v>-7411</v>
      </c>
      <c r="G195" t="str">
        <f t="shared" ref="G195:G258" si="38">DEC2HEX(F195)</f>
        <v>FFFFFFE30D</v>
      </c>
      <c r="H195">
        <f t="shared" ref="H195:H258" si="39">F195*B195</f>
        <v>219684273</v>
      </c>
      <c r="I195">
        <f t="shared" ref="I195:I258" si="40">F195*C195</f>
        <v>103479793</v>
      </c>
      <c r="J195">
        <v>-6027</v>
      </c>
      <c r="K195">
        <f t="shared" ref="K195:K258" si="41">J195*B195</f>
        <v>178658361</v>
      </c>
      <c r="L195">
        <f t="shared" ref="L195:L258" si="42">J195*C195</f>
        <v>84155001</v>
      </c>
      <c r="M195">
        <v>-8177</v>
      </c>
      <c r="N195">
        <f t="shared" ref="N195:N258" si="43">M195*B195</f>
        <v>242390811</v>
      </c>
      <c r="O195">
        <f t="shared" ref="O195:O258" si="44">M195*C195</f>
        <v>114175451</v>
      </c>
      <c r="P195">
        <v>-5317</v>
      </c>
      <c r="Q195">
        <f t="shared" ref="Q195:Q258" si="45">P195*B195</f>
        <v>157611831</v>
      </c>
      <c r="R195">
        <f t="shared" ref="R195:R258" si="46">P195*C195</f>
        <v>74241271</v>
      </c>
    </row>
    <row r="196" spans="1:18">
      <c r="A196">
        <f t="shared" si="35"/>
        <v>193</v>
      </c>
      <c r="B196">
        <v>-30949</v>
      </c>
      <c r="C196">
        <v>10763</v>
      </c>
      <c r="D196" t="str">
        <f t="shared" si="36"/>
        <v>FFFFFF871B</v>
      </c>
      <c r="E196" t="str">
        <f t="shared" si="37"/>
        <v>2A0B</v>
      </c>
      <c r="F196">
        <v>-7737</v>
      </c>
      <c r="G196" t="str">
        <f t="shared" si="38"/>
        <v>FFFFFFE1C7</v>
      </c>
      <c r="H196">
        <f t="shared" si="39"/>
        <v>239452413</v>
      </c>
      <c r="I196">
        <f t="shared" si="40"/>
        <v>-83273331</v>
      </c>
      <c r="J196">
        <v>-8189</v>
      </c>
      <c r="K196">
        <f t="shared" si="41"/>
        <v>253441361</v>
      </c>
      <c r="L196">
        <f t="shared" si="42"/>
        <v>-88138207</v>
      </c>
      <c r="M196">
        <v>-5498</v>
      </c>
      <c r="N196">
        <f t="shared" si="43"/>
        <v>170157602</v>
      </c>
      <c r="O196">
        <f t="shared" si="44"/>
        <v>-59174974</v>
      </c>
      <c r="P196">
        <v>595</v>
      </c>
      <c r="Q196">
        <f t="shared" si="45"/>
        <v>-18414655</v>
      </c>
      <c r="R196">
        <f t="shared" si="46"/>
        <v>6403985</v>
      </c>
    </row>
    <row r="197" spans="1:18">
      <c r="A197">
        <f t="shared" ref="A197:A260" si="47">A196+1</f>
        <v>194</v>
      </c>
      <c r="B197">
        <v>-14581</v>
      </c>
      <c r="C197">
        <v>29344</v>
      </c>
      <c r="D197" t="str">
        <f t="shared" si="36"/>
        <v>FFFFFFC70B</v>
      </c>
      <c r="E197" t="str">
        <f t="shared" si="37"/>
        <v>72A0</v>
      </c>
      <c r="F197">
        <v>-3645</v>
      </c>
      <c r="G197" t="str">
        <f t="shared" si="38"/>
        <v>FFFFFFF1C3</v>
      </c>
      <c r="H197">
        <f t="shared" si="39"/>
        <v>53147745</v>
      </c>
      <c r="I197">
        <f t="shared" si="40"/>
        <v>-106958880</v>
      </c>
      <c r="J197">
        <v>-5723</v>
      </c>
      <c r="K197">
        <f t="shared" si="41"/>
        <v>83447063</v>
      </c>
      <c r="L197">
        <f t="shared" si="42"/>
        <v>-167935712</v>
      </c>
      <c r="M197">
        <v>321</v>
      </c>
      <c r="N197">
        <f t="shared" si="43"/>
        <v>-4680501</v>
      </c>
      <c r="O197">
        <f t="shared" si="44"/>
        <v>9419424</v>
      </c>
      <c r="P197">
        <v>6165</v>
      </c>
      <c r="Q197">
        <f t="shared" si="45"/>
        <v>-89891865</v>
      </c>
      <c r="R197">
        <f t="shared" si="46"/>
        <v>180905760</v>
      </c>
    </row>
    <row r="198" spans="1:18">
      <c r="A198">
        <f t="shared" si="47"/>
        <v>195</v>
      </c>
      <c r="B198">
        <v>10113</v>
      </c>
      <c r="C198">
        <v>31167</v>
      </c>
      <c r="D198" t="str">
        <f t="shared" si="36"/>
        <v>2781</v>
      </c>
      <c r="E198" t="str">
        <f t="shared" si="37"/>
        <v>79BF</v>
      </c>
      <c r="F198">
        <v>2528</v>
      </c>
      <c r="G198" t="str">
        <f t="shared" si="38"/>
        <v>9E0</v>
      </c>
      <c r="H198">
        <f t="shared" si="39"/>
        <v>25565664</v>
      </c>
      <c r="I198">
        <f t="shared" si="40"/>
        <v>78790176</v>
      </c>
      <c r="J198">
        <v>-22</v>
      </c>
      <c r="K198">
        <f t="shared" si="41"/>
        <v>-222486</v>
      </c>
      <c r="L198">
        <f t="shared" si="42"/>
        <v>-685674</v>
      </c>
      <c r="M198">
        <v>5957</v>
      </c>
      <c r="N198">
        <f t="shared" si="43"/>
        <v>60243141</v>
      </c>
      <c r="O198">
        <f t="shared" si="44"/>
        <v>185661819</v>
      </c>
      <c r="P198">
        <v>8177</v>
      </c>
      <c r="Q198">
        <f t="shared" si="45"/>
        <v>82694001</v>
      </c>
      <c r="R198">
        <f t="shared" si="46"/>
        <v>254852559</v>
      </c>
    </row>
    <row r="199" spans="1:18">
      <c r="A199">
        <f t="shared" si="47"/>
        <v>196</v>
      </c>
      <c r="B199">
        <v>29032</v>
      </c>
      <c r="C199">
        <v>15193</v>
      </c>
      <c r="D199" t="str">
        <f t="shared" si="36"/>
        <v>7168</v>
      </c>
      <c r="E199" t="str">
        <f t="shared" si="37"/>
        <v>3B59</v>
      </c>
      <c r="F199">
        <v>7258</v>
      </c>
      <c r="G199" t="str">
        <f t="shared" si="38"/>
        <v>1C5A</v>
      </c>
      <c r="H199">
        <f t="shared" si="39"/>
        <v>210714256</v>
      </c>
      <c r="I199">
        <f t="shared" si="40"/>
        <v>110270794</v>
      </c>
      <c r="J199">
        <v>5691</v>
      </c>
      <c r="K199">
        <f t="shared" si="41"/>
        <v>165221112</v>
      </c>
      <c r="L199">
        <f t="shared" si="42"/>
        <v>86463363</v>
      </c>
      <c r="M199">
        <v>8191</v>
      </c>
      <c r="N199">
        <f t="shared" si="43"/>
        <v>237801112</v>
      </c>
      <c r="O199">
        <f t="shared" si="44"/>
        <v>124445863</v>
      </c>
      <c r="P199">
        <v>5472</v>
      </c>
      <c r="Q199">
        <f t="shared" si="45"/>
        <v>158863104</v>
      </c>
      <c r="R199">
        <f t="shared" si="46"/>
        <v>83136096</v>
      </c>
    </row>
    <row r="200" spans="1:18">
      <c r="A200">
        <f t="shared" si="47"/>
        <v>197</v>
      </c>
      <c r="B200">
        <v>31372</v>
      </c>
      <c r="C200">
        <v>-9458</v>
      </c>
      <c r="D200" t="str">
        <f t="shared" si="36"/>
        <v>7A8C</v>
      </c>
      <c r="E200" t="str">
        <f t="shared" si="37"/>
        <v>FFFFFFDB0E</v>
      </c>
      <c r="F200">
        <v>7843</v>
      </c>
      <c r="G200" t="str">
        <f t="shared" si="38"/>
        <v>1EA3</v>
      </c>
      <c r="H200">
        <f t="shared" si="39"/>
        <v>246050596</v>
      </c>
      <c r="I200">
        <f t="shared" si="40"/>
        <v>-74179094</v>
      </c>
      <c r="J200">
        <v>8188</v>
      </c>
      <c r="K200">
        <f t="shared" si="41"/>
        <v>256873936</v>
      </c>
      <c r="L200">
        <f t="shared" si="42"/>
        <v>-77442104</v>
      </c>
      <c r="M200">
        <v>5747</v>
      </c>
      <c r="N200">
        <f t="shared" si="43"/>
        <v>180294884</v>
      </c>
      <c r="O200">
        <f t="shared" si="44"/>
        <v>-54355126</v>
      </c>
      <c r="P200">
        <v>-390</v>
      </c>
      <c r="Q200">
        <f t="shared" si="45"/>
        <v>-12235080</v>
      </c>
      <c r="R200">
        <f t="shared" si="46"/>
        <v>3688620</v>
      </c>
    </row>
    <row r="201" spans="1:18">
      <c r="A201">
        <f t="shared" si="47"/>
        <v>198</v>
      </c>
      <c r="B201">
        <v>15798</v>
      </c>
      <c r="C201">
        <v>-28707</v>
      </c>
      <c r="D201" t="str">
        <f t="shared" si="36"/>
        <v>3DB6</v>
      </c>
      <c r="E201" t="str">
        <f t="shared" si="37"/>
        <v>FFFFFF8FDD</v>
      </c>
      <c r="F201">
        <v>3950</v>
      </c>
      <c r="G201" t="str">
        <f t="shared" si="38"/>
        <v>F6E</v>
      </c>
      <c r="H201">
        <f t="shared" si="39"/>
        <v>62402100</v>
      </c>
      <c r="I201">
        <f t="shared" si="40"/>
        <v>-113392650</v>
      </c>
      <c r="J201">
        <v>6056</v>
      </c>
      <c r="K201">
        <f t="shared" si="41"/>
        <v>95672688</v>
      </c>
      <c r="L201">
        <f t="shared" si="42"/>
        <v>-173849592</v>
      </c>
      <c r="M201">
        <v>22</v>
      </c>
      <c r="N201">
        <f t="shared" si="43"/>
        <v>347556</v>
      </c>
      <c r="O201">
        <f t="shared" si="44"/>
        <v>-631554</v>
      </c>
      <c r="P201">
        <v>-6027</v>
      </c>
      <c r="Q201">
        <f t="shared" si="45"/>
        <v>-95214546</v>
      </c>
      <c r="R201">
        <f t="shared" si="46"/>
        <v>173017089</v>
      </c>
    </row>
    <row r="202" spans="1:18">
      <c r="A202">
        <f t="shared" si="47"/>
        <v>199</v>
      </c>
      <c r="B202">
        <v>-8799</v>
      </c>
      <c r="C202">
        <v>-31564</v>
      </c>
      <c r="D202" t="str">
        <f t="shared" si="36"/>
        <v>FFFFFFDDA1</v>
      </c>
      <c r="E202" t="str">
        <f t="shared" si="37"/>
        <v>FFFFFF84B4</v>
      </c>
      <c r="F202">
        <v>-2200</v>
      </c>
      <c r="G202" t="str">
        <f t="shared" si="38"/>
        <v>FFFFFFF768</v>
      </c>
      <c r="H202">
        <f t="shared" si="39"/>
        <v>19357800</v>
      </c>
      <c r="I202">
        <f t="shared" si="40"/>
        <v>69440800</v>
      </c>
      <c r="J202">
        <v>502</v>
      </c>
      <c r="K202">
        <f t="shared" si="41"/>
        <v>-4417098</v>
      </c>
      <c r="L202">
        <f t="shared" si="42"/>
        <v>-15845128</v>
      </c>
      <c r="M202">
        <v>-5716</v>
      </c>
      <c r="N202">
        <f t="shared" si="43"/>
        <v>50295084</v>
      </c>
      <c r="O202">
        <f t="shared" si="44"/>
        <v>180419824</v>
      </c>
      <c r="P202">
        <v>-8187</v>
      </c>
      <c r="Q202">
        <f t="shared" si="45"/>
        <v>72037413</v>
      </c>
      <c r="R202">
        <f t="shared" si="46"/>
        <v>258414468</v>
      </c>
    </row>
    <row r="203" spans="1:18">
      <c r="A203">
        <f t="shared" si="47"/>
        <v>200</v>
      </c>
      <c r="B203">
        <v>-28370</v>
      </c>
      <c r="C203">
        <v>-16395</v>
      </c>
      <c r="D203" t="str">
        <f t="shared" si="36"/>
        <v>FFFFFF912E</v>
      </c>
      <c r="E203" t="str">
        <f t="shared" si="37"/>
        <v>FFFFFFBFF5</v>
      </c>
      <c r="F203">
        <v>-7093</v>
      </c>
      <c r="G203" t="str">
        <f t="shared" si="38"/>
        <v>FFFFFFE44B</v>
      </c>
      <c r="H203">
        <f t="shared" si="39"/>
        <v>201228410</v>
      </c>
      <c r="I203">
        <f t="shared" si="40"/>
        <v>116289735</v>
      </c>
      <c r="J203">
        <v>-5336</v>
      </c>
      <c r="K203">
        <f t="shared" si="41"/>
        <v>151382320</v>
      </c>
      <c r="L203">
        <f t="shared" si="42"/>
        <v>87483720</v>
      </c>
      <c r="M203">
        <v>-8190</v>
      </c>
      <c r="N203">
        <f t="shared" si="43"/>
        <v>232350300</v>
      </c>
      <c r="O203">
        <f t="shared" si="44"/>
        <v>134275050</v>
      </c>
      <c r="P203">
        <v>-5624</v>
      </c>
      <c r="Q203">
        <f t="shared" si="45"/>
        <v>159552880</v>
      </c>
      <c r="R203">
        <f t="shared" si="46"/>
        <v>92205480</v>
      </c>
    </row>
    <row r="204" spans="1:18">
      <c r="A204">
        <f t="shared" si="47"/>
        <v>201</v>
      </c>
      <c r="B204">
        <v>-31741</v>
      </c>
      <c r="C204">
        <v>8135</v>
      </c>
      <c r="D204" t="str">
        <f t="shared" si="36"/>
        <v>FFFFFF8403</v>
      </c>
      <c r="E204" t="str">
        <f t="shared" si="37"/>
        <v>1FC7</v>
      </c>
      <c r="F204">
        <v>-7935</v>
      </c>
      <c r="G204" t="str">
        <f t="shared" si="38"/>
        <v>FFFFFFE101</v>
      </c>
      <c r="H204">
        <f t="shared" si="39"/>
        <v>251864835</v>
      </c>
      <c r="I204">
        <f t="shared" si="40"/>
        <v>-64551225</v>
      </c>
      <c r="J204">
        <v>-8158</v>
      </c>
      <c r="K204">
        <f t="shared" si="41"/>
        <v>258943078</v>
      </c>
      <c r="L204">
        <f t="shared" si="42"/>
        <v>-66365330</v>
      </c>
      <c r="M204">
        <v>-5987</v>
      </c>
      <c r="N204">
        <f t="shared" si="43"/>
        <v>190033367</v>
      </c>
      <c r="O204">
        <f t="shared" si="44"/>
        <v>-48704245</v>
      </c>
      <c r="P204">
        <v>184</v>
      </c>
      <c r="Q204">
        <f t="shared" si="45"/>
        <v>-5840344</v>
      </c>
      <c r="R204">
        <f t="shared" si="46"/>
        <v>1496840</v>
      </c>
    </row>
    <row r="205" spans="1:18">
      <c r="A205">
        <f t="shared" si="47"/>
        <v>202</v>
      </c>
      <c r="B205">
        <v>-16986</v>
      </c>
      <c r="C205">
        <v>28021</v>
      </c>
      <c r="D205" t="str">
        <f t="shared" si="36"/>
        <v>FFFFFFBDA6</v>
      </c>
      <c r="E205" t="str">
        <f t="shared" si="37"/>
        <v>6D75</v>
      </c>
      <c r="F205">
        <v>-4247</v>
      </c>
      <c r="G205" t="str">
        <f t="shared" si="38"/>
        <v>FFFFFFEF69</v>
      </c>
      <c r="H205">
        <f t="shared" si="39"/>
        <v>72139542</v>
      </c>
      <c r="I205">
        <f t="shared" si="40"/>
        <v>-119005187</v>
      </c>
      <c r="J205">
        <v>-6369</v>
      </c>
      <c r="K205">
        <f t="shared" si="41"/>
        <v>108183834</v>
      </c>
      <c r="L205">
        <f t="shared" si="42"/>
        <v>-178465749</v>
      </c>
      <c r="M205">
        <v>-365</v>
      </c>
      <c r="N205">
        <f t="shared" si="43"/>
        <v>6199890</v>
      </c>
      <c r="O205">
        <f t="shared" si="44"/>
        <v>-10227665</v>
      </c>
      <c r="P205">
        <v>5886</v>
      </c>
      <c r="Q205">
        <f t="shared" si="45"/>
        <v>-99979596</v>
      </c>
      <c r="R205">
        <f t="shared" si="46"/>
        <v>164931606</v>
      </c>
    </row>
    <row r="206" spans="1:18">
      <c r="A206">
        <f t="shared" si="47"/>
        <v>203</v>
      </c>
      <c r="B206">
        <v>7469</v>
      </c>
      <c r="C206">
        <v>31904</v>
      </c>
      <c r="D206" t="str">
        <f t="shared" si="36"/>
        <v>1D2D</v>
      </c>
      <c r="E206" t="str">
        <f t="shared" si="37"/>
        <v>7CA0</v>
      </c>
      <c r="F206">
        <v>1867</v>
      </c>
      <c r="G206" t="str">
        <f t="shared" si="38"/>
        <v>74B</v>
      </c>
      <c r="H206">
        <f t="shared" si="39"/>
        <v>13944623</v>
      </c>
      <c r="I206">
        <f t="shared" si="40"/>
        <v>59564768</v>
      </c>
      <c r="J206">
        <v>-980</v>
      </c>
      <c r="K206">
        <f t="shared" si="41"/>
        <v>-7319620</v>
      </c>
      <c r="L206">
        <f t="shared" si="42"/>
        <v>-31265920</v>
      </c>
      <c r="M206">
        <v>5465</v>
      </c>
      <c r="N206">
        <f t="shared" si="43"/>
        <v>40818085</v>
      </c>
      <c r="O206">
        <f t="shared" si="44"/>
        <v>174355360</v>
      </c>
      <c r="P206">
        <v>8192</v>
      </c>
      <c r="Q206">
        <f t="shared" si="45"/>
        <v>61186048</v>
      </c>
      <c r="R206">
        <f t="shared" si="46"/>
        <v>261357568</v>
      </c>
    </row>
    <row r="207" spans="1:18">
      <c r="A207">
        <f t="shared" si="47"/>
        <v>204</v>
      </c>
      <c r="B207">
        <v>27659</v>
      </c>
      <c r="C207">
        <v>17569</v>
      </c>
      <c r="D207" t="str">
        <f t="shared" si="36"/>
        <v>6C0B</v>
      </c>
      <c r="E207" t="str">
        <f t="shared" si="37"/>
        <v>44A1</v>
      </c>
      <c r="F207">
        <v>6915</v>
      </c>
      <c r="G207" t="str">
        <f t="shared" si="38"/>
        <v>1B03</v>
      </c>
      <c r="H207">
        <f t="shared" si="39"/>
        <v>191261985</v>
      </c>
      <c r="I207">
        <f t="shared" si="40"/>
        <v>121489635</v>
      </c>
      <c r="J207">
        <v>4963</v>
      </c>
      <c r="K207">
        <f t="shared" si="41"/>
        <v>137271617</v>
      </c>
      <c r="L207">
        <f t="shared" si="42"/>
        <v>87194947</v>
      </c>
      <c r="M207">
        <v>8174</v>
      </c>
      <c r="N207">
        <f t="shared" si="43"/>
        <v>226084666</v>
      </c>
      <c r="O207">
        <f t="shared" si="44"/>
        <v>143609006</v>
      </c>
      <c r="P207">
        <v>5772</v>
      </c>
      <c r="Q207">
        <f t="shared" si="45"/>
        <v>159647748</v>
      </c>
      <c r="R207">
        <f t="shared" si="46"/>
        <v>101408268</v>
      </c>
    </row>
    <row r="208" spans="1:18">
      <c r="A208">
        <f t="shared" si="47"/>
        <v>205</v>
      </c>
      <c r="B208">
        <v>32054</v>
      </c>
      <c r="C208">
        <v>-6799</v>
      </c>
      <c r="D208" t="str">
        <f t="shared" si="36"/>
        <v>7D36</v>
      </c>
      <c r="E208" t="str">
        <f t="shared" si="37"/>
        <v>FFFFFFE571</v>
      </c>
      <c r="F208">
        <v>8014</v>
      </c>
      <c r="G208" t="str">
        <f t="shared" si="38"/>
        <v>1F4E</v>
      </c>
      <c r="H208">
        <f t="shared" si="39"/>
        <v>256880756</v>
      </c>
      <c r="I208">
        <f t="shared" si="40"/>
        <v>-54487186</v>
      </c>
      <c r="J208">
        <v>8101</v>
      </c>
      <c r="K208">
        <f t="shared" si="41"/>
        <v>259669454</v>
      </c>
      <c r="L208">
        <f t="shared" si="42"/>
        <v>-55078699</v>
      </c>
      <c r="M208">
        <v>6215</v>
      </c>
      <c r="N208">
        <f t="shared" si="43"/>
        <v>199215610</v>
      </c>
      <c r="O208">
        <f t="shared" si="44"/>
        <v>-42255785</v>
      </c>
      <c r="P208">
        <v>22</v>
      </c>
      <c r="Q208">
        <f t="shared" si="45"/>
        <v>705188</v>
      </c>
      <c r="R208">
        <f t="shared" si="46"/>
        <v>-149578</v>
      </c>
    </row>
    <row r="209" spans="1:18">
      <c r="A209">
        <f t="shared" si="47"/>
        <v>206</v>
      </c>
      <c r="B209">
        <v>18145</v>
      </c>
      <c r="C209">
        <v>-27285</v>
      </c>
      <c r="D209" t="str">
        <f t="shared" si="36"/>
        <v>46E1</v>
      </c>
      <c r="E209" t="str">
        <f t="shared" si="37"/>
        <v>FFFFFF956B</v>
      </c>
      <c r="F209">
        <v>4536</v>
      </c>
      <c r="G209" t="str">
        <f t="shared" si="38"/>
        <v>11B8</v>
      </c>
      <c r="H209">
        <f t="shared" si="39"/>
        <v>82305720</v>
      </c>
      <c r="I209">
        <f t="shared" si="40"/>
        <v>-123764760</v>
      </c>
      <c r="J209">
        <v>6660</v>
      </c>
      <c r="K209">
        <f t="shared" si="41"/>
        <v>120845700</v>
      </c>
      <c r="L209">
        <f t="shared" si="42"/>
        <v>-181718100</v>
      </c>
      <c r="M209">
        <v>707</v>
      </c>
      <c r="N209">
        <f t="shared" si="43"/>
        <v>12828515</v>
      </c>
      <c r="O209">
        <f t="shared" si="44"/>
        <v>-19290495</v>
      </c>
      <c r="P209">
        <v>-5741</v>
      </c>
      <c r="Q209">
        <f t="shared" si="45"/>
        <v>-104170445</v>
      </c>
      <c r="R209">
        <f t="shared" si="46"/>
        <v>156643185</v>
      </c>
    </row>
    <row r="210" spans="1:18">
      <c r="A210">
        <f t="shared" si="47"/>
        <v>207</v>
      </c>
      <c r="B210">
        <v>-6126</v>
      </c>
      <c r="C210">
        <v>-32189</v>
      </c>
      <c r="D210" t="str">
        <f t="shared" si="36"/>
        <v>FFFFFFE812</v>
      </c>
      <c r="E210" t="str">
        <f t="shared" si="37"/>
        <v>FFFFFF8243</v>
      </c>
      <c r="F210">
        <v>-1532</v>
      </c>
      <c r="G210" t="str">
        <f t="shared" si="38"/>
        <v>FFFFFFFA04</v>
      </c>
      <c r="H210">
        <f t="shared" si="39"/>
        <v>9385032</v>
      </c>
      <c r="I210">
        <f t="shared" si="40"/>
        <v>49313548</v>
      </c>
      <c r="J210">
        <v>1455</v>
      </c>
      <c r="K210">
        <f t="shared" si="41"/>
        <v>-8913330</v>
      </c>
      <c r="L210">
        <f t="shared" si="42"/>
        <v>-46834995</v>
      </c>
      <c r="M210">
        <v>-5205</v>
      </c>
      <c r="N210">
        <f t="shared" si="43"/>
        <v>31885830</v>
      </c>
      <c r="O210">
        <f t="shared" si="44"/>
        <v>167543745</v>
      </c>
      <c r="P210">
        <v>-8191</v>
      </c>
      <c r="Q210">
        <f t="shared" si="45"/>
        <v>50178066</v>
      </c>
      <c r="R210">
        <f t="shared" si="46"/>
        <v>263660099</v>
      </c>
    </row>
    <row r="211" spans="1:18">
      <c r="A211">
        <f t="shared" si="47"/>
        <v>208</v>
      </c>
      <c r="B211">
        <v>-26898</v>
      </c>
      <c r="C211">
        <v>-18712</v>
      </c>
      <c r="D211" t="str">
        <f t="shared" si="36"/>
        <v>FFFFFF96EE</v>
      </c>
      <c r="E211" t="str">
        <f t="shared" si="37"/>
        <v>FFFFFFB6E8</v>
      </c>
      <c r="F211">
        <v>-6725</v>
      </c>
      <c r="G211" t="str">
        <f t="shared" si="38"/>
        <v>FFFFFFE5BB</v>
      </c>
      <c r="H211">
        <f t="shared" si="39"/>
        <v>180889050</v>
      </c>
      <c r="I211">
        <f t="shared" si="40"/>
        <v>125838200</v>
      </c>
      <c r="J211">
        <v>-4572</v>
      </c>
      <c r="K211">
        <f t="shared" si="41"/>
        <v>122977656</v>
      </c>
      <c r="L211">
        <f t="shared" si="42"/>
        <v>85551264</v>
      </c>
      <c r="M211">
        <v>-8145</v>
      </c>
      <c r="N211">
        <f t="shared" si="43"/>
        <v>219084210</v>
      </c>
      <c r="O211">
        <f t="shared" si="44"/>
        <v>152409240</v>
      </c>
      <c r="P211">
        <v>-5916</v>
      </c>
      <c r="Q211">
        <f t="shared" si="45"/>
        <v>159128568</v>
      </c>
      <c r="R211">
        <f t="shared" si="46"/>
        <v>110700192</v>
      </c>
    </row>
    <row r="212" spans="1:18">
      <c r="A212">
        <f t="shared" si="47"/>
        <v>209</v>
      </c>
      <c r="B212">
        <v>-32311</v>
      </c>
      <c r="C212">
        <v>5450</v>
      </c>
      <c r="D212" t="str">
        <f t="shared" si="36"/>
        <v>FFFFFF81C9</v>
      </c>
      <c r="E212" t="str">
        <f t="shared" si="37"/>
        <v>154A</v>
      </c>
      <c r="F212">
        <v>-8078</v>
      </c>
      <c r="G212" t="str">
        <f t="shared" si="38"/>
        <v>FFFFFFE072</v>
      </c>
      <c r="H212">
        <f t="shared" si="39"/>
        <v>261008258</v>
      </c>
      <c r="I212">
        <f t="shared" si="40"/>
        <v>-44025100</v>
      </c>
      <c r="J212">
        <v>-8016</v>
      </c>
      <c r="K212">
        <f t="shared" si="41"/>
        <v>259004976</v>
      </c>
      <c r="L212">
        <f t="shared" si="42"/>
        <v>-43687200</v>
      </c>
      <c r="M212">
        <v>-6434</v>
      </c>
      <c r="N212">
        <f t="shared" si="43"/>
        <v>207888974</v>
      </c>
      <c r="O212">
        <f t="shared" si="44"/>
        <v>-35065300</v>
      </c>
      <c r="P212">
        <v>-228</v>
      </c>
      <c r="Q212">
        <f t="shared" si="45"/>
        <v>7366908</v>
      </c>
      <c r="R212">
        <f t="shared" si="46"/>
        <v>-1242600</v>
      </c>
    </row>
    <row r="213" spans="1:18">
      <c r="A213">
        <f t="shared" si="47"/>
        <v>210</v>
      </c>
      <c r="B213">
        <v>-19272</v>
      </c>
      <c r="C213">
        <v>26501</v>
      </c>
      <c r="D213" t="str">
        <f t="shared" si="36"/>
        <v>FFFFFFB4B8</v>
      </c>
      <c r="E213" t="str">
        <f t="shared" si="37"/>
        <v>6785</v>
      </c>
      <c r="F213">
        <v>-4818</v>
      </c>
      <c r="G213" t="str">
        <f t="shared" si="38"/>
        <v>FFFFFFED2E</v>
      </c>
      <c r="H213">
        <f t="shared" si="39"/>
        <v>92852496</v>
      </c>
      <c r="I213">
        <f t="shared" si="40"/>
        <v>-127681818</v>
      </c>
      <c r="J213">
        <v>-6928</v>
      </c>
      <c r="K213">
        <f t="shared" si="41"/>
        <v>133516416</v>
      </c>
      <c r="L213">
        <f t="shared" si="42"/>
        <v>-183598928</v>
      </c>
      <c r="M213">
        <v>-1048</v>
      </c>
      <c r="N213">
        <f t="shared" si="43"/>
        <v>20197056</v>
      </c>
      <c r="O213">
        <f t="shared" si="44"/>
        <v>-27773048</v>
      </c>
      <c r="P213">
        <v>5592</v>
      </c>
      <c r="Q213">
        <f t="shared" si="45"/>
        <v>-107769024</v>
      </c>
      <c r="R213">
        <f t="shared" si="46"/>
        <v>148193592</v>
      </c>
    </row>
    <row r="214" spans="1:18">
      <c r="A214">
        <f t="shared" si="47"/>
        <v>211</v>
      </c>
      <c r="B214">
        <v>4772</v>
      </c>
      <c r="C214">
        <v>32418</v>
      </c>
      <c r="D214" t="str">
        <f t="shared" si="36"/>
        <v>12A4</v>
      </c>
      <c r="E214" t="str">
        <f t="shared" si="37"/>
        <v>7EA2</v>
      </c>
      <c r="F214">
        <v>1193</v>
      </c>
      <c r="G214" t="str">
        <f t="shared" si="38"/>
        <v>4A9</v>
      </c>
      <c r="H214">
        <f t="shared" si="39"/>
        <v>5692996</v>
      </c>
      <c r="I214">
        <f t="shared" si="40"/>
        <v>38674674</v>
      </c>
      <c r="J214">
        <v>-1925</v>
      </c>
      <c r="K214">
        <f t="shared" si="41"/>
        <v>-9186100</v>
      </c>
      <c r="L214">
        <f t="shared" si="42"/>
        <v>-62404650</v>
      </c>
      <c r="M214">
        <v>4936</v>
      </c>
      <c r="N214">
        <f t="shared" si="43"/>
        <v>23554592</v>
      </c>
      <c r="O214">
        <f t="shared" si="44"/>
        <v>160015248</v>
      </c>
      <c r="P214">
        <v>8185</v>
      </c>
      <c r="Q214">
        <f t="shared" si="45"/>
        <v>39058820</v>
      </c>
      <c r="R214">
        <f t="shared" si="46"/>
        <v>265341330</v>
      </c>
    </row>
    <row r="215" spans="1:18">
      <c r="A215">
        <f t="shared" si="47"/>
        <v>212</v>
      </c>
      <c r="B215">
        <v>26091</v>
      </c>
      <c r="C215">
        <v>19822</v>
      </c>
      <c r="D215" t="str">
        <f t="shared" si="36"/>
        <v>65EB</v>
      </c>
      <c r="E215" t="str">
        <f t="shared" si="37"/>
        <v>4D6E</v>
      </c>
      <c r="F215">
        <v>6523</v>
      </c>
      <c r="G215" t="str">
        <f t="shared" si="38"/>
        <v>197B</v>
      </c>
      <c r="H215">
        <f t="shared" si="39"/>
        <v>170191593</v>
      </c>
      <c r="I215">
        <f t="shared" si="40"/>
        <v>129298906</v>
      </c>
      <c r="J215">
        <v>4166</v>
      </c>
      <c r="K215">
        <f t="shared" si="41"/>
        <v>108695106</v>
      </c>
      <c r="L215">
        <f t="shared" si="42"/>
        <v>82578452</v>
      </c>
      <c r="M215">
        <v>8101</v>
      </c>
      <c r="N215">
        <f t="shared" si="43"/>
        <v>211363191</v>
      </c>
      <c r="O215">
        <f t="shared" si="44"/>
        <v>160578022</v>
      </c>
      <c r="P215">
        <v>6056</v>
      </c>
      <c r="Q215">
        <f t="shared" si="45"/>
        <v>158007096</v>
      </c>
      <c r="R215">
        <f t="shared" si="46"/>
        <v>120042032</v>
      </c>
    </row>
    <row r="216" spans="1:18">
      <c r="A216">
        <f t="shared" si="47"/>
        <v>213</v>
      </c>
      <c r="B216">
        <v>32510</v>
      </c>
      <c r="C216">
        <v>-4092</v>
      </c>
      <c r="D216" t="str">
        <f t="shared" si="36"/>
        <v>7EFE</v>
      </c>
      <c r="E216" t="str">
        <f t="shared" si="37"/>
        <v>FFFFFFF004</v>
      </c>
      <c r="F216">
        <v>8128</v>
      </c>
      <c r="G216" t="str">
        <f t="shared" si="38"/>
        <v>1FC0</v>
      </c>
      <c r="H216">
        <f t="shared" si="39"/>
        <v>264241280</v>
      </c>
      <c r="I216">
        <f t="shared" si="40"/>
        <v>-33259776</v>
      </c>
      <c r="J216">
        <v>7903</v>
      </c>
      <c r="K216">
        <f t="shared" si="41"/>
        <v>256926530</v>
      </c>
      <c r="L216">
        <f t="shared" si="42"/>
        <v>-32339076</v>
      </c>
      <c r="M216">
        <v>6640</v>
      </c>
      <c r="N216">
        <f t="shared" si="43"/>
        <v>215866400</v>
      </c>
      <c r="O216">
        <f t="shared" si="44"/>
        <v>-27170880</v>
      </c>
      <c r="P216">
        <v>433</v>
      </c>
      <c r="Q216">
        <f t="shared" si="45"/>
        <v>14076830</v>
      </c>
      <c r="R216">
        <f t="shared" si="46"/>
        <v>-1771836</v>
      </c>
    </row>
    <row r="217" spans="1:18">
      <c r="A217">
        <f t="shared" si="47"/>
        <v>214</v>
      </c>
      <c r="B217">
        <v>20365</v>
      </c>
      <c r="C217">
        <v>-25670</v>
      </c>
      <c r="D217" t="str">
        <f t="shared" si="36"/>
        <v>4F8D</v>
      </c>
      <c r="E217" t="str">
        <f t="shared" si="37"/>
        <v>FFFFFF9BBA</v>
      </c>
      <c r="F217">
        <v>5091</v>
      </c>
      <c r="G217" t="str">
        <f t="shared" si="38"/>
        <v>13E3</v>
      </c>
      <c r="H217">
        <f t="shared" si="39"/>
        <v>103678215</v>
      </c>
      <c r="I217">
        <f t="shared" si="40"/>
        <v>-130685970</v>
      </c>
      <c r="J217">
        <v>7173</v>
      </c>
      <c r="K217">
        <f t="shared" si="41"/>
        <v>146078145</v>
      </c>
      <c r="L217">
        <f t="shared" si="42"/>
        <v>-184130910</v>
      </c>
      <c r="M217">
        <v>1388</v>
      </c>
      <c r="N217">
        <f t="shared" si="43"/>
        <v>28266620</v>
      </c>
      <c r="O217">
        <f t="shared" si="44"/>
        <v>-35629960</v>
      </c>
      <c r="P217">
        <v>-5440</v>
      </c>
      <c r="Q217">
        <f t="shared" si="45"/>
        <v>-110785600</v>
      </c>
      <c r="R217">
        <f t="shared" si="46"/>
        <v>139644800</v>
      </c>
    </row>
    <row r="218" spans="1:18">
      <c r="A218">
        <f t="shared" si="47"/>
        <v>215</v>
      </c>
      <c r="B218">
        <v>-3410</v>
      </c>
      <c r="C218">
        <v>-32589</v>
      </c>
      <c r="D218" t="str">
        <f t="shared" si="36"/>
        <v>FFFFFFF2AE</v>
      </c>
      <c r="E218" t="str">
        <f t="shared" si="37"/>
        <v>FFFFFF80B3</v>
      </c>
      <c r="F218">
        <v>-853</v>
      </c>
      <c r="G218" t="str">
        <f t="shared" si="38"/>
        <v>FFFFFFFCAB</v>
      </c>
      <c r="H218">
        <f t="shared" si="39"/>
        <v>2908730</v>
      </c>
      <c r="I218">
        <f t="shared" si="40"/>
        <v>27798417</v>
      </c>
      <c r="J218">
        <v>2389</v>
      </c>
      <c r="K218">
        <f t="shared" si="41"/>
        <v>-8146490</v>
      </c>
      <c r="L218">
        <f t="shared" si="42"/>
        <v>-77855121</v>
      </c>
      <c r="M218">
        <v>-4657</v>
      </c>
      <c r="N218">
        <f t="shared" si="43"/>
        <v>15880370</v>
      </c>
      <c r="O218">
        <f t="shared" si="44"/>
        <v>151766973</v>
      </c>
      <c r="P218">
        <v>-8174</v>
      </c>
      <c r="Q218">
        <f t="shared" si="45"/>
        <v>27873340</v>
      </c>
      <c r="R218">
        <f t="shared" si="46"/>
        <v>266382486</v>
      </c>
    </row>
    <row r="219" spans="1:18">
      <c r="A219">
        <f t="shared" si="47"/>
        <v>216</v>
      </c>
      <c r="B219">
        <v>-25238</v>
      </c>
      <c r="C219">
        <v>-20898</v>
      </c>
      <c r="D219" t="str">
        <f t="shared" si="36"/>
        <v>FFFFFF9D6A</v>
      </c>
      <c r="E219" t="str">
        <f t="shared" si="37"/>
        <v>FFFFFFAE5E</v>
      </c>
      <c r="F219">
        <v>-6310</v>
      </c>
      <c r="G219" t="str">
        <f t="shared" si="38"/>
        <v>FFFFFFE75A</v>
      </c>
      <c r="H219">
        <f t="shared" si="39"/>
        <v>159251780</v>
      </c>
      <c r="I219">
        <f t="shared" si="40"/>
        <v>131866380</v>
      </c>
      <c r="J219">
        <v>-3746</v>
      </c>
      <c r="K219">
        <f t="shared" si="41"/>
        <v>94541548</v>
      </c>
      <c r="L219">
        <f t="shared" si="42"/>
        <v>78283908</v>
      </c>
      <c r="M219">
        <v>-8043</v>
      </c>
      <c r="N219">
        <f t="shared" si="43"/>
        <v>202989234</v>
      </c>
      <c r="O219">
        <f t="shared" si="44"/>
        <v>168082614</v>
      </c>
      <c r="P219">
        <v>-6193</v>
      </c>
      <c r="Q219">
        <f t="shared" si="45"/>
        <v>156298934</v>
      </c>
      <c r="R219">
        <f t="shared" si="46"/>
        <v>129421314</v>
      </c>
    </row>
    <row r="220" spans="1:18">
      <c r="A220">
        <f t="shared" si="47"/>
        <v>217</v>
      </c>
      <c r="B220">
        <v>-32653</v>
      </c>
      <c r="C220">
        <v>2727</v>
      </c>
      <c r="D220" t="str">
        <f t="shared" si="36"/>
        <v>FFFFFF8073</v>
      </c>
      <c r="E220" t="str">
        <f t="shared" si="37"/>
        <v>AA7</v>
      </c>
      <c r="F220">
        <v>-8164</v>
      </c>
      <c r="G220" t="str">
        <f t="shared" si="38"/>
        <v>FFFFFFE01C</v>
      </c>
      <c r="H220">
        <f t="shared" si="39"/>
        <v>266579092</v>
      </c>
      <c r="I220">
        <f t="shared" si="40"/>
        <v>-22263228</v>
      </c>
      <c r="J220">
        <v>-7763</v>
      </c>
      <c r="K220">
        <f t="shared" si="41"/>
        <v>253485239</v>
      </c>
      <c r="L220">
        <f t="shared" si="42"/>
        <v>-21169701</v>
      </c>
      <c r="M220">
        <v>-6835</v>
      </c>
      <c r="N220">
        <f t="shared" si="43"/>
        <v>223183255</v>
      </c>
      <c r="O220">
        <f t="shared" si="44"/>
        <v>-18639045</v>
      </c>
      <c r="P220">
        <v>-639</v>
      </c>
      <c r="Q220">
        <f t="shared" si="45"/>
        <v>20865267</v>
      </c>
      <c r="R220">
        <f t="shared" si="46"/>
        <v>-1742553</v>
      </c>
    </row>
    <row r="221" spans="1:18">
      <c r="A221">
        <f t="shared" si="47"/>
        <v>218</v>
      </c>
      <c r="B221">
        <v>-21422</v>
      </c>
      <c r="C221">
        <v>24795</v>
      </c>
      <c r="D221" t="str">
        <f t="shared" si="36"/>
        <v>FFFFFFAC52</v>
      </c>
      <c r="E221" t="str">
        <f t="shared" si="37"/>
        <v>60DB</v>
      </c>
      <c r="F221">
        <v>-5356</v>
      </c>
      <c r="G221" t="str">
        <f t="shared" si="38"/>
        <v>FFFFFFEB14</v>
      </c>
      <c r="H221">
        <f t="shared" si="39"/>
        <v>114736232</v>
      </c>
      <c r="I221">
        <f t="shared" si="40"/>
        <v>-132802020</v>
      </c>
      <c r="J221">
        <v>-7392</v>
      </c>
      <c r="K221">
        <f t="shared" si="41"/>
        <v>158351424</v>
      </c>
      <c r="L221">
        <f t="shared" si="42"/>
        <v>-183284640</v>
      </c>
      <c r="M221">
        <v>-1724</v>
      </c>
      <c r="N221">
        <f t="shared" si="43"/>
        <v>36931528</v>
      </c>
      <c r="O221">
        <f t="shared" si="44"/>
        <v>-42746580</v>
      </c>
      <c r="P221">
        <v>5284</v>
      </c>
      <c r="Q221">
        <f t="shared" si="45"/>
        <v>-113193848</v>
      </c>
      <c r="R221">
        <f t="shared" si="46"/>
        <v>131016780</v>
      </c>
    </row>
    <row r="222" spans="1:18">
      <c r="A222">
        <f t="shared" si="47"/>
        <v>219</v>
      </c>
      <c r="B222">
        <v>2042</v>
      </c>
      <c r="C222">
        <v>32703</v>
      </c>
      <c r="D222" t="str">
        <f t="shared" si="36"/>
        <v>7FA</v>
      </c>
      <c r="E222" t="str">
        <f t="shared" si="37"/>
        <v>7FBF</v>
      </c>
      <c r="F222">
        <v>511</v>
      </c>
      <c r="G222" t="str">
        <f t="shared" si="38"/>
        <v>1FF</v>
      </c>
      <c r="H222">
        <f t="shared" si="39"/>
        <v>1043462</v>
      </c>
      <c r="I222">
        <f t="shared" si="40"/>
        <v>16711233</v>
      </c>
      <c r="J222">
        <v>-2844</v>
      </c>
      <c r="K222">
        <f t="shared" si="41"/>
        <v>-5807448</v>
      </c>
      <c r="L222">
        <f t="shared" si="42"/>
        <v>-93007332</v>
      </c>
      <c r="M222">
        <v>4371</v>
      </c>
      <c r="N222">
        <f t="shared" si="43"/>
        <v>8925582</v>
      </c>
      <c r="O222">
        <f t="shared" si="44"/>
        <v>142944813</v>
      </c>
      <c r="P222">
        <v>8158</v>
      </c>
      <c r="Q222">
        <f t="shared" si="45"/>
        <v>16658636</v>
      </c>
      <c r="R222">
        <f t="shared" si="46"/>
        <v>266791074</v>
      </c>
    </row>
    <row r="223" spans="1:18">
      <c r="A223">
        <f t="shared" si="47"/>
        <v>220</v>
      </c>
      <c r="B223">
        <v>24341</v>
      </c>
      <c r="C223">
        <v>21937</v>
      </c>
      <c r="D223" t="str">
        <f t="shared" si="36"/>
        <v>5F15</v>
      </c>
      <c r="E223" t="str">
        <f t="shared" si="37"/>
        <v>55B1</v>
      </c>
      <c r="F223">
        <v>6085</v>
      </c>
      <c r="G223" t="str">
        <f t="shared" si="38"/>
        <v>17C5</v>
      </c>
      <c r="H223">
        <f t="shared" si="39"/>
        <v>148114985</v>
      </c>
      <c r="I223">
        <f t="shared" si="40"/>
        <v>133486645</v>
      </c>
      <c r="J223">
        <v>3312</v>
      </c>
      <c r="K223">
        <f t="shared" si="41"/>
        <v>80617392</v>
      </c>
      <c r="L223">
        <f t="shared" si="42"/>
        <v>72655344</v>
      </c>
      <c r="M223">
        <v>7971</v>
      </c>
      <c r="N223">
        <f t="shared" si="43"/>
        <v>194022111</v>
      </c>
      <c r="O223">
        <f t="shared" si="44"/>
        <v>174859827</v>
      </c>
      <c r="P223">
        <v>6326</v>
      </c>
      <c r="Q223">
        <f t="shared" si="45"/>
        <v>153981166</v>
      </c>
      <c r="R223">
        <f t="shared" si="46"/>
        <v>138773462</v>
      </c>
    </row>
    <row r="224" spans="1:18">
      <c r="A224">
        <f t="shared" si="47"/>
        <v>221</v>
      </c>
      <c r="B224">
        <v>32739</v>
      </c>
      <c r="C224">
        <v>-1357</v>
      </c>
      <c r="D224" t="str">
        <f t="shared" si="36"/>
        <v>7FE3</v>
      </c>
      <c r="E224" t="str">
        <f t="shared" si="37"/>
        <v>FFFFFFFAB3</v>
      </c>
      <c r="F224">
        <v>8185</v>
      </c>
      <c r="G224" t="str">
        <f t="shared" si="38"/>
        <v>1FF9</v>
      </c>
      <c r="H224">
        <f t="shared" si="39"/>
        <v>267968715</v>
      </c>
      <c r="I224">
        <f t="shared" si="40"/>
        <v>-11107045</v>
      </c>
      <c r="J224">
        <v>7596</v>
      </c>
      <c r="K224">
        <f t="shared" si="41"/>
        <v>248685444</v>
      </c>
      <c r="L224">
        <f t="shared" si="42"/>
        <v>-10307772</v>
      </c>
      <c r="M224">
        <v>7018</v>
      </c>
      <c r="N224">
        <f t="shared" si="43"/>
        <v>229762302</v>
      </c>
      <c r="O224">
        <f t="shared" si="44"/>
        <v>-9523426</v>
      </c>
      <c r="P224">
        <v>844</v>
      </c>
      <c r="Q224">
        <f t="shared" si="45"/>
        <v>27631716</v>
      </c>
      <c r="R224">
        <f t="shared" si="46"/>
        <v>-1145308</v>
      </c>
    </row>
    <row r="225" spans="1:18">
      <c r="A225">
        <f t="shared" si="47"/>
        <v>222</v>
      </c>
      <c r="B225">
        <v>22442</v>
      </c>
      <c r="C225">
        <v>-23876</v>
      </c>
      <c r="D225" t="str">
        <f t="shared" si="36"/>
        <v>57AA</v>
      </c>
      <c r="E225" t="str">
        <f t="shared" si="37"/>
        <v>FFFFFFA2BC</v>
      </c>
      <c r="F225">
        <v>5611</v>
      </c>
      <c r="G225" t="str">
        <f t="shared" si="38"/>
        <v>15EB</v>
      </c>
      <c r="H225">
        <f t="shared" si="39"/>
        <v>125922062</v>
      </c>
      <c r="I225">
        <f t="shared" si="40"/>
        <v>-133968236</v>
      </c>
      <c r="J225">
        <v>7586</v>
      </c>
      <c r="K225">
        <f t="shared" si="41"/>
        <v>170245012</v>
      </c>
      <c r="L225">
        <f t="shared" si="42"/>
        <v>-181123336</v>
      </c>
      <c r="M225">
        <v>2058</v>
      </c>
      <c r="N225">
        <f t="shared" si="43"/>
        <v>46185636</v>
      </c>
      <c r="O225">
        <f t="shared" si="44"/>
        <v>-49136808</v>
      </c>
      <c r="P225">
        <v>-5125</v>
      </c>
      <c r="Q225">
        <f t="shared" si="45"/>
        <v>-115015250</v>
      </c>
      <c r="R225">
        <f t="shared" si="46"/>
        <v>122364500</v>
      </c>
    </row>
    <row r="226" spans="1:18">
      <c r="A226">
        <f t="shared" si="47"/>
        <v>223</v>
      </c>
      <c r="B226">
        <v>-671</v>
      </c>
      <c r="C226">
        <v>-32760</v>
      </c>
      <c r="D226" t="str">
        <f t="shared" si="36"/>
        <v>FFFFFFFD61</v>
      </c>
      <c r="E226" t="str">
        <f t="shared" si="37"/>
        <v>FFFFFF8008</v>
      </c>
      <c r="F226">
        <v>-168</v>
      </c>
      <c r="G226" t="str">
        <f t="shared" si="38"/>
        <v>FFFFFFFF58</v>
      </c>
      <c r="H226">
        <f t="shared" si="39"/>
        <v>112728</v>
      </c>
      <c r="I226">
        <f t="shared" si="40"/>
        <v>5503680</v>
      </c>
      <c r="J226">
        <v>3289</v>
      </c>
      <c r="K226">
        <f t="shared" si="41"/>
        <v>-2206919</v>
      </c>
      <c r="L226">
        <f t="shared" si="42"/>
        <v>-107747640</v>
      </c>
      <c r="M226">
        <v>-4077</v>
      </c>
      <c r="N226">
        <f t="shared" si="43"/>
        <v>2735667</v>
      </c>
      <c r="O226">
        <f t="shared" si="44"/>
        <v>133562520</v>
      </c>
      <c r="P226">
        <v>-8137</v>
      </c>
      <c r="Q226">
        <f t="shared" si="45"/>
        <v>5459927</v>
      </c>
      <c r="R226">
        <f t="shared" si="46"/>
        <v>266568120</v>
      </c>
    </row>
    <row r="227" spans="1:18">
      <c r="A227">
        <f t="shared" si="47"/>
        <v>224</v>
      </c>
      <c r="B227">
        <v>-23400</v>
      </c>
      <c r="C227">
        <v>-22937</v>
      </c>
      <c r="D227" t="str">
        <f t="shared" si="36"/>
        <v>FFFFFFA498</v>
      </c>
      <c r="E227" t="str">
        <f t="shared" si="37"/>
        <v>FFFFFFA667</v>
      </c>
      <c r="F227">
        <v>-5850</v>
      </c>
      <c r="G227" t="str">
        <f t="shared" si="38"/>
        <v>FFFFFFE926</v>
      </c>
      <c r="H227">
        <f t="shared" si="39"/>
        <v>136890000</v>
      </c>
      <c r="I227">
        <f t="shared" si="40"/>
        <v>134181450</v>
      </c>
      <c r="J227">
        <v>-2867</v>
      </c>
      <c r="K227">
        <f t="shared" si="41"/>
        <v>67087800</v>
      </c>
      <c r="L227">
        <f t="shared" si="42"/>
        <v>65760379</v>
      </c>
      <c r="M227">
        <v>-7884</v>
      </c>
      <c r="N227">
        <f t="shared" si="43"/>
        <v>184485600</v>
      </c>
      <c r="O227">
        <f t="shared" si="44"/>
        <v>180835308</v>
      </c>
      <c r="P227">
        <v>-6455</v>
      </c>
      <c r="Q227">
        <f t="shared" si="45"/>
        <v>151047000</v>
      </c>
      <c r="R227">
        <f t="shared" si="46"/>
        <v>148058335</v>
      </c>
    </row>
    <row r="228" spans="1:18">
      <c r="A228">
        <f t="shared" si="47"/>
        <v>225</v>
      </c>
      <c r="B228">
        <v>-32767</v>
      </c>
      <c r="C228">
        <v>-15</v>
      </c>
      <c r="D228" t="str">
        <f t="shared" si="36"/>
        <v>FFFFFF8001</v>
      </c>
      <c r="E228" t="str">
        <f t="shared" si="37"/>
        <v>FFFFFFFFF1</v>
      </c>
      <c r="F228">
        <v>-8192</v>
      </c>
      <c r="G228" t="str">
        <f t="shared" si="38"/>
        <v>FFFFFFE000</v>
      </c>
      <c r="H228">
        <f t="shared" si="39"/>
        <v>268427264</v>
      </c>
      <c r="I228">
        <f t="shared" si="40"/>
        <v>122880</v>
      </c>
      <c r="J228">
        <v>-7403</v>
      </c>
      <c r="K228">
        <f t="shared" si="41"/>
        <v>242574101</v>
      </c>
      <c r="L228">
        <f t="shared" si="42"/>
        <v>111045</v>
      </c>
      <c r="M228">
        <v>-7189</v>
      </c>
      <c r="N228">
        <f t="shared" si="43"/>
        <v>235561963</v>
      </c>
      <c r="O228">
        <f t="shared" si="44"/>
        <v>107835</v>
      </c>
      <c r="P228">
        <v>-1048</v>
      </c>
      <c r="Q228">
        <f t="shared" si="45"/>
        <v>34339816</v>
      </c>
      <c r="R228">
        <f t="shared" si="46"/>
        <v>15720</v>
      </c>
    </row>
    <row r="229" spans="1:18">
      <c r="A229">
        <f t="shared" si="47"/>
        <v>226</v>
      </c>
      <c r="B229">
        <v>-23422</v>
      </c>
      <c r="C229">
        <v>22915</v>
      </c>
      <c r="D229" t="str">
        <f t="shared" si="36"/>
        <v>FFFFFFA482</v>
      </c>
      <c r="E229" t="str">
        <f t="shared" si="37"/>
        <v>5983</v>
      </c>
      <c r="F229">
        <v>-5856</v>
      </c>
      <c r="G229" t="str">
        <f t="shared" si="38"/>
        <v>FFFFFFE920</v>
      </c>
      <c r="H229">
        <f t="shared" si="39"/>
        <v>137159232</v>
      </c>
      <c r="I229">
        <f t="shared" si="40"/>
        <v>-134190240</v>
      </c>
      <c r="J229">
        <v>-7755</v>
      </c>
      <c r="K229">
        <f t="shared" si="41"/>
        <v>181637610</v>
      </c>
      <c r="L229">
        <f t="shared" si="42"/>
        <v>-177705825</v>
      </c>
      <c r="M229">
        <v>-2389</v>
      </c>
      <c r="N229">
        <f t="shared" si="43"/>
        <v>55955158</v>
      </c>
      <c r="O229">
        <f t="shared" si="44"/>
        <v>-54743935</v>
      </c>
      <c r="P229">
        <v>4963</v>
      </c>
      <c r="Q229">
        <f t="shared" si="45"/>
        <v>-116243386</v>
      </c>
      <c r="R229">
        <f t="shared" si="46"/>
        <v>113727145</v>
      </c>
    </row>
    <row r="230" spans="1:18">
      <c r="A230">
        <f t="shared" si="47"/>
        <v>227</v>
      </c>
      <c r="B230">
        <v>-702</v>
      </c>
      <c r="C230">
        <v>32759</v>
      </c>
      <c r="D230" t="str">
        <f t="shared" si="36"/>
        <v>FFFFFFFD42</v>
      </c>
      <c r="E230" t="str">
        <f t="shared" si="37"/>
        <v>7FF7</v>
      </c>
      <c r="F230">
        <v>-175</v>
      </c>
      <c r="G230" t="str">
        <f t="shared" si="38"/>
        <v>FFFFFFFF51</v>
      </c>
      <c r="H230">
        <f t="shared" si="39"/>
        <v>122850</v>
      </c>
      <c r="I230">
        <f t="shared" si="40"/>
        <v>-5732825</v>
      </c>
      <c r="J230">
        <v>-3723</v>
      </c>
      <c r="K230">
        <f t="shared" si="41"/>
        <v>2613546</v>
      </c>
      <c r="L230">
        <f t="shared" si="42"/>
        <v>-121961757</v>
      </c>
      <c r="M230">
        <v>3776</v>
      </c>
      <c r="N230">
        <f t="shared" si="43"/>
        <v>-2650752</v>
      </c>
      <c r="O230">
        <f t="shared" si="44"/>
        <v>123697984</v>
      </c>
      <c r="P230">
        <v>8111</v>
      </c>
      <c r="Q230">
        <f t="shared" si="45"/>
        <v>-5693922</v>
      </c>
      <c r="R230">
        <f t="shared" si="46"/>
        <v>265708249</v>
      </c>
    </row>
    <row r="231" spans="1:18">
      <c r="A231">
        <f t="shared" si="47"/>
        <v>228</v>
      </c>
      <c r="B231">
        <v>22419</v>
      </c>
      <c r="C231">
        <v>23897</v>
      </c>
      <c r="D231" t="str">
        <f t="shared" si="36"/>
        <v>5793</v>
      </c>
      <c r="E231" t="str">
        <f t="shared" si="37"/>
        <v>5D59</v>
      </c>
      <c r="F231">
        <v>5605</v>
      </c>
      <c r="G231" t="str">
        <f t="shared" si="38"/>
        <v>15E5</v>
      </c>
      <c r="H231">
        <f t="shared" si="39"/>
        <v>125658495</v>
      </c>
      <c r="I231">
        <f t="shared" si="40"/>
        <v>133942685</v>
      </c>
      <c r="J231">
        <v>2413</v>
      </c>
      <c r="K231">
        <f t="shared" si="41"/>
        <v>54097047</v>
      </c>
      <c r="L231">
        <f t="shared" si="42"/>
        <v>57663461</v>
      </c>
      <c r="M231">
        <v>7784</v>
      </c>
      <c r="N231">
        <f t="shared" si="43"/>
        <v>174509496</v>
      </c>
      <c r="O231">
        <f t="shared" si="44"/>
        <v>186014248</v>
      </c>
      <c r="P231">
        <v>6579</v>
      </c>
      <c r="Q231">
        <f t="shared" si="45"/>
        <v>147494601</v>
      </c>
      <c r="R231">
        <f t="shared" si="46"/>
        <v>157218363</v>
      </c>
    </row>
    <row r="232" spans="1:18">
      <c r="A232">
        <f t="shared" si="47"/>
        <v>229</v>
      </c>
      <c r="B232">
        <v>32738</v>
      </c>
      <c r="C232">
        <v>1388</v>
      </c>
      <c r="D232" t="str">
        <f t="shared" si="36"/>
        <v>7FE2</v>
      </c>
      <c r="E232" t="str">
        <f t="shared" si="37"/>
        <v>56C</v>
      </c>
      <c r="F232">
        <v>8185</v>
      </c>
      <c r="G232" t="str">
        <f t="shared" si="38"/>
        <v>1FF9</v>
      </c>
      <c r="H232">
        <f t="shared" si="39"/>
        <v>267960530</v>
      </c>
      <c r="I232">
        <f t="shared" si="40"/>
        <v>11360780</v>
      </c>
      <c r="J232">
        <v>7185</v>
      </c>
      <c r="K232">
        <f t="shared" si="41"/>
        <v>235222530</v>
      </c>
      <c r="L232">
        <f t="shared" si="42"/>
        <v>9972780</v>
      </c>
      <c r="M232">
        <v>7347</v>
      </c>
      <c r="N232">
        <f t="shared" si="43"/>
        <v>240526086</v>
      </c>
      <c r="O232">
        <f t="shared" si="44"/>
        <v>10197636</v>
      </c>
      <c r="P232">
        <v>1252</v>
      </c>
      <c r="Q232">
        <f t="shared" si="45"/>
        <v>40987976</v>
      </c>
      <c r="R232">
        <f t="shared" si="46"/>
        <v>1737776</v>
      </c>
    </row>
    <row r="233" spans="1:18">
      <c r="A233">
        <f t="shared" si="47"/>
        <v>230</v>
      </c>
      <c r="B233">
        <v>24361</v>
      </c>
      <c r="C233">
        <v>-21914</v>
      </c>
      <c r="D233" t="str">
        <f t="shared" si="36"/>
        <v>5F29</v>
      </c>
      <c r="E233" t="str">
        <f t="shared" si="37"/>
        <v>FFFFFFAA66</v>
      </c>
      <c r="F233">
        <v>6090</v>
      </c>
      <c r="G233" t="str">
        <f t="shared" si="38"/>
        <v>17CA</v>
      </c>
      <c r="H233">
        <f t="shared" si="39"/>
        <v>148358490</v>
      </c>
      <c r="I233">
        <f t="shared" si="40"/>
        <v>-133456260</v>
      </c>
      <c r="J233">
        <v>7896</v>
      </c>
      <c r="K233">
        <f t="shared" si="41"/>
        <v>192354456</v>
      </c>
      <c r="L233">
        <f t="shared" si="42"/>
        <v>-173032944</v>
      </c>
      <c r="M233">
        <v>2715</v>
      </c>
      <c r="N233">
        <f t="shared" si="43"/>
        <v>66140115</v>
      </c>
      <c r="O233">
        <f t="shared" si="44"/>
        <v>-59496510</v>
      </c>
      <c r="P233">
        <v>-4798</v>
      </c>
      <c r="Q233">
        <f t="shared" si="45"/>
        <v>-116884078</v>
      </c>
      <c r="R233">
        <f t="shared" si="46"/>
        <v>105143372</v>
      </c>
    </row>
    <row r="234" spans="1:18">
      <c r="A234">
        <f t="shared" si="47"/>
        <v>231</v>
      </c>
      <c r="B234">
        <v>2073</v>
      </c>
      <c r="C234">
        <v>-32701</v>
      </c>
      <c r="D234" t="str">
        <f t="shared" si="36"/>
        <v>819</v>
      </c>
      <c r="E234" t="str">
        <f t="shared" si="37"/>
        <v>FFFFFF8043</v>
      </c>
      <c r="F234">
        <v>518</v>
      </c>
      <c r="G234" t="str">
        <f t="shared" si="38"/>
        <v>206</v>
      </c>
      <c r="H234">
        <f t="shared" si="39"/>
        <v>1073814</v>
      </c>
      <c r="I234">
        <f t="shared" si="40"/>
        <v>-16939118</v>
      </c>
      <c r="J234">
        <v>4144</v>
      </c>
      <c r="K234">
        <f t="shared" si="41"/>
        <v>8590512</v>
      </c>
      <c r="L234">
        <f t="shared" si="42"/>
        <v>-135512944</v>
      </c>
      <c r="M234">
        <v>-3468</v>
      </c>
      <c r="N234">
        <f t="shared" si="43"/>
        <v>-7189164</v>
      </c>
      <c r="O234">
        <f t="shared" si="44"/>
        <v>113407068</v>
      </c>
      <c r="P234">
        <v>-8079</v>
      </c>
      <c r="Q234">
        <f t="shared" si="45"/>
        <v>-16747767</v>
      </c>
      <c r="R234">
        <f t="shared" si="46"/>
        <v>264191379</v>
      </c>
    </row>
    <row r="235" spans="1:18">
      <c r="A235">
        <f t="shared" si="47"/>
        <v>232</v>
      </c>
      <c r="B235">
        <v>-21399</v>
      </c>
      <c r="C235">
        <v>-24815</v>
      </c>
      <c r="D235" t="str">
        <f t="shared" si="36"/>
        <v>FFFFFFAC69</v>
      </c>
      <c r="E235" t="str">
        <f t="shared" si="37"/>
        <v>FFFFFF9F11</v>
      </c>
      <c r="F235">
        <v>-5350</v>
      </c>
      <c r="G235" t="str">
        <f t="shared" si="38"/>
        <v>FFFFFFEB1A</v>
      </c>
      <c r="H235">
        <f t="shared" si="39"/>
        <v>114484650</v>
      </c>
      <c r="I235">
        <f t="shared" si="40"/>
        <v>132760250</v>
      </c>
      <c r="J235">
        <v>-1950</v>
      </c>
      <c r="K235">
        <f t="shared" si="41"/>
        <v>41728050</v>
      </c>
      <c r="L235">
        <f t="shared" si="42"/>
        <v>48389250</v>
      </c>
      <c r="M235">
        <v>-7671</v>
      </c>
      <c r="N235">
        <f t="shared" si="43"/>
        <v>164151729</v>
      </c>
      <c r="O235">
        <f t="shared" si="44"/>
        <v>190355865</v>
      </c>
      <c r="P235">
        <v>-6700</v>
      </c>
      <c r="Q235">
        <f t="shared" si="45"/>
        <v>143373300</v>
      </c>
      <c r="R235">
        <f t="shared" si="46"/>
        <v>166260500</v>
      </c>
    </row>
    <row r="236" spans="1:18">
      <c r="A236">
        <f t="shared" si="47"/>
        <v>233</v>
      </c>
      <c r="B236">
        <v>-32651</v>
      </c>
      <c r="C236">
        <v>-2758</v>
      </c>
      <c r="D236" t="str">
        <f t="shared" si="36"/>
        <v>FFFFFF8075</v>
      </c>
      <c r="E236" t="str">
        <f t="shared" si="37"/>
        <v>FFFFFFF53A</v>
      </c>
      <c r="F236">
        <v>-8163</v>
      </c>
      <c r="G236" t="str">
        <f t="shared" si="38"/>
        <v>FFFFFFE01D</v>
      </c>
      <c r="H236">
        <f t="shared" si="39"/>
        <v>266530113</v>
      </c>
      <c r="I236">
        <f t="shared" si="40"/>
        <v>22513554</v>
      </c>
      <c r="J236">
        <v>-6942</v>
      </c>
      <c r="K236">
        <f t="shared" si="41"/>
        <v>226663242</v>
      </c>
      <c r="L236">
        <f t="shared" si="42"/>
        <v>19146036</v>
      </c>
      <c r="M236">
        <v>-7493</v>
      </c>
      <c r="N236">
        <f t="shared" si="43"/>
        <v>244653943</v>
      </c>
      <c r="O236">
        <f t="shared" si="44"/>
        <v>20665694</v>
      </c>
      <c r="P236">
        <v>-1455</v>
      </c>
      <c r="Q236">
        <f t="shared" si="45"/>
        <v>47507205</v>
      </c>
      <c r="R236">
        <f t="shared" si="46"/>
        <v>4012890</v>
      </c>
    </row>
    <row r="237" spans="1:18">
      <c r="A237">
        <f t="shared" si="47"/>
        <v>234</v>
      </c>
      <c r="B237">
        <v>-25258</v>
      </c>
      <c r="C237">
        <v>20874</v>
      </c>
      <c r="D237" t="str">
        <f t="shared" si="36"/>
        <v>FFFFFF9D56</v>
      </c>
      <c r="E237" t="str">
        <f t="shared" si="37"/>
        <v>518A</v>
      </c>
      <c r="F237">
        <v>-6315</v>
      </c>
      <c r="G237" t="str">
        <f t="shared" si="38"/>
        <v>FFFFFFE755</v>
      </c>
      <c r="H237">
        <f t="shared" si="39"/>
        <v>159504270</v>
      </c>
      <c r="I237">
        <f t="shared" si="40"/>
        <v>-131819310</v>
      </c>
      <c r="J237">
        <v>-8010</v>
      </c>
      <c r="K237">
        <f t="shared" si="41"/>
        <v>202316580</v>
      </c>
      <c r="L237">
        <f t="shared" si="42"/>
        <v>-167200740</v>
      </c>
      <c r="M237">
        <v>-3036</v>
      </c>
      <c r="N237">
        <f t="shared" si="43"/>
        <v>76683288</v>
      </c>
      <c r="O237">
        <f t="shared" si="44"/>
        <v>-63373464</v>
      </c>
      <c r="P237">
        <v>4629</v>
      </c>
      <c r="Q237">
        <f t="shared" si="45"/>
        <v>-116919282</v>
      </c>
      <c r="R237">
        <f t="shared" si="46"/>
        <v>96625746</v>
      </c>
    </row>
    <row r="238" spans="1:18">
      <c r="A238">
        <f t="shared" si="47"/>
        <v>235</v>
      </c>
      <c r="B238">
        <v>-3441</v>
      </c>
      <c r="C238">
        <v>32586</v>
      </c>
      <c r="D238" t="str">
        <f t="shared" si="36"/>
        <v>FFFFFFF28F</v>
      </c>
      <c r="E238" t="str">
        <f t="shared" si="37"/>
        <v>7F4A</v>
      </c>
      <c r="F238">
        <v>-860</v>
      </c>
      <c r="G238" t="str">
        <f t="shared" si="38"/>
        <v>FFFFFFFCA4</v>
      </c>
      <c r="H238">
        <f t="shared" si="39"/>
        <v>2959260</v>
      </c>
      <c r="I238">
        <f t="shared" si="40"/>
        <v>-28023960</v>
      </c>
      <c r="J238">
        <v>-4551</v>
      </c>
      <c r="K238">
        <f t="shared" si="41"/>
        <v>15659991</v>
      </c>
      <c r="L238">
        <f t="shared" si="42"/>
        <v>-148298886</v>
      </c>
      <c r="M238">
        <v>3154</v>
      </c>
      <c r="N238">
        <f t="shared" si="43"/>
        <v>-10852914</v>
      </c>
      <c r="O238">
        <f t="shared" si="44"/>
        <v>102776244</v>
      </c>
      <c r="P238">
        <v>8043</v>
      </c>
      <c r="Q238">
        <f t="shared" si="45"/>
        <v>-27675963</v>
      </c>
      <c r="R238">
        <f t="shared" si="46"/>
        <v>262089198</v>
      </c>
    </row>
    <row r="239" spans="1:18">
      <c r="A239">
        <f t="shared" si="47"/>
        <v>236</v>
      </c>
      <c r="B239">
        <v>20340</v>
      </c>
      <c r="C239">
        <v>25689</v>
      </c>
      <c r="D239" t="str">
        <f t="shared" si="36"/>
        <v>4F74</v>
      </c>
      <c r="E239" t="str">
        <f t="shared" si="37"/>
        <v>6459</v>
      </c>
      <c r="F239">
        <v>5085</v>
      </c>
      <c r="G239" t="str">
        <f t="shared" si="38"/>
        <v>13DD</v>
      </c>
      <c r="H239">
        <f t="shared" si="39"/>
        <v>103428900</v>
      </c>
      <c r="I239">
        <f t="shared" si="40"/>
        <v>130628565</v>
      </c>
      <c r="J239">
        <v>1480</v>
      </c>
      <c r="K239">
        <f t="shared" si="41"/>
        <v>30103200</v>
      </c>
      <c r="L239">
        <f t="shared" si="42"/>
        <v>38019720</v>
      </c>
      <c r="M239">
        <v>7543</v>
      </c>
      <c r="N239">
        <f t="shared" si="43"/>
        <v>153424620</v>
      </c>
      <c r="O239">
        <f t="shared" si="44"/>
        <v>193772127</v>
      </c>
      <c r="P239">
        <v>6816</v>
      </c>
      <c r="Q239">
        <f t="shared" si="45"/>
        <v>138637440</v>
      </c>
      <c r="R239">
        <f t="shared" si="46"/>
        <v>175096224</v>
      </c>
    </row>
    <row r="240" spans="1:18">
      <c r="A240">
        <f t="shared" si="47"/>
        <v>237</v>
      </c>
      <c r="B240">
        <v>32507</v>
      </c>
      <c r="C240">
        <v>4123</v>
      </c>
      <c r="D240" t="str">
        <f t="shared" si="36"/>
        <v>7EFB</v>
      </c>
      <c r="E240" t="str">
        <f t="shared" si="37"/>
        <v>101B</v>
      </c>
      <c r="F240">
        <v>8127</v>
      </c>
      <c r="G240" t="str">
        <f t="shared" si="38"/>
        <v>1FBF</v>
      </c>
      <c r="H240">
        <f t="shared" si="39"/>
        <v>264184389</v>
      </c>
      <c r="I240">
        <f t="shared" si="40"/>
        <v>33507621</v>
      </c>
      <c r="J240">
        <v>6675</v>
      </c>
      <c r="K240">
        <f t="shared" si="41"/>
        <v>216984225</v>
      </c>
      <c r="L240">
        <f t="shared" si="42"/>
        <v>27521025</v>
      </c>
      <c r="M240">
        <v>7625</v>
      </c>
      <c r="N240">
        <f t="shared" si="43"/>
        <v>247865875</v>
      </c>
      <c r="O240">
        <f t="shared" si="44"/>
        <v>31437875</v>
      </c>
      <c r="P240">
        <v>1657</v>
      </c>
      <c r="Q240">
        <f t="shared" si="45"/>
        <v>53864099</v>
      </c>
      <c r="R240">
        <f t="shared" si="46"/>
        <v>6831811</v>
      </c>
    </row>
    <row r="241" spans="1:18">
      <c r="A241">
        <f t="shared" si="47"/>
        <v>238</v>
      </c>
      <c r="B241">
        <v>26110</v>
      </c>
      <c r="C241">
        <v>-19798</v>
      </c>
      <c r="D241" t="str">
        <f t="shared" si="36"/>
        <v>65FE</v>
      </c>
      <c r="E241" t="str">
        <f t="shared" si="37"/>
        <v>FFFFFFB2AA</v>
      </c>
      <c r="F241">
        <v>6528</v>
      </c>
      <c r="G241" t="str">
        <f t="shared" si="38"/>
        <v>1980</v>
      </c>
      <c r="H241">
        <f t="shared" si="39"/>
        <v>170446080</v>
      </c>
      <c r="I241">
        <f t="shared" si="40"/>
        <v>-129241344</v>
      </c>
      <c r="J241">
        <v>8097</v>
      </c>
      <c r="K241">
        <f t="shared" si="41"/>
        <v>211412670</v>
      </c>
      <c r="L241">
        <f t="shared" si="42"/>
        <v>-160304406</v>
      </c>
      <c r="M241">
        <v>3352</v>
      </c>
      <c r="N241">
        <f t="shared" si="43"/>
        <v>87520720</v>
      </c>
      <c r="O241">
        <f t="shared" si="44"/>
        <v>-66362896</v>
      </c>
      <c r="P241">
        <v>-4458</v>
      </c>
      <c r="Q241">
        <f t="shared" si="45"/>
        <v>-116398380</v>
      </c>
      <c r="R241">
        <f t="shared" si="46"/>
        <v>88259484</v>
      </c>
    </row>
    <row r="242" spans="1:18">
      <c r="A242">
        <f t="shared" si="47"/>
        <v>239</v>
      </c>
      <c r="B242">
        <v>4803</v>
      </c>
      <c r="C242">
        <v>-32413</v>
      </c>
      <c r="D242" t="str">
        <f t="shared" si="36"/>
        <v>12C3</v>
      </c>
      <c r="E242" t="str">
        <f t="shared" si="37"/>
        <v>FFFFFF8163</v>
      </c>
      <c r="F242">
        <v>1201</v>
      </c>
      <c r="G242" t="str">
        <f t="shared" si="38"/>
        <v>4B1</v>
      </c>
      <c r="H242">
        <f t="shared" si="39"/>
        <v>5768403</v>
      </c>
      <c r="I242">
        <f t="shared" si="40"/>
        <v>-38928013</v>
      </c>
      <c r="J242">
        <v>4943</v>
      </c>
      <c r="K242">
        <f t="shared" si="41"/>
        <v>23741229</v>
      </c>
      <c r="L242">
        <f t="shared" si="42"/>
        <v>-160217459</v>
      </c>
      <c r="M242">
        <v>-2835</v>
      </c>
      <c r="N242">
        <f t="shared" si="43"/>
        <v>-13616505</v>
      </c>
      <c r="O242">
        <f t="shared" si="44"/>
        <v>91890855</v>
      </c>
      <c r="P242">
        <v>-8001</v>
      </c>
      <c r="Q242">
        <f t="shared" si="45"/>
        <v>-38428803</v>
      </c>
      <c r="R242">
        <f t="shared" si="46"/>
        <v>259336413</v>
      </c>
    </row>
    <row r="243" spans="1:18">
      <c r="A243">
        <f t="shared" si="47"/>
        <v>240</v>
      </c>
      <c r="B243">
        <v>-19247</v>
      </c>
      <c r="C243">
        <v>-26519</v>
      </c>
      <c r="D243" t="str">
        <f t="shared" si="36"/>
        <v>FFFFFFB4D1</v>
      </c>
      <c r="E243" t="str">
        <f t="shared" si="37"/>
        <v>FFFFFF9869</v>
      </c>
      <c r="F243">
        <v>-4812</v>
      </c>
      <c r="G243" t="str">
        <f t="shared" si="38"/>
        <v>FFFFFFED34</v>
      </c>
      <c r="H243">
        <f t="shared" si="39"/>
        <v>92616564</v>
      </c>
      <c r="I243">
        <f t="shared" si="40"/>
        <v>127609428</v>
      </c>
      <c r="J243">
        <v>-1005</v>
      </c>
      <c r="K243">
        <f t="shared" si="41"/>
        <v>19343235</v>
      </c>
      <c r="L243">
        <f t="shared" si="42"/>
        <v>26651595</v>
      </c>
      <c r="M243">
        <v>-7403</v>
      </c>
      <c r="N243">
        <f t="shared" si="43"/>
        <v>142485541</v>
      </c>
      <c r="O243">
        <f t="shared" si="44"/>
        <v>196320157</v>
      </c>
      <c r="P243">
        <v>-6928</v>
      </c>
      <c r="Q243">
        <f t="shared" si="45"/>
        <v>133343216</v>
      </c>
      <c r="R243">
        <f t="shared" si="46"/>
        <v>183723632</v>
      </c>
    </row>
    <row r="244" spans="1:18">
      <c r="A244">
        <f t="shared" si="47"/>
        <v>241</v>
      </c>
      <c r="B244">
        <v>-32305</v>
      </c>
      <c r="C244">
        <v>-5481</v>
      </c>
      <c r="D244" t="str">
        <f t="shared" si="36"/>
        <v>FFFFFF81CF</v>
      </c>
      <c r="E244" t="str">
        <f t="shared" si="37"/>
        <v>FFFFFFEA97</v>
      </c>
      <c r="F244">
        <v>-8077</v>
      </c>
      <c r="G244" t="str">
        <f t="shared" si="38"/>
        <v>FFFFFFE073</v>
      </c>
      <c r="H244">
        <f t="shared" si="39"/>
        <v>260927485</v>
      </c>
      <c r="I244">
        <f t="shared" si="40"/>
        <v>44270037</v>
      </c>
      <c r="J244">
        <v>-6385</v>
      </c>
      <c r="K244">
        <f t="shared" si="41"/>
        <v>206267425</v>
      </c>
      <c r="L244">
        <f t="shared" si="42"/>
        <v>34996185</v>
      </c>
      <c r="M244">
        <v>-7743</v>
      </c>
      <c r="N244">
        <f t="shared" si="43"/>
        <v>250137615</v>
      </c>
      <c r="O244">
        <f t="shared" si="44"/>
        <v>42439383</v>
      </c>
      <c r="P244">
        <v>-1858</v>
      </c>
      <c r="Q244">
        <f t="shared" si="45"/>
        <v>60022690</v>
      </c>
      <c r="R244">
        <f t="shared" si="46"/>
        <v>10183698</v>
      </c>
    </row>
    <row r="245" spans="1:18">
      <c r="A245">
        <f t="shared" si="47"/>
        <v>242</v>
      </c>
      <c r="B245">
        <v>-26916</v>
      </c>
      <c r="C245">
        <v>18687</v>
      </c>
      <c r="D245" t="str">
        <f t="shared" si="36"/>
        <v>FFFFFF96DC</v>
      </c>
      <c r="E245" t="str">
        <f t="shared" si="37"/>
        <v>48FF</v>
      </c>
      <c r="F245">
        <v>-6729</v>
      </c>
      <c r="G245" t="str">
        <f t="shared" si="38"/>
        <v>FFFFFFE5B7</v>
      </c>
      <c r="H245">
        <f t="shared" si="39"/>
        <v>181117764</v>
      </c>
      <c r="I245">
        <f t="shared" si="40"/>
        <v>-125744823</v>
      </c>
      <c r="J245">
        <v>-8156</v>
      </c>
      <c r="K245">
        <f t="shared" si="41"/>
        <v>219526896</v>
      </c>
      <c r="L245">
        <f t="shared" si="42"/>
        <v>-152411172</v>
      </c>
      <c r="M245">
        <v>-3662</v>
      </c>
      <c r="N245">
        <f t="shared" si="43"/>
        <v>98566392</v>
      </c>
      <c r="O245">
        <f t="shared" si="44"/>
        <v>-68431794</v>
      </c>
      <c r="P245">
        <v>4284</v>
      </c>
      <c r="Q245">
        <f t="shared" si="45"/>
        <v>-115308144</v>
      </c>
      <c r="R245">
        <f t="shared" si="46"/>
        <v>80055108</v>
      </c>
    </row>
    <row r="246" spans="1:18">
      <c r="A246">
        <f t="shared" si="47"/>
        <v>243</v>
      </c>
      <c r="B246">
        <v>-6156</v>
      </c>
      <c r="C246">
        <v>32183</v>
      </c>
      <c r="D246" t="str">
        <f t="shared" si="36"/>
        <v>FFFFFFE7F4</v>
      </c>
      <c r="E246" t="str">
        <f t="shared" si="37"/>
        <v>7DB7</v>
      </c>
      <c r="F246">
        <v>-1539</v>
      </c>
      <c r="G246" t="str">
        <f t="shared" si="38"/>
        <v>FFFFFFF9FD</v>
      </c>
      <c r="H246">
        <f t="shared" si="39"/>
        <v>9474084</v>
      </c>
      <c r="I246">
        <f t="shared" si="40"/>
        <v>-49529637</v>
      </c>
      <c r="J246">
        <v>-5317</v>
      </c>
      <c r="K246">
        <f t="shared" si="41"/>
        <v>32731452</v>
      </c>
      <c r="L246">
        <f t="shared" si="42"/>
        <v>-171117011</v>
      </c>
      <c r="M246">
        <v>2511</v>
      </c>
      <c r="N246">
        <f t="shared" si="43"/>
        <v>-15457716</v>
      </c>
      <c r="O246">
        <f t="shared" si="44"/>
        <v>80811513</v>
      </c>
      <c r="P246">
        <v>7954</v>
      </c>
      <c r="Q246">
        <f t="shared" si="45"/>
        <v>-48964824</v>
      </c>
      <c r="R246">
        <f t="shared" si="46"/>
        <v>255983582</v>
      </c>
    </row>
    <row r="247" spans="1:18">
      <c r="A247">
        <f t="shared" si="47"/>
        <v>244</v>
      </c>
      <c r="B247">
        <v>18119</v>
      </c>
      <c r="C247">
        <v>27302</v>
      </c>
      <c r="D247" t="str">
        <f t="shared" si="36"/>
        <v>46C7</v>
      </c>
      <c r="E247" t="str">
        <f t="shared" si="37"/>
        <v>6AA6</v>
      </c>
      <c r="F247">
        <v>4530</v>
      </c>
      <c r="G247" t="str">
        <f t="shared" si="38"/>
        <v>11B2</v>
      </c>
      <c r="H247">
        <f t="shared" si="39"/>
        <v>82079070</v>
      </c>
      <c r="I247">
        <f t="shared" si="40"/>
        <v>123678060</v>
      </c>
      <c r="J247">
        <v>527</v>
      </c>
      <c r="K247">
        <f t="shared" si="41"/>
        <v>9548713</v>
      </c>
      <c r="L247">
        <f t="shared" si="42"/>
        <v>14388154</v>
      </c>
      <c r="M247">
        <v>7250</v>
      </c>
      <c r="N247">
        <f t="shared" si="43"/>
        <v>131362750</v>
      </c>
      <c r="O247">
        <f t="shared" si="44"/>
        <v>197939500</v>
      </c>
      <c r="P247">
        <v>7036</v>
      </c>
      <c r="Q247">
        <f t="shared" si="45"/>
        <v>127485284</v>
      </c>
      <c r="R247">
        <f t="shared" si="46"/>
        <v>192096872</v>
      </c>
    </row>
    <row r="248" spans="1:18">
      <c r="A248">
        <f t="shared" si="47"/>
        <v>245</v>
      </c>
      <c r="B248">
        <v>32047</v>
      </c>
      <c r="C248">
        <v>6829</v>
      </c>
      <c r="D248" t="str">
        <f t="shared" si="36"/>
        <v>7D2F</v>
      </c>
      <c r="E248" t="str">
        <f t="shared" si="37"/>
        <v>1AAD</v>
      </c>
      <c r="F248">
        <v>8012</v>
      </c>
      <c r="G248" t="str">
        <f t="shared" si="38"/>
        <v>1F4C</v>
      </c>
      <c r="H248">
        <f t="shared" si="39"/>
        <v>256760564</v>
      </c>
      <c r="I248">
        <f t="shared" si="40"/>
        <v>54713948</v>
      </c>
      <c r="J248">
        <v>6073</v>
      </c>
      <c r="K248">
        <f t="shared" si="41"/>
        <v>194621431</v>
      </c>
      <c r="L248">
        <f t="shared" si="42"/>
        <v>41472517</v>
      </c>
      <c r="M248">
        <v>7849</v>
      </c>
      <c r="N248">
        <f t="shared" si="43"/>
        <v>251536903</v>
      </c>
      <c r="O248">
        <f t="shared" si="44"/>
        <v>53600821</v>
      </c>
      <c r="P248">
        <v>2058</v>
      </c>
      <c r="Q248">
        <f t="shared" si="45"/>
        <v>65952726</v>
      </c>
      <c r="R248">
        <f t="shared" si="46"/>
        <v>14054082</v>
      </c>
    </row>
    <row r="249" spans="1:18">
      <c r="A249">
        <f t="shared" si="47"/>
        <v>246</v>
      </c>
      <c r="B249">
        <v>27675</v>
      </c>
      <c r="C249">
        <v>-17543</v>
      </c>
      <c r="D249" t="str">
        <f t="shared" si="36"/>
        <v>6C1B</v>
      </c>
      <c r="E249" t="str">
        <f t="shared" si="37"/>
        <v>FFFFFFBB79</v>
      </c>
      <c r="F249">
        <v>6919</v>
      </c>
      <c r="G249" t="str">
        <f t="shared" si="38"/>
        <v>1B07</v>
      </c>
      <c r="H249">
        <f t="shared" si="39"/>
        <v>191483325</v>
      </c>
      <c r="I249">
        <f t="shared" si="40"/>
        <v>-121380017</v>
      </c>
      <c r="J249">
        <v>8187</v>
      </c>
      <c r="K249">
        <f t="shared" si="41"/>
        <v>226575225</v>
      </c>
      <c r="L249">
        <f t="shared" si="42"/>
        <v>-143624541</v>
      </c>
      <c r="M249">
        <v>3966</v>
      </c>
      <c r="N249">
        <f t="shared" si="43"/>
        <v>109759050</v>
      </c>
      <c r="O249">
        <f t="shared" si="44"/>
        <v>-69575538</v>
      </c>
      <c r="P249">
        <v>-4107</v>
      </c>
      <c r="Q249">
        <f t="shared" si="45"/>
        <v>-113661225</v>
      </c>
      <c r="R249">
        <f t="shared" si="46"/>
        <v>72049101</v>
      </c>
    </row>
    <row r="250" spans="1:18">
      <c r="A250">
        <f t="shared" si="47"/>
        <v>247</v>
      </c>
      <c r="B250">
        <v>7499</v>
      </c>
      <c r="C250">
        <v>-31897</v>
      </c>
      <c r="D250" t="str">
        <f t="shared" si="36"/>
        <v>1D4B</v>
      </c>
      <c r="E250" t="str">
        <f t="shared" si="37"/>
        <v>FFFFFF8367</v>
      </c>
      <c r="F250">
        <v>1875</v>
      </c>
      <c r="G250" t="str">
        <f t="shared" si="38"/>
        <v>753</v>
      </c>
      <c r="H250">
        <f t="shared" si="39"/>
        <v>14060625</v>
      </c>
      <c r="I250">
        <f t="shared" si="40"/>
        <v>-59806875</v>
      </c>
      <c r="J250">
        <v>5673</v>
      </c>
      <c r="K250">
        <f t="shared" si="41"/>
        <v>42541827</v>
      </c>
      <c r="L250">
        <f t="shared" si="42"/>
        <v>-180951681</v>
      </c>
      <c r="M250">
        <v>-2182</v>
      </c>
      <c r="N250">
        <f t="shared" si="43"/>
        <v>-16362818</v>
      </c>
      <c r="O250">
        <f t="shared" si="44"/>
        <v>69599254</v>
      </c>
      <c r="P250">
        <v>-7903</v>
      </c>
      <c r="Q250">
        <f t="shared" si="45"/>
        <v>-59264597</v>
      </c>
      <c r="R250">
        <f t="shared" si="46"/>
        <v>252081991</v>
      </c>
    </row>
    <row r="251" spans="1:18">
      <c r="A251">
        <f t="shared" si="47"/>
        <v>248</v>
      </c>
      <c r="B251">
        <v>-16960</v>
      </c>
      <c r="C251">
        <v>-28037</v>
      </c>
      <c r="D251" t="str">
        <f t="shared" si="36"/>
        <v>FFFFFFBDC0</v>
      </c>
      <c r="E251" t="str">
        <f t="shared" si="37"/>
        <v>FFFFFF927B</v>
      </c>
      <c r="F251">
        <v>-4240</v>
      </c>
      <c r="G251" t="str">
        <f t="shared" si="38"/>
        <v>FFFFFFEF70</v>
      </c>
      <c r="H251">
        <f t="shared" si="39"/>
        <v>71910400</v>
      </c>
      <c r="I251">
        <f t="shared" si="40"/>
        <v>118876880</v>
      </c>
      <c r="J251">
        <v>-47</v>
      </c>
      <c r="K251">
        <f t="shared" si="41"/>
        <v>797120</v>
      </c>
      <c r="L251">
        <f t="shared" si="42"/>
        <v>1317739</v>
      </c>
      <c r="M251">
        <v>-7084</v>
      </c>
      <c r="N251">
        <f t="shared" si="43"/>
        <v>120144640</v>
      </c>
      <c r="O251">
        <f t="shared" si="44"/>
        <v>198614108</v>
      </c>
      <c r="P251">
        <v>-7139</v>
      </c>
      <c r="Q251">
        <f t="shared" si="45"/>
        <v>121077440</v>
      </c>
      <c r="R251">
        <f t="shared" si="46"/>
        <v>200156143</v>
      </c>
    </row>
    <row r="252" spans="1:18">
      <c r="A252">
        <f t="shared" si="47"/>
        <v>249</v>
      </c>
      <c r="B252">
        <v>-31733</v>
      </c>
      <c r="C252">
        <v>-8165</v>
      </c>
      <c r="D252" t="str">
        <f t="shared" si="36"/>
        <v>FFFFFF840B</v>
      </c>
      <c r="E252" t="str">
        <f t="shared" si="37"/>
        <v>FFFFFFE01B</v>
      </c>
      <c r="F252">
        <v>-7934</v>
      </c>
      <c r="G252" t="str">
        <f t="shared" si="38"/>
        <v>FFFFFFE102</v>
      </c>
      <c r="H252">
        <f t="shared" si="39"/>
        <v>251769622</v>
      </c>
      <c r="I252">
        <f t="shared" si="40"/>
        <v>64781110</v>
      </c>
      <c r="J252">
        <v>-5741</v>
      </c>
      <c r="K252">
        <f t="shared" si="41"/>
        <v>182179153</v>
      </c>
      <c r="L252">
        <f t="shared" si="42"/>
        <v>46875265</v>
      </c>
      <c r="M252">
        <v>-7940</v>
      </c>
      <c r="N252">
        <f t="shared" si="43"/>
        <v>251960020</v>
      </c>
      <c r="O252">
        <f t="shared" si="44"/>
        <v>64830100</v>
      </c>
      <c r="P252">
        <v>-2257</v>
      </c>
      <c r="Q252">
        <f t="shared" si="45"/>
        <v>71621381</v>
      </c>
      <c r="R252">
        <f t="shared" si="46"/>
        <v>18428405</v>
      </c>
    </row>
    <row r="253" spans="1:18">
      <c r="A253">
        <f t="shared" si="47"/>
        <v>250</v>
      </c>
      <c r="B253">
        <v>-28386</v>
      </c>
      <c r="C253">
        <v>16369</v>
      </c>
      <c r="D253" t="str">
        <f t="shared" si="36"/>
        <v>FFFFFF911E</v>
      </c>
      <c r="E253" t="str">
        <f t="shared" si="37"/>
        <v>3FF1</v>
      </c>
      <c r="F253">
        <v>-7097</v>
      </c>
      <c r="G253" t="str">
        <f t="shared" si="38"/>
        <v>FFFFFFE447</v>
      </c>
      <c r="H253">
        <f t="shared" si="39"/>
        <v>201455442</v>
      </c>
      <c r="I253">
        <f t="shared" si="40"/>
        <v>-116170793</v>
      </c>
      <c r="J253">
        <v>-8190</v>
      </c>
      <c r="K253">
        <f t="shared" si="41"/>
        <v>232481340</v>
      </c>
      <c r="L253">
        <f t="shared" si="42"/>
        <v>-134062110</v>
      </c>
      <c r="M253">
        <v>-4262</v>
      </c>
      <c r="N253">
        <f t="shared" si="43"/>
        <v>120981132</v>
      </c>
      <c r="O253">
        <f t="shared" si="44"/>
        <v>-69764678</v>
      </c>
      <c r="P253">
        <v>3927</v>
      </c>
      <c r="Q253">
        <f t="shared" si="45"/>
        <v>-111471822</v>
      </c>
      <c r="R253">
        <f t="shared" si="46"/>
        <v>64281063</v>
      </c>
    </row>
    <row r="254" spans="1:18">
      <c r="A254">
        <f t="shared" si="47"/>
        <v>251</v>
      </c>
      <c r="B254">
        <v>-8828</v>
      </c>
      <c r="C254">
        <v>31555</v>
      </c>
      <c r="D254" t="str">
        <f t="shared" si="36"/>
        <v>FFFFFFDD84</v>
      </c>
      <c r="E254" t="str">
        <f t="shared" si="37"/>
        <v>7B43</v>
      </c>
      <c r="F254">
        <v>-2207</v>
      </c>
      <c r="G254" t="str">
        <f t="shared" si="38"/>
        <v>FFFFFFF761</v>
      </c>
      <c r="H254">
        <f t="shared" si="39"/>
        <v>19483396</v>
      </c>
      <c r="I254">
        <f t="shared" si="40"/>
        <v>-69641885</v>
      </c>
      <c r="J254">
        <v>-6010</v>
      </c>
      <c r="K254">
        <f t="shared" si="41"/>
        <v>53056280</v>
      </c>
      <c r="L254">
        <f t="shared" si="42"/>
        <v>-189645550</v>
      </c>
      <c r="M254">
        <v>1849</v>
      </c>
      <c r="N254">
        <f t="shared" si="43"/>
        <v>-16322972</v>
      </c>
      <c r="O254">
        <f t="shared" si="44"/>
        <v>58345195</v>
      </c>
      <c r="P254">
        <v>7846</v>
      </c>
      <c r="Q254">
        <f t="shared" si="45"/>
        <v>-69264488</v>
      </c>
      <c r="R254">
        <f t="shared" si="46"/>
        <v>247580530</v>
      </c>
    </row>
    <row r="255" spans="1:18">
      <c r="A255">
        <f t="shared" si="47"/>
        <v>252</v>
      </c>
      <c r="B255">
        <v>15770</v>
      </c>
      <c r="C255">
        <v>28722</v>
      </c>
      <c r="D255" t="str">
        <f t="shared" si="36"/>
        <v>3D9A</v>
      </c>
      <c r="E255" t="str">
        <f t="shared" si="37"/>
        <v>7032</v>
      </c>
      <c r="F255">
        <v>3943</v>
      </c>
      <c r="G255" t="str">
        <f t="shared" si="38"/>
        <v>F67</v>
      </c>
      <c r="H255">
        <f t="shared" si="39"/>
        <v>62181110</v>
      </c>
      <c r="I255">
        <f t="shared" si="40"/>
        <v>113250846</v>
      </c>
      <c r="J255">
        <v>-433</v>
      </c>
      <c r="K255">
        <f t="shared" si="41"/>
        <v>-6828410</v>
      </c>
      <c r="L255">
        <f t="shared" si="42"/>
        <v>-12436626</v>
      </c>
      <c r="M255">
        <v>6905</v>
      </c>
      <c r="N255">
        <f t="shared" si="43"/>
        <v>108891850</v>
      </c>
      <c r="O255">
        <f t="shared" si="44"/>
        <v>198325410</v>
      </c>
      <c r="P255">
        <v>7238</v>
      </c>
      <c r="Q255">
        <f t="shared" si="45"/>
        <v>114143260</v>
      </c>
      <c r="R255">
        <f t="shared" si="46"/>
        <v>207889836</v>
      </c>
    </row>
    <row r="256" spans="1:18">
      <c r="A256">
        <f t="shared" si="47"/>
        <v>253</v>
      </c>
      <c r="B256">
        <v>31363</v>
      </c>
      <c r="C256">
        <v>9487</v>
      </c>
      <c r="D256" t="str">
        <f t="shared" si="36"/>
        <v>7A83</v>
      </c>
      <c r="E256" t="str">
        <f t="shared" si="37"/>
        <v>250F</v>
      </c>
      <c r="F256">
        <v>7841</v>
      </c>
      <c r="G256" t="str">
        <f t="shared" si="38"/>
        <v>1EA1</v>
      </c>
      <c r="H256">
        <f t="shared" si="39"/>
        <v>245917283</v>
      </c>
      <c r="I256">
        <f t="shared" si="40"/>
        <v>74387567</v>
      </c>
      <c r="J256">
        <v>5388</v>
      </c>
      <c r="K256">
        <f t="shared" si="41"/>
        <v>168983844</v>
      </c>
      <c r="L256">
        <f t="shared" si="42"/>
        <v>51115956</v>
      </c>
      <c r="M256">
        <v>8017</v>
      </c>
      <c r="N256">
        <f t="shared" si="43"/>
        <v>251437171</v>
      </c>
      <c r="O256">
        <f t="shared" si="44"/>
        <v>76057279</v>
      </c>
      <c r="P256">
        <v>2454</v>
      </c>
      <c r="Q256">
        <f t="shared" si="45"/>
        <v>76964802</v>
      </c>
      <c r="R256">
        <f t="shared" si="46"/>
        <v>23281098</v>
      </c>
    </row>
    <row r="257" spans="1:18">
      <c r="A257">
        <f t="shared" si="47"/>
        <v>254</v>
      </c>
      <c r="B257">
        <v>29046</v>
      </c>
      <c r="C257">
        <v>-15165</v>
      </c>
      <c r="D257" t="str">
        <f t="shared" si="36"/>
        <v>7176</v>
      </c>
      <c r="E257" t="str">
        <f t="shared" si="37"/>
        <v>FFFFFFC4C3</v>
      </c>
      <c r="F257">
        <v>7262</v>
      </c>
      <c r="G257" t="str">
        <f t="shared" si="38"/>
        <v>1C5E</v>
      </c>
      <c r="H257">
        <f t="shared" si="39"/>
        <v>210932052</v>
      </c>
      <c r="I257">
        <f t="shared" si="40"/>
        <v>-110128230</v>
      </c>
      <c r="J257">
        <v>8164</v>
      </c>
      <c r="K257">
        <f t="shared" si="41"/>
        <v>237131544</v>
      </c>
      <c r="L257">
        <f t="shared" si="42"/>
        <v>-123807060</v>
      </c>
      <c r="M257">
        <v>4551</v>
      </c>
      <c r="N257">
        <f t="shared" si="43"/>
        <v>132188346</v>
      </c>
      <c r="O257">
        <f t="shared" si="44"/>
        <v>-69015915</v>
      </c>
      <c r="P257">
        <v>-3746</v>
      </c>
      <c r="Q257">
        <f t="shared" si="45"/>
        <v>-108806316</v>
      </c>
      <c r="R257">
        <f t="shared" si="46"/>
        <v>56808090</v>
      </c>
    </row>
    <row r="258" spans="1:18">
      <c r="A258">
        <f t="shared" si="47"/>
        <v>255</v>
      </c>
      <c r="B258">
        <v>10142</v>
      </c>
      <c r="C258">
        <v>-31158</v>
      </c>
      <c r="D258" t="str">
        <f t="shared" si="36"/>
        <v>279E</v>
      </c>
      <c r="E258" t="str">
        <f t="shared" si="37"/>
        <v>FFFFFF864A</v>
      </c>
      <c r="F258">
        <v>2536</v>
      </c>
      <c r="G258" t="str">
        <f t="shared" si="38"/>
        <v>9E8</v>
      </c>
      <c r="H258">
        <f t="shared" si="39"/>
        <v>25720112</v>
      </c>
      <c r="I258">
        <f t="shared" si="40"/>
        <v>-79016688</v>
      </c>
      <c r="J258">
        <v>6326</v>
      </c>
      <c r="K258">
        <f t="shared" si="41"/>
        <v>64158292</v>
      </c>
      <c r="L258">
        <f t="shared" si="42"/>
        <v>-197105508</v>
      </c>
      <c r="M258">
        <v>-1514</v>
      </c>
      <c r="N258">
        <f t="shared" si="43"/>
        <v>-15354988</v>
      </c>
      <c r="O258">
        <f t="shared" si="44"/>
        <v>47173212</v>
      </c>
      <c r="P258">
        <v>-7784</v>
      </c>
      <c r="Q258">
        <f t="shared" si="45"/>
        <v>-78945328</v>
      </c>
      <c r="R258">
        <f t="shared" si="46"/>
        <v>242533872</v>
      </c>
    </row>
    <row r="259" spans="1:18">
      <c r="A259">
        <f t="shared" si="47"/>
        <v>256</v>
      </c>
      <c r="B259">
        <v>-14554</v>
      </c>
      <c r="C259">
        <v>-29358</v>
      </c>
      <c r="D259" t="str">
        <f t="shared" ref="D259:D322" si="48">DEC2HEX(B259)</f>
        <v>FFFFFFC726</v>
      </c>
      <c r="E259" t="str">
        <f t="shared" ref="E259:E322" si="49">DEC2HEX(C259)</f>
        <v>FFFFFF8D52</v>
      </c>
      <c r="F259">
        <v>-3639</v>
      </c>
      <c r="G259" t="str">
        <f t="shared" ref="G259:G322" si="50">DEC2HEX(F259)</f>
        <v>FFFFFFF1C9</v>
      </c>
      <c r="H259">
        <f t="shared" ref="H259:H322" si="51">F259*B259</f>
        <v>52962006</v>
      </c>
      <c r="I259">
        <f t="shared" ref="I259:I322" si="52">F259*C259</f>
        <v>106833762</v>
      </c>
      <c r="J259">
        <v>912</v>
      </c>
      <c r="K259">
        <f t="shared" ref="K259:K322" si="53">J259*B259</f>
        <v>-13273248</v>
      </c>
      <c r="L259">
        <f t="shared" ref="L259:L322" si="54">J259*C259</f>
        <v>-26774496</v>
      </c>
      <c r="M259">
        <v>-6714</v>
      </c>
      <c r="N259">
        <f t="shared" ref="N259:N322" si="55">M259*B259</f>
        <v>97715556</v>
      </c>
      <c r="O259">
        <f t="shared" ref="O259:O322" si="56">M259*C259</f>
        <v>197109612</v>
      </c>
      <c r="P259">
        <v>-7332</v>
      </c>
      <c r="Q259">
        <f t="shared" ref="Q259:Q322" si="57">P259*B259</f>
        <v>106709928</v>
      </c>
      <c r="R259">
        <f t="shared" ref="R259:R322" si="58">P259*C259</f>
        <v>215252856</v>
      </c>
    </row>
    <row r="260" spans="1:18">
      <c r="A260">
        <f t="shared" si="47"/>
        <v>257</v>
      </c>
      <c r="B260">
        <v>-30939</v>
      </c>
      <c r="C260">
        <v>-10793</v>
      </c>
      <c r="D260" t="str">
        <f t="shared" si="48"/>
        <v>FFFFFF8725</v>
      </c>
      <c r="E260" t="str">
        <f t="shared" si="49"/>
        <v>FFFFFFD5D7</v>
      </c>
      <c r="F260">
        <v>-7735</v>
      </c>
      <c r="G260" t="str">
        <f t="shared" si="50"/>
        <v>FFFFFFE1C9</v>
      </c>
      <c r="H260">
        <f t="shared" si="51"/>
        <v>239313165</v>
      </c>
      <c r="I260">
        <f t="shared" si="52"/>
        <v>83483855</v>
      </c>
      <c r="J260">
        <v>-5017</v>
      </c>
      <c r="K260">
        <f t="shared" si="53"/>
        <v>155220963</v>
      </c>
      <c r="L260">
        <f t="shared" si="54"/>
        <v>54148481</v>
      </c>
      <c r="M260">
        <v>-8081</v>
      </c>
      <c r="N260">
        <f t="shared" si="55"/>
        <v>250018059</v>
      </c>
      <c r="O260">
        <f t="shared" si="56"/>
        <v>87218233</v>
      </c>
      <c r="P260">
        <v>-2650</v>
      </c>
      <c r="Q260">
        <f t="shared" si="57"/>
        <v>81988350</v>
      </c>
      <c r="R260">
        <f t="shared" si="58"/>
        <v>28601450</v>
      </c>
    </row>
    <row r="261" spans="1:18">
      <c r="A261">
        <f t="shared" ref="A261:A324" si="59">A260+1</f>
        <v>258</v>
      </c>
      <c r="B261">
        <v>-29656</v>
      </c>
      <c r="C261">
        <v>13935</v>
      </c>
      <c r="D261" t="str">
        <f t="shared" si="48"/>
        <v>FFFFFF8C28</v>
      </c>
      <c r="E261" t="str">
        <f t="shared" si="49"/>
        <v>366F</v>
      </c>
      <c r="F261">
        <v>-7414</v>
      </c>
      <c r="G261" t="str">
        <f t="shared" si="50"/>
        <v>FFFFFFE30A</v>
      </c>
      <c r="H261">
        <f t="shared" si="51"/>
        <v>219869584</v>
      </c>
      <c r="I261">
        <f t="shared" si="52"/>
        <v>-103314090</v>
      </c>
      <c r="J261">
        <v>-8111</v>
      </c>
      <c r="K261">
        <f t="shared" si="53"/>
        <v>240539816</v>
      </c>
      <c r="L261">
        <f t="shared" si="54"/>
        <v>-113026785</v>
      </c>
      <c r="M261">
        <v>-4833</v>
      </c>
      <c r="N261">
        <f t="shared" si="55"/>
        <v>143327448</v>
      </c>
      <c r="O261">
        <f t="shared" si="56"/>
        <v>-67347855</v>
      </c>
      <c r="P261">
        <v>3561</v>
      </c>
      <c r="Q261">
        <f t="shared" si="57"/>
        <v>-105605016</v>
      </c>
      <c r="R261">
        <f t="shared" si="58"/>
        <v>49622535</v>
      </c>
    </row>
    <row r="262" spans="1:18">
      <c r="A262">
        <f t="shared" si="59"/>
        <v>259</v>
      </c>
      <c r="B262">
        <v>-11438</v>
      </c>
      <c r="C262">
        <v>30706</v>
      </c>
      <c r="D262" t="str">
        <f t="shared" si="48"/>
        <v>FFFFFFD352</v>
      </c>
      <c r="E262" t="str">
        <f t="shared" si="49"/>
        <v>77F2</v>
      </c>
      <c r="F262">
        <v>-2860</v>
      </c>
      <c r="G262" t="str">
        <f t="shared" si="50"/>
        <v>FFFFFFF4D4</v>
      </c>
      <c r="H262">
        <f t="shared" si="51"/>
        <v>32712680</v>
      </c>
      <c r="I262">
        <f t="shared" si="52"/>
        <v>-87819160</v>
      </c>
      <c r="J262">
        <v>-6620</v>
      </c>
      <c r="K262">
        <f t="shared" si="53"/>
        <v>75719560</v>
      </c>
      <c r="L262">
        <f t="shared" si="54"/>
        <v>-203273720</v>
      </c>
      <c r="M262">
        <v>1175</v>
      </c>
      <c r="N262">
        <f t="shared" si="55"/>
        <v>-13439650</v>
      </c>
      <c r="O262">
        <f t="shared" si="56"/>
        <v>36079550</v>
      </c>
      <c r="P262">
        <v>7718</v>
      </c>
      <c r="Q262">
        <f t="shared" si="57"/>
        <v>-88278484</v>
      </c>
      <c r="R262">
        <f t="shared" si="58"/>
        <v>236988908</v>
      </c>
    </row>
    <row r="263" spans="1:18">
      <c r="A263">
        <f t="shared" si="59"/>
        <v>260</v>
      </c>
      <c r="B263">
        <v>13311</v>
      </c>
      <c r="C263">
        <v>29941</v>
      </c>
      <c r="D263" t="str">
        <f t="shared" si="48"/>
        <v>33FF</v>
      </c>
      <c r="E263" t="str">
        <f t="shared" si="49"/>
        <v>74F5</v>
      </c>
      <c r="F263">
        <v>3328</v>
      </c>
      <c r="G263" t="str">
        <f t="shared" si="50"/>
        <v>D00</v>
      </c>
      <c r="H263">
        <f t="shared" si="51"/>
        <v>44299008</v>
      </c>
      <c r="I263">
        <f t="shared" si="52"/>
        <v>99643648</v>
      </c>
      <c r="J263">
        <v>-1388</v>
      </c>
      <c r="K263">
        <f t="shared" si="53"/>
        <v>-18475668</v>
      </c>
      <c r="L263">
        <f t="shared" si="54"/>
        <v>-41558108</v>
      </c>
      <c r="M263">
        <v>6512</v>
      </c>
      <c r="N263">
        <f t="shared" si="55"/>
        <v>86681232</v>
      </c>
      <c r="O263">
        <f t="shared" si="56"/>
        <v>194975792</v>
      </c>
      <c r="P263">
        <v>7422</v>
      </c>
      <c r="Q263">
        <f t="shared" si="57"/>
        <v>98794242</v>
      </c>
      <c r="R263">
        <f t="shared" si="58"/>
        <v>222222102</v>
      </c>
    </row>
    <row r="264" spans="1:18">
      <c r="A264">
        <f t="shared" si="59"/>
        <v>261</v>
      </c>
      <c r="B264">
        <v>30459</v>
      </c>
      <c r="C264">
        <v>12079</v>
      </c>
      <c r="D264" t="str">
        <f t="shared" si="48"/>
        <v>76FB</v>
      </c>
      <c r="E264" t="str">
        <f t="shared" si="49"/>
        <v>2F2F</v>
      </c>
      <c r="F264">
        <v>7615</v>
      </c>
      <c r="G264" t="str">
        <f t="shared" si="50"/>
        <v>1DBF</v>
      </c>
      <c r="H264">
        <f t="shared" si="51"/>
        <v>231945285</v>
      </c>
      <c r="I264">
        <f t="shared" si="52"/>
        <v>91981585</v>
      </c>
      <c r="J264">
        <v>4629</v>
      </c>
      <c r="K264">
        <f t="shared" si="53"/>
        <v>140994711</v>
      </c>
      <c r="L264">
        <f t="shared" si="54"/>
        <v>55913691</v>
      </c>
      <c r="M264">
        <v>8130</v>
      </c>
      <c r="N264">
        <f t="shared" si="55"/>
        <v>247631670</v>
      </c>
      <c r="O264">
        <f t="shared" si="56"/>
        <v>98202270</v>
      </c>
      <c r="P264">
        <v>2844</v>
      </c>
      <c r="Q264">
        <f t="shared" si="57"/>
        <v>86625396</v>
      </c>
      <c r="R264">
        <f t="shared" si="58"/>
        <v>34352676</v>
      </c>
    </row>
    <row r="265" spans="1:18">
      <c r="A265">
        <f t="shared" si="59"/>
        <v>262</v>
      </c>
      <c r="B265">
        <v>30214</v>
      </c>
      <c r="C265">
        <v>-12681</v>
      </c>
      <c r="D265" t="str">
        <f t="shared" si="48"/>
        <v>7606</v>
      </c>
      <c r="E265" t="str">
        <f t="shared" si="49"/>
        <v>FFFFFFCE77</v>
      </c>
      <c r="F265">
        <v>7554</v>
      </c>
      <c r="G265" t="str">
        <f t="shared" si="50"/>
        <v>1D82</v>
      </c>
      <c r="H265">
        <f t="shared" si="51"/>
        <v>228236556</v>
      </c>
      <c r="I265">
        <f t="shared" si="52"/>
        <v>-95792274</v>
      </c>
      <c r="J265">
        <v>8029</v>
      </c>
      <c r="K265">
        <f t="shared" si="53"/>
        <v>242588206</v>
      </c>
      <c r="L265">
        <f t="shared" si="54"/>
        <v>-101815749</v>
      </c>
      <c r="M265">
        <v>5105</v>
      </c>
      <c r="N265">
        <f t="shared" si="55"/>
        <v>154242470</v>
      </c>
      <c r="O265">
        <f t="shared" si="56"/>
        <v>-64736505</v>
      </c>
      <c r="P265">
        <v>-3375</v>
      </c>
      <c r="Q265">
        <f t="shared" si="57"/>
        <v>-101972250</v>
      </c>
      <c r="R265">
        <f t="shared" si="58"/>
        <v>42798375</v>
      </c>
    </row>
    <row r="266" spans="1:18">
      <c r="A266">
        <f t="shared" si="59"/>
        <v>263</v>
      </c>
      <c r="B266">
        <v>12714</v>
      </c>
      <c r="C266">
        <v>-30200</v>
      </c>
      <c r="D266" t="str">
        <f t="shared" si="48"/>
        <v>31AA</v>
      </c>
      <c r="E266" t="str">
        <f t="shared" si="49"/>
        <v>FFFFFF8A08</v>
      </c>
      <c r="F266">
        <v>3179</v>
      </c>
      <c r="G266" t="str">
        <f t="shared" si="50"/>
        <v>C6B</v>
      </c>
      <c r="H266">
        <f t="shared" si="51"/>
        <v>40417806</v>
      </c>
      <c r="I266">
        <f t="shared" si="52"/>
        <v>-96005800</v>
      </c>
      <c r="J266">
        <v>6892</v>
      </c>
      <c r="K266">
        <f t="shared" si="53"/>
        <v>87624888</v>
      </c>
      <c r="L266">
        <f t="shared" si="54"/>
        <v>-208138400</v>
      </c>
      <c r="M266">
        <v>-835</v>
      </c>
      <c r="N266">
        <f t="shared" si="55"/>
        <v>-10616190</v>
      </c>
      <c r="O266">
        <f t="shared" si="56"/>
        <v>25217000</v>
      </c>
      <c r="P266">
        <v>-7646</v>
      </c>
      <c r="Q266">
        <f t="shared" si="57"/>
        <v>-97211244</v>
      </c>
      <c r="R266">
        <f t="shared" si="58"/>
        <v>230909200</v>
      </c>
    </row>
    <row r="267" spans="1:18">
      <c r="A267">
        <f t="shared" si="59"/>
        <v>264</v>
      </c>
      <c r="B267">
        <v>-12045</v>
      </c>
      <c r="C267">
        <v>-30473</v>
      </c>
      <c r="D267" t="str">
        <f t="shared" si="48"/>
        <v>FFFFFFD0F3</v>
      </c>
      <c r="E267" t="str">
        <f t="shared" si="49"/>
        <v>FFFFFF88F7</v>
      </c>
      <c r="F267">
        <v>-3011</v>
      </c>
      <c r="G267" t="str">
        <f t="shared" si="50"/>
        <v>FFFFFFF43D</v>
      </c>
      <c r="H267">
        <f t="shared" si="51"/>
        <v>36267495</v>
      </c>
      <c r="I267">
        <f t="shared" si="52"/>
        <v>91754203</v>
      </c>
      <c r="J267">
        <v>1858</v>
      </c>
      <c r="K267">
        <f t="shared" si="53"/>
        <v>-22379610</v>
      </c>
      <c r="L267">
        <f t="shared" si="54"/>
        <v>-56618834</v>
      </c>
      <c r="M267">
        <v>-6298</v>
      </c>
      <c r="N267">
        <f t="shared" si="55"/>
        <v>75859410</v>
      </c>
      <c r="O267">
        <f t="shared" si="56"/>
        <v>191918954</v>
      </c>
      <c r="P267">
        <v>-7506</v>
      </c>
      <c r="Q267">
        <f t="shared" si="57"/>
        <v>90409770</v>
      </c>
      <c r="R267">
        <f t="shared" si="58"/>
        <v>228730338</v>
      </c>
    </row>
    <row r="268" spans="1:18">
      <c r="A268">
        <f t="shared" si="59"/>
        <v>265</v>
      </c>
      <c r="B268">
        <v>-29927</v>
      </c>
      <c r="C268">
        <v>-13344</v>
      </c>
      <c r="D268" t="str">
        <f t="shared" si="48"/>
        <v>FFFFFF8B19</v>
      </c>
      <c r="E268" t="str">
        <f t="shared" si="49"/>
        <v>FFFFFFCBE0</v>
      </c>
      <c r="F268">
        <v>-7482</v>
      </c>
      <c r="G268" t="str">
        <f t="shared" si="50"/>
        <v>FFFFFFE2C6</v>
      </c>
      <c r="H268">
        <f t="shared" si="51"/>
        <v>223913814</v>
      </c>
      <c r="I268">
        <f t="shared" si="52"/>
        <v>99839808</v>
      </c>
      <c r="J268">
        <v>-4225</v>
      </c>
      <c r="K268">
        <f t="shared" si="53"/>
        <v>126441575</v>
      </c>
      <c r="L268">
        <f t="shared" si="54"/>
        <v>56378400</v>
      </c>
      <c r="M268">
        <v>-8165</v>
      </c>
      <c r="N268">
        <f t="shared" si="55"/>
        <v>244353955</v>
      </c>
      <c r="O268">
        <f t="shared" si="56"/>
        <v>108953760</v>
      </c>
      <c r="P268">
        <v>-3036</v>
      </c>
      <c r="Q268">
        <f t="shared" si="57"/>
        <v>90858372</v>
      </c>
      <c r="R268">
        <f t="shared" si="58"/>
        <v>40512384</v>
      </c>
    </row>
    <row r="269" spans="1:18">
      <c r="A269">
        <f t="shared" si="59"/>
        <v>266</v>
      </c>
      <c r="B269">
        <v>-30718</v>
      </c>
      <c r="C269">
        <v>11405</v>
      </c>
      <c r="D269" t="str">
        <f t="shared" si="48"/>
        <v>FFFFFF8802</v>
      </c>
      <c r="E269" t="str">
        <f t="shared" si="49"/>
        <v>2C8D</v>
      </c>
      <c r="F269">
        <v>-7680</v>
      </c>
      <c r="G269" t="str">
        <f t="shared" si="50"/>
        <v>FFFFFFE200</v>
      </c>
      <c r="H269">
        <f t="shared" si="51"/>
        <v>235914240</v>
      </c>
      <c r="I269">
        <f t="shared" si="52"/>
        <v>-87590400</v>
      </c>
      <c r="J269">
        <v>-7921</v>
      </c>
      <c r="K269">
        <f t="shared" si="53"/>
        <v>243317278</v>
      </c>
      <c r="L269">
        <f t="shared" si="54"/>
        <v>-90339005</v>
      </c>
      <c r="M269">
        <v>-5369</v>
      </c>
      <c r="N269">
        <f t="shared" si="55"/>
        <v>164924942</v>
      </c>
      <c r="O269">
        <f t="shared" si="56"/>
        <v>-61233445</v>
      </c>
      <c r="P269">
        <v>3186</v>
      </c>
      <c r="Q269">
        <f t="shared" si="57"/>
        <v>-97867548</v>
      </c>
      <c r="R269">
        <f t="shared" si="58"/>
        <v>36336330</v>
      </c>
    </row>
    <row r="270" spans="1:18">
      <c r="A270">
        <f t="shared" si="59"/>
        <v>267</v>
      </c>
      <c r="B270">
        <v>-13968</v>
      </c>
      <c r="C270">
        <v>29641</v>
      </c>
      <c r="D270" t="str">
        <f t="shared" si="48"/>
        <v>FFFFFFC970</v>
      </c>
      <c r="E270" t="str">
        <f t="shared" si="49"/>
        <v>73C9</v>
      </c>
      <c r="F270">
        <v>-3492</v>
      </c>
      <c r="G270" t="str">
        <f t="shared" si="50"/>
        <v>FFFFFFF25C</v>
      </c>
      <c r="H270">
        <f t="shared" si="51"/>
        <v>48776256</v>
      </c>
      <c r="I270">
        <f t="shared" si="52"/>
        <v>-103506372</v>
      </c>
      <c r="J270">
        <v>-7139</v>
      </c>
      <c r="K270">
        <f t="shared" si="53"/>
        <v>99717552</v>
      </c>
      <c r="L270">
        <f t="shared" si="54"/>
        <v>-211607099</v>
      </c>
      <c r="M270">
        <v>493</v>
      </c>
      <c r="N270">
        <f t="shared" si="55"/>
        <v>-6886224</v>
      </c>
      <c r="O270">
        <f t="shared" si="56"/>
        <v>14613013</v>
      </c>
      <c r="P270">
        <v>7570</v>
      </c>
      <c r="Q270">
        <f t="shared" si="57"/>
        <v>-105737760</v>
      </c>
      <c r="R270">
        <f t="shared" si="58"/>
        <v>224382370</v>
      </c>
    </row>
    <row r="271" spans="1:18">
      <c r="A271">
        <f t="shared" si="59"/>
        <v>268</v>
      </c>
      <c r="B271">
        <v>10759</v>
      </c>
      <c r="C271">
        <v>30950</v>
      </c>
      <c r="D271" t="str">
        <f t="shared" si="48"/>
        <v>2A07</v>
      </c>
      <c r="E271" t="str">
        <f t="shared" si="49"/>
        <v>78E6</v>
      </c>
      <c r="F271">
        <v>2690</v>
      </c>
      <c r="G271" t="str">
        <f t="shared" si="50"/>
        <v>A82</v>
      </c>
      <c r="H271">
        <f t="shared" si="51"/>
        <v>28941710</v>
      </c>
      <c r="I271">
        <f t="shared" si="52"/>
        <v>83255500</v>
      </c>
      <c r="J271">
        <v>-2323</v>
      </c>
      <c r="K271">
        <f t="shared" si="53"/>
        <v>-24993157</v>
      </c>
      <c r="L271">
        <f t="shared" si="54"/>
        <v>-71896850</v>
      </c>
      <c r="M271">
        <v>6073</v>
      </c>
      <c r="N271">
        <f t="shared" si="55"/>
        <v>65339407</v>
      </c>
      <c r="O271">
        <f t="shared" si="56"/>
        <v>187959350</v>
      </c>
      <c r="P271">
        <v>7586</v>
      </c>
      <c r="Q271">
        <f t="shared" si="57"/>
        <v>81617774</v>
      </c>
      <c r="R271">
        <f t="shared" si="58"/>
        <v>234786700</v>
      </c>
    </row>
    <row r="272" spans="1:18">
      <c r="A272">
        <f t="shared" si="59"/>
        <v>269</v>
      </c>
      <c r="B272">
        <v>29342</v>
      </c>
      <c r="C272">
        <v>14586</v>
      </c>
      <c r="D272" t="str">
        <f t="shared" si="48"/>
        <v>729E</v>
      </c>
      <c r="E272" t="str">
        <f t="shared" si="49"/>
        <v>38FA</v>
      </c>
      <c r="F272">
        <v>7336</v>
      </c>
      <c r="G272" t="str">
        <f t="shared" si="50"/>
        <v>1CA8</v>
      </c>
      <c r="H272">
        <f t="shared" si="51"/>
        <v>215252912</v>
      </c>
      <c r="I272">
        <f t="shared" si="52"/>
        <v>107002896</v>
      </c>
      <c r="J272">
        <v>3806</v>
      </c>
      <c r="K272">
        <f t="shared" si="53"/>
        <v>111675652</v>
      </c>
      <c r="L272">
        <f t="shared" si="54"/>
        <v>55514316</v>
      </c>
      <c r="M272">
        <v>8186</v>
      </c>
      <c r="N272">
        <f t="shared" si="55"/>
        <v>240193612</v>
      </c>
      <c r="O272">
        <f t="shared" si="56"/>
        <v>119400996</v>
      </c>
      <c r="P272">
        <v>3226</v>
      </c>
      <c r="Q272">
        <f t="shared" si="57"/>
        <v>94657292</v>
      </c>
      <c r="R272">
        <f t="shared" si="58"/>
        <v>47054436</v>
      </c>
    </row>
    <row r="273" spans="1:18">
      <c r="A273">
        <f t="shared" si="59"/>
        <v>270</v>
      </c>
      <c r="B273">
        <v>31169</v>
      </c>
      <c r="C273">
        <v>-10108</v>
      </c>
      <c r="D273" t="str">
        <f t="shared" si="48"/>
        <v>79C1</v>
      </c>
      <c r="E273" t="str">
        <f t="shared" si="49"/>
        <v>FFFFFFD884</v>
      </c>
      <c r="F273">
        <v>7792</v>
      </c>
      <c r="G273" t="str">
        <f t="shared" si="50"/>
        <v>1E70</v>
      </c>
      <c r="H273">
        <f t="shared" si="51"/>
        <v>242868848</v>
      </c>
      <c r="I273">
        <f t="shared" si="52"/>
        <v>-78761536</v>
      </c>
      <c r="J273">
        <v>7784</v>
      </c>
      <c r="K273">
        <f t="shared" si="53"/>
        <v>242619496</v>
      </c>
      <c r="L273">
        <f t="shared" si="54"/>
        <v>-78680672</v>
      </c>
      <c r="M273">
        <v>5624</v>
      </c>
      <c r="N273">
        <f t="shared" si="55"/>
        <v>175294456</v>
      </c>
      <c r="O273">
        <f t="shared" si="56"/>
        <v>-56847392</v>
      </c>
      <c r="P273">
        <v>-2995</v>
      </c>
      <c r="Q273">
        <f t="shared" si="57"/>
        <v>-93351155</v>
      </c>
      <c r="R273">
        <f t="shared" si="58"/>
        <v>30273460</v>
      </c>
    </row>
    <row r="274" spans="1:18">
      <c r="A274">
        <f t="shared" si="59"/>
        <v>271</v>
      </c>
      <c r="B274">
        <v>15197</v>
      </c>
      <c r="C274">
        <v>-29030</v>
      </c>
      <c r="D274" t="str">
        <f t="shared" si="48"/>
        <v>3B5D</v>
      </c>
      <c r="E274" t="str">
        <f t="shared" si="49"/>
        <v>FFFFFF8E9A</v>
      </c>
      <c r="F274">
        <v>3799</v>
      </c>
      <c r="G274" t="str">
        <f t="shared" si="50"/>
        <v>ED7</v>
      </c>
      <c r="H274">
        <f t="shared" si="51"/>
        <v>57733403</v>
      </c>
      <c r="I274">
        <f t="shared" si="52"/>
        <v>-110284970</v>
      </c>
      <c r="J274">
        <v>7362</v>
      </c>
      <c r="K274">
        <f t="shared" si="53"/>
        <v>111880314</v>
      </c>
      <c r="L274">
        <f t="shared" si="54"/>
        <v>-213718860</v>
      </c>
      <c r="M274">
        <v>-150</v>
      </c>
      <c r="N274">
        <f t="shared" si="55"/>
        <v>-2279550</v>
      </c>
      <c r="O274">
        <f t="shared" si="56"/>
        <v>4354500</v>
      </c>
      <c r="P274">
        <v>-7489</v>
      </c>
      <c r="Q274">
        <f t="shared" si="57"/>
        <v>-113810333</v>
      </c>
      <c r="R274">
        <f t="shared" si="58"/>
        <v>217405670</v>
      </c>
    </row>
    <row r="275" spans="1:18">
      <c r="A275">
        <f t="shared" si="59"/>
        <v>272</v>
      </c>
      <c r="B275">
        <v>-9453</v>
      </c>
      <c r="C275">
        <v>-31374</v>
      </c>
      <c r="D275" t="str">
        <f t="shared" si="48"/>
        <v>FFFFFFDB13</v>
      </c>
      <c r="E275" t="str">
        <f t="shared" si="49"/>
        <v>FFFFFF8572</v>
      </c>
      <c r="F275">
        <v>-2363</v>
      </c>
      <c r="G275" t="str">
        <f t="shared" si="50"/>
        <v>FFFFFFF6C5</v>
      </c>
      <c r="H275">
        <f t="shared" si="51"/>
        <v>22337439</v>
      </c>
      <c r="I275">
        <f t="shared" si="52"/>
        <v>74136762</v>
      </c>
      <c r="J275">
        <v>2779</v>
      </c>
      <c r="K275">
        <f t="shared" si="53"/>
        <v>-26269887</v>
      </c>
      <c r="L275">
        <f t="shared" si="54"/>
        <v>-87188346</v>
      </c>
      <c r="M275">
        <v>-5838</v>
      </c>
      <c r="N275">
        <f t="shared" si="55"/>
        <v>55186614</v>
      </c>
      <c r="O275">
        <f t="shared" si="56"/>
        <v>183161412</v>
      </c>
      <c r="P275">
        <v>-7662</v>
      </c>
      <c r="Q275">
        <f t="shared" si="57"/>
        <v>72428886</v>
      </c>
      <c r="R275">
        <f t="shared" si="58"/>
        <v>240387588</v>
      </c>
    </row>
    <row r="276" spans="1:18">
      <c r="A276">
        <f t="shared" si="59"/>
        <v>273</v>
      </c>
      <c r="B276">
        <v>-28705</v>
      </c>
      <c r="C276">
        <v>-15802</v>
      </c>
      <c r="D276" t="str">
        <f t="shared" si="48"/>
        <v>FFFFFF8FDF</v>
      </c>
      <c r="E276" t="str">
        <f t="shared" si="49"/>
        <v>FFFFFFC246</v>
      </c>
      <c r="F276">
        <v>-7176</v>
      </c>
      <c r="G276" t="str">
        <f t="shared" si="50"/>
        <v>FFFFFFE3F8</v>
      </c>
      <c r="H276">
        <f t="shared" si="51"/>
        <v>205987080</v>
      </c>
      <c r="I276">
        <f t="shared" si="52"/>
        <v>113395152</v>
      </c>
      <c r="J276">
        <v>-3375</v>
      </c>
      <c r="K276">
        <f t="shared" si="53"/>
        <v>96879375</v>
      </c>
      <c r="L276">
        <f t="shared" si="54"/>
        <v>53331750</v>
      </c>
      <c r="M276">
        <v>-8192</v>
      </c>
      <c r="N276">
        <f t="shared" si="55"/>
        <v>235151360</v>
      </c>
      <c r="O276">
        <f t="shared" si="56"/>
        <v>129449984</v>
      </c>
      <c r="P276">
        <v>-3414</v>
      </c>
      <c r="Q276">
        <f t="shared" si="57"/>
        <v>97998870</v>
      </c>
      <c r="R276">
        <f t="shared" si="58"/>
        <v>53948028</v>
      </c>
    </row>
    <row r="277" spans="1:18">
      <c r="A277">
        <f t="shared" si="59"/>
        <v>274</v>
      </c>
      <c r="B277">
        <v>-31565</v>
      </c>
      <c r="C277">
        <v>8794</v>
      </c>
      <c r="D277" t="str">
        <f t="shared" si="48"/>
        <v>FFFFFF84B3</v>
      </c>
      <c r="E277" t="str">
        <f t="shared" si="49"/>
        <v>225A</v>
      </c>
      <c r="F277">
        <v>-7891</v>
      </c>
      <c r="G277" t="str">
        <f t="shared" si="50"/>
        <v>FFFFFFE12D</v>
      </c>
      <c r="H277">
        <f t="shared" si="51"/>
        <v>249079415</v>
      </c>
      <c r="I277">
        <f t="shared" si="52"/>
        <v>-69393454</v>
      </c>
      <c r="J277">
        <v>-7621</v>
      </c>
      <c r="K277">
        <f t="shared" si="53"/>
        <v>240556865</v>
      </c>
      <c r="L277">
        <f t="shared" si="54"/>
        <v>-67019074</v>
      </c>
      <c r="M277">
        <v>-5868</v>
      </c>
      <c r="N277">
        <f t="shared" si="55"/>
        <v>185223420</v>
      </c>
      <c r="O277">
        <f t="shared" si="56"/>
        <v>-51603192</v>
      </c>
      <c r="P277">
        <v>2803</v>
      </c>
      <c r="Q277">
        <f t="shared" si="57"/>
        <v>-88476695</v>
      </c>
      <c r="R277">
        <f t="shared" si="58"/>
        <v>24649582</v>
      </c>
    </row>
    <row r="278" spans="1:18">
      <c r="A278">
        <f t="shared" si="59"/>
        <v>275</v>
      </c>
      <c r="B278">
        <v>-16400</v>
      </c>
      <c r="C278">
        <v>28368</v>
      </c>
      <c r="D278" t="str">
        <f t="shared" si="48"/>
        <v>FFFFFFBFF0</v>
      </c>
      <c r="E278" t="str">
        <f t="shared" si="49"/>
        <v>6ED0</v>
      </c>
      <c r="F278">
        <v>-4100</v>
      </c>
      <c r="G278" t="str">
        <f t="shared" si="50"/>
        <v>FFFFFFEFFC</v>
      </c>
      <c r="H278">
        <f t="shared" si="51"/>
        <v>67240000</v>
      </c>
      <c r="I278">
        <f t="shared" si="52"/>
        <v>-116308800</v>
      </c>
      <c r="J278">
        <v>-7560</v>
      </c>
      <c r="K278">
        <f t="shared" si="53"/>
        <v>123984000</v>
      </c>
      <c r="L278">
        <f t="shared" si="54"/>
        <v>-214462080</v>
      </c>
      <c r="M278">
        <v>-193</v>
      </c>
      <c r="N278">
        <f t="shared" si="55"/>
        <v>3165200</v>
      </c>
      <c r="O278">
        <f t="shared" si="56"/>
        <v>-5475024</v>
      </c>
      <c r="P278">
        <v>7403</v>
      </c>
      <c r="Q278">
        <f t="shared" si="57"/>
        <v>-121409200</v>
      </c>
      <c r="R278">
        <f t="shared" si="58"/>
        <v>210008304</v>
      </c>
    </row>
    <row r="279" spans="1:18">
      <c r="A279">
        <f t="shared" si="59"/>
        <v>276</v>
      </c>
      <c r="B279">
        <v>8130</v>
      </c>
      <c r="C279">
        <v>31742</v>
      </c>
      <c r="D279" t="str">
        <f t="shared" si="48"/>
        <v>1FC2</v>
      </c>
      <c r="E279" t="str">
        <f t="shared" si="49"/>
        <v>7BFE</v>
      </c>
      <c r="F279">
        <v>2033</v>
      </c>
      <c r="G279" t="str">
        <f t="shared" si="50"/>
        <v>7F1</v>
      </c>
      <c r="H279">
        <f t="shared" si="51"/>
        <v>16528290</v>
      </c>
      <c r="I279">
        <f t="shared" si="52"/>
        <v>64531486</v>
      </c>
      <c r="J279">
        <v>-3226</v>
      </c>
      <c r="K279">
        <f t="shared" si="53"/>
        <v>-26227380</v>
      </c>
      <c r="L279">
        <f t="shared" si="54"/>
        <v>-102399692</v>
      </c>
      <c r="M279">
        <v>5592</v>
      </c>
      <c r="N279">
        <f t="shared" si="55"/>
        <v>45462960</v>
      </c>
      <c r="O279">
        <f t="shared" si="56"/>
        <v>177501264</v>
      </c>
      <c r="P279">
        <v>7732</v>
      </c>
      <c r="Q279">
        <f t="shared" si="57"/>
        <v>62861160</v>
      </c>
      <c r="R279">
        <f t="shared" si="58"/>
        <v>245429144</v>
      </c>
    </row>
    <row r="280" spans="1:18">
      <c r="A280">
        <f t="shared" si="59"/>
        <v>277</v>
      </c>
      <c r="B280">
        <v>28018</v>
      </c>
      <c r="C280">
        <v>16990</v>
      </c>
      <c r="D280" t="str">
        <f t="shared" si="48"/>
        <v>6D72</v>
      </c>
      <c r="E280" t="str">
        <f t="shared" si="49"/>
        <v>425E</v>
      </c>
      <c r="F280">
        <v>7005</v>
      </c>
      <c r="G280" t="str">
        <f t="shared" si="50"/>
        <v>1B5D</v>
      </c>
      <c r="H280">
        <f t="shared" si="51"/>
        <v>196266090</v>
      </c>
      <c r="I280">
        <f t="shared" si="52"/>
        <v>119014950</v>
      </c>
      <c r="J280">
        <v>2931</v>
      </c>
      <c r="K280">
        <f t="shared" si="53"/>
        <v>82120758</v>
      </c>
      <c r="L280">
        <f t="shared" si="54"/>
        <v>49797690</v>
      </c>
      <c r="M280">
        <v>8184</v>
      </c>
      <c r="N280">
        <f t="shared" si="55"/>
        <v>229299312</v>
      </c>
      <c r="O280">
        <f t="shared" si="56"/>
        <v>139046160</v>
      </c>
      <c r="P280">
        <v>3600</v>
      </c>
      <c r="Q280">
        <f t="shared" si="57"/>
        <v>100864800</v>
      </c>
      <c r="R280">
        <f t="shared" si="58"/>
        <v>61164000</v>
      </c>
    </row>
    <row r="281" spans="1:18">
      <c r="A281">
        <f t="shared" si="59"/>
        <v>278</v>
      </c>
      <c r="B281">
        <v>31906</v>
      </c>
      <c r="C281">
        <v>-7464</v>
      </c>
      <c r="D281" t="str">
        <f t="shared" si="48"/>
        <v>7CA2</v>
      </c>
      <c r="E281" t="str">
        <f t="shared" si="49"/>
        <v>FFFFFFE2D8</v>
      </c>
      <c r="F281">
        <v>7977</v>
      </c>
      <c r="G281" t="str">
        <f t="shared" si="50"/>
        <v>1F29</v>
      </c>
      <c r="H281">
        <f t="shared" si="51"/>
        <v>254514162</v>
      </c>
      <c r="I281">
        <f t="shared" si="52"/>
        <v>-59540328</v>
      </c>
      <c r="J281">
        <v>7432</v>
      </c>
      <c r="K281">
        <f t="shared" si="53"/>
        <v>237125392</v>
      </c>
      <c r="L281">
        <f t="shared" si="54"/>
        <v>-55472448</v>
      </c>
      <c r="M281">
        <v>6102</v>
      </c>
      <c r="N281">
        <f t="shared" si="55"/>
        <v>194690412</v>
      </c>
      <c r="O281">
        <f t="shared" si="56"/>
        <v>-45545328</v>
      </c>
      <c r="P281">
        <v>-2609</v>
      </c>
      <c r="Q281">
        <f t="shared" si="57"/>
        <v>-83242754</v>
      </c>
      <c r="R281">
        <f t="shared" si="58"/>
        <v>19473576</v>
      </c>
    </row>
    <row r="282" spans="1:18">
      <c r="A282">
        <f t="shared" si="59"/>
        <v>279</v>
      </c>
      <c r="B282">
        <v>17574</v>
      </c>
      <c r="C282">
        <v>-27656</v>
      </c>
      <c r="D282" t="str">
        <f t="shared" si="48"/>
        <v>44A6</v>
      </c>
      <c r="E282" t="str">
        <f t="shared" si="49"/>
        <v>FFFFFF93F8</v>
      </c>
      <c r="F282">
        <v>4394</v>
      </c>
      <c r="G282" t="str">
        <f t="shared" si="50"/>
        <v>112A</v>
      </c>
      <c r="H282">
        <f t="shared" si="51"/>
        <v>77220156</v>
      </c>
      <c r="I282">
        <f t="shared" si="52"/>
        <v>-121520464</v>
      </c>
      <c r="J282">
        <v>7732</v>
      </c>
      <c r="K282">
        <f t="shared" si="53"/>
        <v>135882168</v>
      </c>
      <c r="L282">
        <f t="shared" si="54"/>
        <v>-213836192</v>
      </c>
      <c r="M282">
        <v>536</v>
      </c>
      <c r="N282">
        <f t="shared" si="55"/>
        <v>9419664</v>
      </c>
      <c r="O282">
        <f t="shared" si="56"/>
        <v>-14823616</v>
      </c>
      <c r="P282">
        <v>-7313</v>
      </c>
      <c r="Q282">
        <f t="shared" si="57"/>
        <v>-128518662</v>
      </c>
      <c r="R282">
        <f t="shared" si="58"/>
        <v>202248328</v>
      </c>
    </row>
    <row r="283" spans="1:18">
      <c r="A283">
        <f t="shared" si="59"/>
        <v>280</v>
      </c>
      <c r="B283">
        <v>-6794</v>
      </c>
      <c r="C283">
        <v>-32055</v>
      </c>
      <c r="D283" t="str">
        <f t="shared" si="48"/>
        <v>FFFFFFE576</v>
      </c>
      <c r="E283" t="str">
        <f t="shared" si="49"/>
        <v>FFFFFF82C9</v>
      </c>
      <c r="F283">
        <v>-1699</v>
      </c>
      <c r="G283" t="str">
        <f t="shared" si="50"/>
        <v>FFFFFFF95D</v>
      </c>
      <c r="H283">
        <f t="shared" si="51"/>
        <v>11543006</v>
      </c>
      <c r="I283">
        <f t="shared" si="52"/>
        <v>54461445</v>
      </c>
      <c r="J283">
        <v>3662</v>
      </c>
      <c r="K283">
        <f t="shared" si="53"/>
        <v>-24879628</v>
      </c>
      <c r="L283">
        <f t="shared" si="54"/>
        <v>-117385410</v>
      </c>
      <c r="M283">
        <v>-5336</v>
      </c>
      <c r="N283">
        <f t="shared" si="55"/>
        <v>36252784</v>
      </c>
      <c r="O283">
        <f t="shared" si="56"/>
        <v>171045480</v>
      </c>
      <c r="P283">
        <v>-7798</v>
      </c>
      <c r="Q283">
        <f t="shared" si="57"/>
        <v>52979612</v>
      </c>
      <c r="R283">
        <f t="shared" si="58"/>
        <v>249964890</v>
      </c>
    </row>
    <row r="284" spans="1:18">
      <c r="A284">
        <f t="shared" si="59"/>
        <v>281</v>
      </c>
      <c r="B284">
        <v>-27282</v>
      </c>
      <c r="C284">
        <v>-18149</v>
      </c>
      <c r="D284" t="str">
        <f t="shared" si="48"/>
        <v>FFFFFF956E</v>
      </c>
      <c r="E284" t="str">
        <f t="shared" si="49"/>
        <v>FFFFFFB91B</v>
      </c>
      <c r="F284">
        <v>-6821</v>
      </c>
      <c r="G284" t="str">
        <f t="shared" si="50"/>
        <v>FFFFFFE55B</v>
      </c>
      <c r="H284">
        <f t="shared" si="51"/>
        <v>186090522</v>
      </c>
      <c r="I284">
        <f t="shared" si="52"/>
        <v>123794329</v>
      </c>
      <c r="J284">
        <v>-2478</v>
      </c>
      <c r="K284">
        <f t="shared" si="53"/>
        <v>67604796</v>
      </c>
      <c r="L284">
        <f t="shared" si="54"/>
        <v>44973222</v>
      </c>
      <c r="M284">
        <v>-8161</v>
      </c>
      <c r="N284">
        <f t="shared" si="55"/>
        <v>222648402</v>
      </c>
      <c r="O284">
        <f t="shared" si="56"/>
        <v>148113989</v>
      </c>
      <c r="P284">
        <v>-3784</v>
      </c>
      <c r="Q284">
        <f t="shared" si="57"/>
        <v>103235088</v>
      </c>
      <c r="R284">
        <f t="shared" si="58"/>
        <v>68675816</v>
      </c>
    </row>
    <row r="285" spans="1:18">
      <c r="A285">
        <f t="shared" si="59"/>
        <v>282</v>
      </c>
      <c r="B285">
        <v>-32190</v>
      </c>
      <c r="C285">
        <v>6121</v>
      </c>
      <c r="D285" t="str">
        <f t="shared" si="48"/>
        <v>FFFFFF8242</v>
      </c>
      <c r="E285" t="str">
        <f t="shared" si="49"/>
        <v>17E9</v>
      </c>
      <c r="F285">
        <v>-8048</v>
      </c>
      <c r="G285" t="str">
        <f t="shared" si="50"/>
        <v>FFFFFFE090</v>
      </c>
      <c r="H285">
        <f t="shared" si="51"/>
        <v>259065120</v>
      </c>
      <c r="I285">
        <f t="shared" si="52"/>
        <v>-49261808</v>
      </c>
      <c r="J285">
        <v>-7217</v>
      </c>
      <c r="K285">
        <f t="shared" si="53"/>
        <v>232315230</v>
      </c>
      <c r="L285">
        <f t="shared" si="54"/>
        <v>-44175257</v>
      </c>
      <c r="M285">
        <v>-6326</v>
      </c>
      <c r="N285">
        <f t="shared" si="55"/>
        <v>203633940</v>
      </c>
      <c r="O285">
        <f t="shared" si="56"/>
        <v>-38721446</v>
      </c>
      <c r="P285">
        <v>2413</v>
      </c>
      <c r="Q285">
        <f t="shared" si="57"/>
        <v>-77674470</v>
      </c>
      <c r="R285">
        <f t="shared" si="58"/>
        <v>14769973</v>
      </c>
    </row>
    <row r="286" spans="1:18">
      <c r="A286">
        <f t="shared" si="59"/>
        <v>283</v>
      </c>
      <c r="B286">
        <v>-18717</v>
      </c>
      <c r="C286">
        <v>26896</v>
      </c>
      <c r="D286" t="str">
        <f t="shared" si="48"/>
        <v>FFFFFFB6E3</v>
      </c>
      <c r="E286" t="str">
        <f t="shared" si="49"/>
        <v>6910</v>
      </c>
      <c r="F286">
        <v>-4679</v>
      </c>
      <c r="G286" t="str">
        <f t="shared" si="50"/>
        <v>FFFFFFEDB9</v>
      </c>
      <c r="H286">
        <f t="shared" si="51"/>
        <v>87576843</v>
      </c>
      <c r="I286">
        <f t="shared" si="52"/>
        <v>-125846384</v>
      </c>
      <c r="J286">
        <v>-7877</v>
      </c>
      <c r="K286">
        <f t="shared" si="53"/>
        <v>147433809</v>
      </c>
      <c r="L286">
        <f t="shared" si="54"/>
        <v>-211859792</v>
      </c>
      <c r="M286">
        <v>-878</v>
      </c>
      <c r="N286">
        <f t="shared" si="55"/>
        <v>16433526</v>
      </c>
      <c r="O286">
        <f t="shared" si="56"/>
        <v>-23614688</v>
      </c>
      <c r="P286">
        <v>7217</v>
      </c>
      <c r="Q286">
        <f t="shared" si="57"/>
        <v>-135080589</v>
      </c>
      <c r="R286">
        <f t="shared" si="58"/>
        <v>194108432</v>
      </c>
    </row>
    <row r="287" spans="1:18">
      <c r="A287">
        <f t="shared" si="59"/>
        <v>284</v>
      </c>
      <c r="B287">
        <v>5445</v>
      </c>
      <c r="C287">
        <v>32311</v>
      </c>
      <c r="D287" t="str">
        <f t="shared" si="48"/>
        <v>1545</v>
      </c>
      <c r="E287" t="str">
        <f t="shared" si="49"/>
        <v>7E37</v>
      </c>
      <c r="F287">
        <v>1361</v>
      </c>
      <c r="G287" t="str">
        <f t="shared" si="50"/>
        <v>551</v>
      </c>
      <c r="H287">
        <f t="shared" si="51"/>
        <v>7410645</v>
      </c>
      <c r="I287">
        <f t="shared" si="52"/>
        <v>43975271</v>
      </c>
      <c r="J287">
        <v>-4085</v>
      </c>
      <c r="K287">
        <f t="shared" si="53"/>
        <v>-22242825</v>
      </c>
      <c r="L287">
        <f t="shared" si="54"/>
        <v>-131990435</v>
      </c>
      <c r="M287">
        <v>5071</v>
      </c>
      <c r="N287">
        <f t="shared" si="55"/>
        <v>27611595</v>
      </c>
      <c r="O287">
        <f t="shared" si="56"/>
        <v>163849081</v>
      </c>
      <c r="P287">
        <v>7858</v>
      </c>
      <c r="Q287">
        <f t="shared" si="57"/>
        <v>42786810</v>
      </c>
      <c r="R287">
        <f t="shared" si="58"/>
        <v>253899838</v>
      </c>
    </row>
    <row r="288" spans="1:18">
      <c r="A288">
        <f t="shared" si="59"/>
        <v>285</v>
      </c>
      <c r="B288">
        <v>26498</v>
      </c>
      <c r="C288">
        <v>19276</v>
      </c>
      <c r="D288" t="str">
        <f t="shared" si="48"/>
        <v>6782</v>
      </c>
      <c r="E288" t="str">
        <f t="shared" si="49"/>
        <v>4B4C</v>
      </c>
      <c r="F288">
        <v>6625</v>
      </c>
      <c r="G288" t="str">
        <f t="shared" si="50"/>
        <v>19E1</v>
      </c>
      <c r="H288">
        <f t="shared" si="51"/>
        <v>175549250</v>
      </c>
      <c r="I288">
        <f t="shared" si="52"/>
        <v>127703500</v>
      </c>
      <c r="J288">
        <v>2016</v>
      </c>
      <c r="K288">
        <f t="shared" si="53"/>
        <v>53419968</v>
      </c>
      <c r="L288">
        <f t="shared" si="54"/>
        <v>38860416</v>
      </c>
      <c r="M288">
        <v>8125</v>
      </c>
      <c r="N288">
        <f t="shared" si="55"/>
        <v>215296250</v>
      </c>
      <c r="O288">
        <f t="shared" si="56"/>
        <v>156617500</v>
      </c>
      <c r="P288">
        <v>3966</v>
      </c>
      <c r="Q288">
        <f t="shared" si="57"/>
        <v>105091068</v>
      </c>
      <c r="R288">
        <f t="shared" si="58"/>
        <v>76448616</v>
      </c>
    </row>
    <row r="289" spans="1:18">
      <c r="A289">
        <f t="shared" si="59"/>
        <v>286</v>
      </c>
      <c r="B289">
        <v>32418</v>
      </c>
      <c r="C289">
        <v>-4767</v>
      </c>
      <c r="D289" t="str">
        <f t="shared" si="48"/>
        <v>7EA2</v>
      </c>
      <c r="E289" t="str">
        <f t="shared" si="49"/>
        <v>FFFFFFED61</v>
      </c>
      <c r="F289">
        <v>8105</v>
      </c>
      <c r="G289" t="str">
        <f t="shared" si="50"/>
        <v>1FA9</v>
      </c>
      <c r="H289">
        <f t="shared" si="51"/>
        <v>262747890</v>
      </c>
      <c r="I289">
        <f t="shared" si="52"/>
        <v>-38636535</v>
      </c>
      <c r="J289">
        <v>6978</v>
      </c>
      <c r="K289">
        <f t="shared" si="53"/>
        <v>226212804</v>
      </c>
      <c r="L289">
        <f t="shared" si="54"/>
        <v>-33264126</v>
      </c>
      <c r="M289">
        <v>6538</v>
      </c>
      <c r="N289">
        <f t="shared" si="55"/>
        <v>211948884</v>
      </c>
      <c r="O289">
        <f t="shared" si="56"/>
        <v>-31166646</v>
      </c>
      <c r="P289">
        <v>-2215</v>
      </c>
      <c r="Q289">
        <f t="shared" si="57"/>
        <v>-71805870</v>
      </c>
      <c r="R289">
        <f t="shared" si="58"/>
        <v>10558905</v>
      </c>
    </row>
    <row r="290" spans="1:18">
      <c r="A290">
        <f t="shared" si="59"/>
        <v>287</v>
      </c>
      <c r="B290">
        <v>19827</v>
      </c>
      <c r="C290">
        <v>-26088</v>
      </c>
      <c r="D290" t="str">
        <f t="shared" si="48"/>
        <v>4D73</v>
      </c>
      <c r="E290" t="str">
        <f t="shared" si="49"/>
        <v>FFFFFF9A18</v>
      </c>
      <c r="F290">
        <v>4957</v>
      </c>
      <c r="G290" t="str">
        <f t="shared" si="50"/>
        <v>135D</v>
      </c>
      <c r="H290">
        <f t="shared" si="51"/>
        <v>98282439</v>
      </c>
      <c r="I290">
        <f t="shared" si="52"/>
        <v>-129318216</v>
      </c>
      <c r="J290">
        <v>7996</v>
      </c>
      <c r="K290">
        <f t="shared" si="53"/>
        <v>158536692</v>
      </c>
      <c r="L290">
        <f t="shared" si="54"/>
        <v>-208599648</v>
      </c>
      <c r="M290">
        <v>1218</v>
      </c>
      <c r="N290">
        <f t="shared" si="55"/>
        <v>24149286</v>
      </c>
      <c r="O290">
        <f t="shared" si="56"/>
        <v>-31775184</v>
      </c>
      <c r="P290">
        <v>-7118</v>
      </c>
      <c r="Q290">
        <f t="shared" si="57"/>
        <v>-141128586</v>
      </c>
      <c r="R290">
        <f t="shared" si="58"/>
        <v>185694384</v>
      </c>
    </row>
    <row r="291" spans="1:18">
      <c r="A291">
        <f t="shared" si="59"/>
        <v>288</v>
      </c>
      <c r="B291">
        <v>-4087</v>
      </c>
      <c r="C291">
        <v>-32511</v>
      </c>
      <c r="D291" t="str">
        <f t="shared" si="48"/>
        <v>FFFFFFF009</v>
      </c>
      <c r="E291" t="str">
        <f t="shared" si="49"/>
        <v>FFFFFF8101</v>
      </c>
      <c r="F291">
        <v>-1022</v>
      </c>
      <c r="G291" t="str">
        <f t="shared" si="50"/>
        <v>FFFFFFFC02</v>
      </c>
      <c r="H291">
        <f t="shared" si="51"/>
        <v>4176914</v>
      </c>
      <c r="I291">
        <f t="shared" si="52"/>
        <v>33226242</v>
      </c>
      <c r="J291">
        <v>4494</v>
      </c>
      <c r="K291">
        <f t="shared" si="53"/>
        <v>-18366978</v>
      </c>
      <c r="L291">
        <f t="shared" si="54"/>
        <v>-146104434</v>
      </c>
      <c r="M291">
        <v>-4798</v>
      </c>
      <c r="N291">
        <f t="shared" si="55"/>
        <v>19609426</v>
      </c>
      <c r="O291">
        <f t="shared" si="56"/>
        <v>155987778</v>
      </c>
      <c r="P291">
        <v>-7914</v>
      </c>
      <c r="Q291">
        <f t="shared" si="57"/>
        <v>32344518</v>
      </c>
      <c r="R291">
        <f t="shared" si="58"/>
        <v>257292054</v>
      </c>
    </row>
    <row r="292" spans="1:18">
      <c r="A292">
        <f t="shared" si="59"/>
        <v>289</v>
      </c>
      <c r="B292">
        <v>-25667</v>
      </c>
      <c r="C292">
        <v>-20369</v>
      </c>
      <c r="D292" t="str">
        <f t="shared" si="48"/>
        <v>FFFFFF9BBD</v>
      </c>
      <c r="E292" t="str">
        <f t="shared" si="49"/>
        <v>FFFFFFB06F</v>
      </c>
      <c r="F292">
        <v>-6417</v>
      </c>
      <c r="G292" t="str">
        <f t="shared" si="50"/>
        <v>FFFFFFE6EF</v>
      </c>
      <c r="H292">
        <f t="shared" si="51"/>
        <v>164705139</v>
      </c>
      <c r="I292">
        <f t="shared" si="52"/>
        <v>130707873</v>
      </c>
      <c r="J292">
        <v>-1547</v>
      </c>
      <c r="K292">
        <f t="shared" si="53"/>
        <v>39706849</v>
      </c>
      <c r="L292">
        <f t="shared" si="54"/>
        <v>31510843</v>
      </c>
      <c r="M292">
        <v>-8074</v>
      </c>
      <c r="N292">
        <f t="shared" si="55"/>
        <v>207235358</v>
      </c>
      <c r="O292">
        <f t="shared" si="56"/>
        <v>164459306</v>
      </c>
      <c r="P292">
        <v>-4144</v>
      </c>
      <c r="Q292">
        <f t="shared" si="57"/>
        <v>106364048</v>
      </c>
      <c r="R292">
        <f t="shared" si="58"/>
        <v>84409136</v>
      </c>
    </row>
    <row r="293" spans="1:18">
      <c r="A293">
        <f t="shared" si="59"/>
        <v>290</v>
      </c>
      <c r="B293">
        <v>-32590</v>
      </c>
      <c r="C293">
        <v>3405</v>
      </c>
      <c r="D293" t="str">
        <f t="shared" si="48"/>
        <v>FFFFFF80B2</v>
      </c>
      <c r="E293" t="str">
        <f t="shared" si="49"/>
        <v>D4D</v>
      </c>
      <c r="F293">
        <v>-8148</v>
      </c>
      <c r="G293" t="str">
        <f t="shared" si="50"/>
        <v>FFFFFFE02C</v>
      </c>
      <c r="H293">
        <f t="shared" si="51"/>
        <v>265543320</v>
      </c>
      <c r="I293">
        <f t="shared" si="52"/>
        <v>-27743940</v>
      </c>
      <c r="J293">
        <v>-6714</v>
      </c>
      <c r="K293">
        <f t="shared" si="53"/>
        <v>218809260</v>
      </c>
      <c r="L293">
        <f t="shared" si="54"/>
        <v>-22861170</v>
      </c>
      <c r="M293">
        <v>-6739</v>
      </c>
      <c r="N293">
        <f t="shared" si="55"/>
        <v>219624010</v>
      </c>
      <c r="O293">
        <f t="shared" si="56"/>
        <v>-22946295</v>
      </c>
      <c r="P293">
        <v>2016</v>
      </c>
      <c r="Q293">
        <f t="shared" si="57"/>
        <v>-65701440</v>
      </c>
      <c r="R293">
        <f t="shared" si="58"/>
        <v>6864480</v>
      </c>
    </row>
    <row r="294" spans="1:18">
      <c r="A294">
        <f t="shared" si="59"/>
        <v>291</v>
      </c>
      <c r="B294">
        <v>-20902</v>
      </c>
      <c r="C294">
        <v>25235</v>
      </c>
      <c r="D294" t="str">
        <f t="shared" si="48"/>
        <v>FFFFFFAE5A</v>
      </c>
      <c r="E294" t="str">
        <f t="shared" si="49"/>
        <v>6293</v>
      </c>
      <c r="F294">
        <v>-5226</v>
      </c>
      <c r="G294" t="str">
        <f t="shared" si="50"/>
        <v>FFFFFFEB96</v>
      </c>
      <c r="H294">
        <f t="shared" si="51"/>
        <v>109233852</v>
      </c>
      <c r="I294">
        <f t="shared" si="52"/>
        <v>-131878110</v>
      </c>
      <c r="J294">
        <v>-8086</v>
      </c>
      <c r="K294">
        <f t="shared" si="53"/>
        <v>169013572</v>
      </c>
      <c r="L294">
        <f t="shared" si="54"/>
        <v>-204050210</v>
      </c>
      <c r="M294">
        <v>-1556</v>
      </c>
      <c r="N294">
        <f t="shared" si="55"/>
        <v>32523512</v>
      </c>
      <c r="O294">
        <f t="shared" si="56"/>
        <v>-39265660</v>
      </c>
      <c r="P294">
        <v>7014</v>
      </c>
      <c r="Q294">
        <f t="shared" si="57"/>
        <v>-146606628</v>
      </c>
      <c r="R294">
        <f t="shared" si="58"/>
        <v>176998290</v>
      </c>
    </row>
    <row r="295" spans="1:18">
      <c r="A295">
        <f t="shared" si="59"/>
        <v>292</v>
      </c>
      <c r="B295">
        <v>2722</v>
      </c>
      <c r="C295">
        <v>32654</v>
      </c>
      <c r="D295" t="str">
        <f t="shared" si="48"/>
        <v>AA2</v>
      </c>
      <c r="E295" t="str">
        <f t="shared" si="49"/>
        <v>7F8E</v>
      </c>
      <c r="F295">
        <v>680</v>
      </c>
      <c r="G295" t="str">
        <f t="shared" si="50"/>
        <v>2A8</v>
      </c>
      <c r="H295">
        <f t="shared" si="51"/>
        <v>1850960</v>
      </c>
      <c r="I295">
        <f t="shared" si="52"/>
        <v>22204720</v>
      </c>
      <c r="J295">
        <v>-4888</v>
      </c>
      <c r="K295">
        <f t="shared" si="53"/>
        <v>-13305136</v>
      </c>
      <c r="L295">
        <f t="shared" si="54"/>
        <v>-159612752</v>
      </c>
      <c r="M295">
        <v>4515</v>
      </c>
      <c r="N295">
        <f t="shared" si="55"/>
        <v>12289830</v>
      </c>
      <c r="O295">
        <f t="shared" si="56"/>
        <v>147432810</v>
      </c>
      <c r="P295">
        <v>7965</v>
      </c>
      <c r="Q295">
        <f t="shared" si="57"/>
        <v>21680730</v>
      </c>
      <c r="R295">
        <f t="shared" si="58"/>
        <v>260089110</v>
      </c>
    </row>
    <row r="296" spans="1:18">
      <c r="A296">
        <f t="shared" si="59"/>
        <v>293</v>
      </c>
      <c r="B296">
        <v>24791</v>
      </c>
      <c r="C296">
        <v>21426</v>
      </c>
      <c r="D296" t="str">
        <f t="shared" si="48"/>
        <v>60D7</v>
      </c>
      <c r="E296" t="str">
        <f t="shared" si="49"/>
        <v>53B2</v>
      </c>
      <c r="F296">
        <v>6198</v>
      </c>
      <c r="G296" t="str">
        <f t="shared" si="50"/>
        <v>1836</v>
      </c>
      <c r="H296">
        <f t="shared" si="51"/>
        <v>153654618</v>
      </c>
      <c r="I296">
        <f t="shared" si="52"/>
        <v>132798348</v>
      </c>
      <c r="J296">
        <v>1073</v>
      </c>
      <c r="K296">
        <f t="shared" si="53"/>
        <v>26600743</v>
      </c>
      <c r="L296">
        <f t="shared" si="54"/>
        <v>22990098</v>
      </c>
      <c r="M296">
        <v>8008</v>
      </c>
      <c r="N296">
        <f t="shared" si="55"/>
        <v>198526328</v>
      </c>
      <c r="O296">
        <f t="shared" si="56"/>
        <v>171579408</v>
      </c>
      <c r="P296">
        <v>4321</v>
      </c>
      <c r="Q296">
        <f t="shared" si="57"/>
        <v>107121911</v>
      </c>
      <c r="R296">
        <f t="shared" si="58"/>
        <v>92581746</v>
      </c>
    </row>
    <row r="297" spans="1:18">
      <c r="A297">
        <f t="shared" si="59"/>
        <v>294</v>
      </c>
      <c r="B297">
        <v>32704</v>
      </c>
      <c r="C297">
        <v>-2037</v>
      </c>
      <c r="D297" t="str">
        <f t="shared" si="48"/>
        <v>7FC0</v>
      </c>
      <c r="E297" t="str">
        <f t="shared" si="49"/>
        <v>FFFFFFF80B</v>
      </c>
      <c r="F297">
        <v>8176</v>
      </c>
      <c r="G297" t="str">
        <f t="shared" si="50"/>
        <v>1FF0</v>
      </c>
      <c r="H297">
        <f t="shared" si="51"/>
        <v>267387904</v>
      </c>
      <c r="I297">
        <f t="shared" si="52"/>
        <v>-16654512</v>
      </c>
      <c r="J297">
        <v>6428</v>
      </c>
      <c r="K297">
        <f t="shared" si="53"/>
        <v>210221312</v>
      </c>
      <c r="L297">
        <f t="shared" si="54"/>
        <v>-13093836</v>
      </c>
      <c r="M297">
        <v>6928</v>
      </c>
      <c r="N297">
        <f t="shared" si="55"/>
        <v>226573312</v>
      </c>
      <c r="O297">
        <f t="shared" si="56"/>
        <v>-14112336</v>
      </c>
      <c r="P297">
        <v>-1816</v>
      </c>
      <c r="Q297">
        <f t="shared" si="57"/>
        <v>-59390464</v>
      </c>
      <c r="R297">
        <f t="shared" si="58"/>
        <v>3699192</v>
      </c>
    </row>
    <row r="298" spans="1:18">
      <c r="A298">
        <f t="shared" si="59"/>
        <v>295</v>
      </c>
      <c r="B298">
        <v>21940</v>
      </c>
      <c r="C298">
        <v>-24337</v>
      </c>
      <c r="D298" t="str">
        <f t="shared" si="48"/>
        <v>55B4</v>
      </c>
      <c r="E298" t="str">
        <f t="shared" si="49"/>
        <v>FFFFFFA0EF</v>
      </c>
      <c r="F298">
        <v>5485</v>
      </c>
      <c r="G298" t="str">
        <f t="shared" si="50"/>
        <v>156D</v>
      </c>
      <c r="H298">
        <f t="shared" si="51"/>
        <v>120340900</v>
      </c>
      <c r="I298">
        <f t="shared" si="52"/>
        <v>-133488445</v>
      </c>
      <c r="J298">
        <v>8149</v>
      </c>
      <c r="K298">
        <f t="shared" si="53"/>
        <v>178789060</v>
      </c>
      <c r="L298">
        <f t="shared" si="54"/>
        <v>-198322213</v>
      </c>
      <c r="M298">
        <v>1892</v>
      </c>
      <c r="N298">
        <f t="shared" si="55"/>
        <v>41510480</v>
      </c>
      <c r="O298">
        <f t="shared" si="56"/>
        <v>-46045604</v>
      </c>
      <c r="P298">
        <v>-6905</v>
      </c>
      <c r="Q298">
        <f t="shared" si="57"/>
        <v>-151495700</v>
      </c>
      <c r="R298">
        <f t="shared" si="58"/>
        <v>168046985</v>
      </c>
    </row>
    <row r="299" spans="1:18">
      <c r="A299">
        <f t="shared" si="59"/>
        <v>296</v>
      </c>
      <c r="B299">
        <v>-1352</v>
      </c>
      <c r="C299">
        <v>-32739</v>
      </c>
      <c r="D299" t="str">
        <f t="shared" si="48"/>
        <v>FFFFFFFAB8</v>
      </c>
      <c r="E299" t="str">
        <f t="shared" si="49"/>
        <v>FFFFFF801D</v>
      </c>
      <c r="F299">
        <v>-338</v>
      </c>
      <c r="G299" t="str">
        <f t="shared" si="50"/>
        <v>FFFFFFFEAE</v>
      </c>
      <c r="H299">
        <f t="shared" si="51"/>
        <v>456976</v>
      </c>
      <c r="I299">
        <f t="shared" si="52"/>
        <v>11065782</v>
      </c>
      <c r="J299">
        <v>5265</v>
      </c>
      <c r="K299">
        <f t="shared" si="53"/>
        <v>-7118280</v>
      </c>
      <c r="L299">
        <f t="shared" si="54"/>
        <v>-172370835</v>
      </c>
      <c r="M299">
        <v>-4225</v>
      </c>
      <c r="N299">
        <f t="shared" si="55"/>
        <v>5712200</v>
      </c>
      <c r="O299">
        <f t="shared" si="56"/>
        <v>138322275</v>
      </c>
      <c r="P299">
        <v>-8010</v>
      </c>
      <c r="Q299">
        <f t="shared" si="57"/>
        <v>10829520</v>
      </c>
      <c r="R299">
        <f t="shared" si="58"/>
        <v>262239390</v>
      </c>
    </row>
    <row r="300" spans="1:18">
      <c r="A300">
        <f t="shared" si="59"/>
        <v>297</v>
      </c>
      <c r="B300">
        <v>-23872</v>
      </c>
      <c r="C300">
        <v>-22445</v>
      </c>
      <c r="D300" t="str">
        <f t="shared" si="48"/>
        <v>FFFFFFA2C0</v>
      </c>
      <c r="E300" t="str">
        <f t="shared" si="49"/>
        <v>FFFFFFA853</v>
      </c>
      <c r="F300">
        <v>-5968</v>
      </c>
      <c r="G300" t="str">
        <f t="shared" si="50"/>
        <v>FFFFFFE8B0</v>
      </c>
      <c r="H300">
        <f t="shared" si="51"/>
        <v>142468096</v>
      </c>
      <c r="I300">
        <f t="shared" si="52"/>
        <v>133951760</v>
      </c>
      <c r="J300">
        <v>-595</v>
      </c>
      <c r="K300">
        <f t="shared" si="53"/>
        <v>14203840</v>
      </c>
      <c r="L300">
        <f t="shared" si="54"/>
        <v>13354775</v>
      </c>
      <c r="M300">
        <v>-7929</v>
      </c>
      <c r="N300">
        <f t="shared" si="55"/>
        <v>189281088</v>
      </c>
      <c r="O300">
        <f t="shared" si="56"/>
        <v>177966405</v>
      </c>
      <c r="P300">
        <v>-4494</v>
      </c>
      <c r="Q300">
        <f t="shared" si="57"/>
        <v>107280768</v>
      </c>
      <c r="R300">
        <f t="shared" si="58"/>
        <v>100867830</v>
      </c>
    </row>
    <row r="301" spans="1:18">
      <c r="A301">
        <f t="shared" si="59"/>
        <v>298</v>
      </c>
      <c r="B301">
        <v>-32760</v>
      </c>
      <c r="C301">
        <v>666</v>
      </c>
      <c r="D301" t="str">
        <f t="shared" si="48"/>
        <v>FFFFFF8008</v>
      </c>
      <c r="E301" t="str">
        <f t="shared" si="49"/>
        <v>29A</v>
      </c>
      <c r="F301">
        <v>-8190</v>
      </c>
      <c r="G301" t="str">
        <f t="shared" si="50"/>
        <v>FFFFFFE002</v>
      </c>
      <c r="H301">
        <f t="shared" si="51"/>
        <v>268304400</v>
      </c>
      <c r="I301">
        <f t="shared" si="52"/>
        <v>-5454540</v>
      </c>
      <c r="J301">
        <v>-6119</v>
      </c>
      <c r="K301">
        <f t="shared" si="53"/>
        <v>200458440</v>
      </c>
      <c r="L301">
        <f t="shared" si="54"/>
        <v>-4075254</v>
      </c>
      <c r="M301">
        <v>-7105</v>
      </c>
      <c r="N301">
        <f t="shared" si="55"/>
        <v>232759800</v>
      </c>
      <c r="O301">
        <f t="shared" si="56"/>
        <v>-4731930</v>
      </c>
      <c r="P301">
        <v>1615</v>
      </c>
      <c r="Q301">
        <f t="shared" si="57"/>
        <v>-52907400</v>
      </c>
      <c r="R301">
        <f t="shared" si="58"/>
        <v>1075590</v>
      </c>
    </row>
    <row r="302" spans="1:18">
      <c r="A302">
        <f t="shared" si="59"/>
        <v>299</v>
      </c>
      <c r="B302">
        <v>-22941</v>
      </c>
      <c r="C302">
        <v>23397</v>
      </c>
      <c r="D302" t="str">
        <f t="shared" si="48"/>
        <v>FFFFFFA663</v>
      </c>
      <c r="E302" t="str">
        <f t="shared" si="49"/>
        <v>5B65</v>
      </c>
      <c r="F302">
        <v>-5735</v>
      </c>
      <c r="G302" t="str">
        <f t="shared" si="50"/>
        <v>FFFFFFE999</v>
      </c>
      <c r="H302">
        <f t="shared" si="51"/>
        <v>131566635</v>
      </c>
      <c r="I302">
        <f t="shared" si="52"/>
        <v>-134181795</v>
      </c>
      <c r="J302">
        <v>-8184</v>
      </c>
      <c r="K302">
        <f t="shared" si="53"/>
        <v>187749144</v>
      </c>
      <c r="L302">
        <f t="shared" si="54"/>
        <v>-191481048</v>
      </c>
      <c r="M302">
        <v>-2224</v>
      </c>
      <c r="N302">
        <f t="shared" si="55"/>
        <v>51020784</v>
      </c>
      <c r="O302">
        <f t="shared" si="56"/>
        <v>-52034928</v>
      </c>
      <c r="P302">
        <v>6792</v>
      </c>
      <c r="Q302">
        <f t="shared" si="57"/>
        <v>-155815272</v>
      </c>
      <c r="R302">
        <f t="shared" si="58"/>
        <v>158912424</v>
      </c>
    </row>
    <row r="303" spans="1:18">
      <c r="A303">
        <f t="shared" si="59"/>
        <v>300</v>
      </c>
      <c r="B303">
        <v>-21</v>
      </c>
      <c r="C303">
        <v>32767</v>
      </c>
      <c r="D303" t="str">
        <f t="shared" si="48"/>
        <v>FFFFFFFFEB</v>
      </c>
      <c r="E303" t="str">
        <f t="shared" si="49"/>
        <v>7FFF</v>
      </c>
      <c r="F303">
        <v>-5</v>
      </c>
      <c r="G303" t="str">
        <f t="shared" si="50"/>
        <v>FFFFFFFFFB</v>
      </c>
      <c r="H303">
        <f t="shared" si="51"/>
        <v>105</v>
      </c>
      <c r="I303">
        <f t="shared" si="52"/>
        <v>-163835</v>
      </c>
      <c r="J303">
        <v>-5624</v>
      </c>
      <c r="K303">
        <f t="shared" si="53"/>
        <v>118104</v>
      </c>
      <c r="L303">
        <f t="shared" si="54"/>
        <v>-184281608</v>
      </c>
      <c r="M303">
        <v>3927</v>
      </c>
      <c r="N303">
        <f t="shared" si="55"/>
        <v>-82467</v>
      </c>
      <c r="O303">
        <f t="shared" si="56"/>
        <v>128676009</v>
      </c>
      <c r="P303">
        <v>8051</v>
      </c>
      <c r="Q303">
        <f t="shared" si="57"/>
        <v>-169071</v>
      </c>
      <c r="R303">
        <f t="shared" si="58"/>
        <v>263807117</v>
      </c>
    </row>
    <row r="304" spans="1:18">
      <c r="A304">
        <f t="shared" si="59"/>
        <v>301</v>
      </c>
      <c r="B304">
        <v>22911</v>
      </c>
      <c r="C304">
        <v>23426</v>
      </c>
      <c r="D304" t="str">
        <f t="shared" si="48"/>
        <v>597F</v>
      </c>
      <c r="E304" t="str">
        <f t="shared" si="49"/>
        <v>5B82</v>
      </c>
      <c r="F304">
        <v>5728</v>
      </c>
      <c r="G304" t="str">
        <f t="shared" si="50"/>
        <v>1660</v>
      </c>
      <c r="H304">
        <f t="shared" si="51"/>
        <v>131234208</v>
      </c>
      <c r="I304">
        <f t="shared" si="52"/>
        <v>134184128</v>
      </c>
      <c r="J304">
        <v>116</v>
      </c>
      <c r="K304">
        <f t="shared" si="53"/>
        <v>2657676</v>
      </c>
      <c r="L304">
        <f t="shared" si="54"/>
        <v>2717416</v>
      </c>
      <c r="M304">
        <v>7836</v>
      </c>
      <c r="N304">
        <f t="shared" si="55"/>
        <v>179530596</v>
      </c>
      <c r="O304">
        <f t="shared" si="56"/>
        <v>183566136</v>
      </c>
      <c r="P304">
        <v>4665</v>
      </c>
      <c r="Q304">
        <f t="shared" si="57"/>
        <v>106879815</v>
      </c>
      <c r="R304">
        <f t="shared" si="58"/>
        <v>109282290</v>
      </c>
    </row>
    <row r="305" spans="1:18">
      <c r="A305">
        <f t="shared" si="59"/>
        <v>302</v>
      </c>
      <c r="B305">
        <v>32759</v>
      </c>
      <c r="C305">
        <v>707</v>
      </c>
      <c r="D305" t="str">
        <f t="shared" si="48"/>
        <v>7FF7</v>
      </c>
      <c r="E305" t="str">
        <f t="shared" si="49"/>
        <v>2C3</v>
      </c>
      <c r="F305">
        <v>8190</v>
      </c>
      <c r="G305" t="str">
        <f t="shared" si="50"/>
        <v>1FFE</v>
      </c>
      <c r="H305">
        <f t="shared" si="51"/>
        <v>268296210</v>
      </c>
      <c r="I305">
        <f t="shared" si="52"/>
        <v>5790330</v>
      </c>
      <c r="J305">
        <v>5789</v>
      </c>
      <c r="K305">
        <f t="shared" si="53"/>
        <v>189641851</v>
      </c>
      <c r="L305">
        <f t="shared" si="54"/>
        <v>4092823</v>
      </c>
      <c r="M305">
        <v>7270</v>
      </c>
      <c r="N305">
        <f t="shared" si="55"/>
        <v>238157930</v>
      </c>
      <c r="O305">
        <f t="shared" si="56"/>
        <v>5139890</v>
      </c>
      <c r="P305">
        <v>-1412</v>
      </c>
      <c r="Q305">
        <f t="shared" si="57"/>
        <v>-46255708</v>
      </c>
      <c r="R305">
        <f t="shared" si="58"/>
        <v>-998284</v>
      </c>
    </row>
    <row r="306" spans="1:18">
      <c r="A306">
        <f t="shared" si="59"/>
        <v>303</v>
      </c>
      <c r="B306">
        <v>23900</v>
      </c>
      <c r="C306">
        <v>-22415</v>
      </c>
      <c r="D306" t="str">
        <f t="shared" si="48"/>
        <v>5D5C</v>
      </c>
      <c r="E306" t="str">
        <f t="shared" si="49"/>
        <v>FFFFFFA871</v>
      </c>
      <c r="F306">
        <v>5975</v>
      </c>
      <c r="G306" t="str">
        <f t="shared" si="50"/>
        <v>1757</v>
      </c>
      <c r="H306">
        <f t="shared" si="51"/>
        <v>142802500</v>
      </c>
      <c r="I306">
        <f t="shared" si="52"/>
        <v>-133929625</v>
      </c>
      <c r="J306">
        <v>8191</v>
      </c>
      <c r="K306">
        <f t="shared" si="53"/>
        <v>195764900</v>
      </c>
      <c r="L306">
        <f t="shared" si="54"/>
        <v>-183601265</v>
      </c>
      <c r="M306">
        <v>2552</v>
      </c>
      <c r="N306">
        <f t="shared" si="55"/>
        <v>60992800</v>
      </c>
      <c r="O306">
        <f t="shared" si="56"/>
        <v>-57203080</v>
      </c>
      <c r="P306">
        <v>-6675</v>
      </c>
      <c r="Q306">
        <f t="shared" si="57"/>
        <v>-159532500</v>
      </c>
      <c r="R306">
        <f t="shared" si="58"/>
        <v>149620125</v>
      </c>
    </row>
    <row r="307" spans="1:18">
      <c r="A307">
        <f t="shared" si="59"/>
        <v>304</v>
      </c>
      <c r="B307">
        <v>1393</v>
      </c>
      <c r="C307">
        <v>-32737</v>
      </c>
      <c r="D307" t="str">
        <f t="shared" si="48"/>
        <v>571</v>
      </c>
      <c r="E307" t="str">
        <f t="shared" si="49"/>
        <v>FFFFFF801F</v>
      </c>
      <c r="F307">
        <v>348</v>
      </c>
      <c r="G307" t="str">
        <f t="shared" si="50"/>
        <v>15C</v>
      </c>
      <c r="H307">
        <f t="shared" si="51"/>
        <v>484764</v>
      </c>
      <c r="I307">
        <f t="shared" si="52"/>
        <v>-11392476</v>
      </c>
      <c r="J307">
        <v>5963</v>
      </c>
      <c r="K307">
        <f t="shared" si="53"/>
        <v>8306459</v>
      </c>
      <c r="L307">
        <f t="shared" si="54"/>
        <v>-195210731</v>
      </c>
      <c r="M307">
        <v>-3623</v>
      </c>
      <c r="N307">
        <f t="shared" si="55"/>
        <v>-5046839</v>
      </c>
      <c r="O307">
        <f t="shared" si="56"/>
        <v>118606151</v>
      </c>
      <c r="P307">
        <v>-8086</v>
      </c>
      <c r="Q307">
        <f t="shared" si="57"/>
        <v>-11263798</v>
      </c>
      <c r="R307">
        <f t="shared" si="58"/>
        <v>264711382</v>
      </c>
    </row>
    <row r="308" spans="1:18">
      <c r="A308">
        <f t="shared" si="59"/>
        <v>305</v>
      </c>
      <c r="B308">
        <v>-21910</v>
      </c>
      <c r="C308">
        <v>-24365</v>
      </c>
      <c r="D308" t="str">
        <f t="shared" si="48"/>
        <v>FFFFFFAA6A</v>
      </c>
      <c r="E308" t="str">
        <f t="shared" si="49"/>
        <v>FFFFFFA0D3</v>
      </c>
      <c r="F308">
        <v>-5478</v>
      </c>
      <c r="G308" t="str">
        <f t="shared" si="50"/>
        <v>FFFFFFEA9A</v>
      </c>
      <c r="H308">
        <f t="shared" si="51"/>
        <v>120022980</v>
      </c>
      <c r="I308">
        <f t="shared" si="52"/>
        <v>133471470</v>
      </c>
      <c r="J308">
        <v>365</v>
      </c>
      <c r="K308">
        <f t="shared" si="53"/>
        <v>-7997150</v>
      </c>
      <c r="L308">
        <f t="shared" si="54"/>
        <v>-8893225</v>
      </c>
      <c r="M308">
        <v>-7729</v>
      </c>
      <c r="N308">
        <f t="shared" si="55"/>
        <v>169342390</v>
      </c>
      <c r="O308">
        <f t="shared" si="56"/>
        <v>188317085</v>
      </c>
      <c r="P308">
        <v>-4833</v>
      </c>
      <c r="Q308">
        <f t="shared" si="57"/>
        <v>105891030</v>
      </c>
      <c r="R308">
        <f t="shared" si="58"/>
        <v>117756045</v>
      </c>
    </row>
    <row r="309" spans="1:18">
      <c r="A309">
        <f t="shared" si="59"/>
        <v>306</v>
      </c>
      <c r="B309">
        <v>-32701</v>
      </c>
      <c r="C309">
        <v>-2078</v>
      </c>
      <c r="D309" t="str">
        <f t="shared" si="48"/>
        <v>FFFFFF8043</v>
      </c>
      <c r="E309" t="str">
        <f t="shared" si="49"/>
        <v>FFFFFFF7E2</v>
      </c>
      <c r="F309">
        <v>-8176</v>
      </c>
      <c r="G309" t="str">
        <f t="shared" si="50"/>
        <v>FFFFFFE010</v>
      </c>
      <c r="H309">
        <f t="shared" si="51"/>
        <v>267363376</v>
      </c>
      <c r="I309">
        <f t="shared" si="52"/>
        <v>16989728</v>
      </c>
      <c r="J309">
        <v>-5440</v>
      </c>
      <c r="K309">
        <f t="shared" si="53"/>
        <v>177893440</v>
      </c>
      <c r="L309">
        <f t="shared" si="54"/>
        <v>11304320</v>
      </c>
      <c r="M309">
        <v>-7422</v>
      </c>
      <c r="N309">
        <f t="shared" si="55"/>
        <v>242706822</v>
      </c>
      <c r="O309">
        <f t="shared" si="56"/>
        <v>15422916</v>
      </c>
      <c r="P309">
        <v>1209</v>
      </c>
      <c r="Q309">
        <f t="shared" si="57"/>
        <v>-39535509</v>
      </c>
      <c r="R309">
        <f t="shared" si="58"/>
        <v>-2512302</v>
      </c>
    </row>
    <row r="310" spans="1:18">
      <c r="A310">
        <f t="shared" si="59"/>
        <v>307</v>
      </c>
      <c r="B310">
        <v>-24818</v>
      </c>
      <c r="C310">
        <v>21395</v>
      </c>
      <c r="D310" t="str">
        <f t="shared" si="48"/>
        <v>FFFFFF9F0E</v>
      </c>
      <c r="E310" t="str">
        <f t="shared" si="49"/>
        <v>5393</v>
      </c>
      <c r="F310">
        <v>-6205</v>
      </c>
      <c r="G310" t="str">
        <f t="shared" si="50"/>
        <v>FFFFFFE7C3</v>
      </c>
      <c r="H310">
        <f t="shared" si="51"/>
        <v>153995690</v>
      </c>
      <c r="I310">
        <f t="shared" si="52"/>
        <v>-132755975</v>
      </c>
      <c r="J310">
        <v>-8170</v>
      </c>
      <c r="K310">
        <f t="shared" si="53"/>
        <v>202763060</v>
      </c>
      <c r="L310">
        <f t="shared" si="54"/>
        <v>-174797150</v>
      </c>
      <c r="M310">
        <v>-2876</v>
      </c>
      <c r="N310">
        <f t="shared" si="55"/>
        <v>71376568</v>
      </c>
      <c r="O310">
        <f t="shared" si="56"/>
        <v>-61532020</v>
      </c>
      <c r="P310">
        <v>6553</v>
      </c>
      <c r="Q310">
        <f t="shared" si="57"/>
        <v>-162632354</v>
      </c>
      <c r="R310">
        <f t="shared" si="58"/>
        <v>140201435</v>
      </c>
    </row>
    <row r="311" spans="1:18">
      <c r="A311">
        <f t="shared" si="59"/>
        <v>308</v>
      </c>
      <c r="B311">
        <v>-2763</v>
      </c>
      <c r="C311">
        <v>32650</v>
      </c>
      <c r="D311" t="str">
        <f t="shared" si="48"/>
        <v>FFFFFFF535</v>
      </c>
      <c r="E311" t="str">
        <f t="shared" si="49"/>
        <v>7F8A</v>
      </c>
      <c r="F311">
        <v>-691</v>
      </c>
      <c r="G311" t="str">
        <f t="shared" si="50"/>
        <v>FFFFFFFD4D</v>
      </c>
      <c r="H311">
        <f t="shared" si="51"/>
        <v>1909233</v>
      </c>
      <c r="I311">
        <f t="shared" si="52"/>
        <v>-22561150</v>
      </c>
      <c r="J311">
        <v>-6282</v>
      </c>
      <c r="K311">
        <f t="shared" si="53"/>
        <v>17357166</v>
      </c>
      <c r="L311">
        <f t="shared" si="54"/>
        <v>-205107300</v>
      </c>
      <c r="M311">
        <v>3312</v>
      </c>
      <c r="N311">
        <f t="shared" si="55"/>
        <v>-9151056</v>
      </c>
      <c r="O311">
        <f t="shared" si="56"/>
        <v>108136800</v>
      </c>
      <c r="P311">
        <v>8117</v>
      </c>
      <c r="Q311">
        <f t="shared" si="57"/>
        <v>-22427271</v>
      </c>
      <c r="R311">
        <f t="shared" si="58"/>
        <v>265020050</v>
      </c>
    </row>
    <row r="312" spans="1:18">
      <c r="A312">
        <f t="shared" si="59"/>
        <v>309</v>
      </c>
      <c r="B312">
        <v>20870</v>
      </c>
      <c r="C312">
        <v>25261</v>
      </c>
      <c r="D312" t="str">
        <f t="shared" si="48"/>
        <v>5186</v>
      </c>
      <c r="E312" t="str">
        <f t="shared" si="49"/>
        <v>62AD</v>
      </c>
      <c r="F312">
        <v>5218</v>
      </c>
      <c r="G312" t="str">
        <f t="shared" si="50"/>
        <v>1462</v>
      </c>
      <c r="H312">
        <f t="shared" si="51"/>
        <v>108899660</v>
      </c>
      <c r="I312">
        <f t="shared" si="52"/>
        <v>131811898</v>
      </c>
      <c r="J312">
        <v>-844</v>
      </c>
      <c r="K312">
        <f t="shared" si="53"/>
        <v>-17614280</v>
      </c>
      <c r="L312">
        <f t="shared" si="54"/>
        <v>-21320284</v>
      </c>
      <c r="M312">
        <v>7609</v>
      </c>
      <c r="N312">
        <f t="shared" si="55"/>
        <v>158799830</v>
      </c>
      <c r="O312">
        <f t="shared" si="56"/>
        <v>192210949</v>
      </c>
      <c r="P312">
        <v>4997</v>
      </c>
      <c r="Q312">
        <f t="shared" si="57"/>
        <v>104287390</v>
      </c>
      <c r="R312">
        <f t="shared" si="58"/>
        <v>126229217</v>
      </c>
    </row>
    <row r="313" spans="1:18">
      <c r="A313">
        <f t="shared" si="59"/>
        <v>310</v>
      </c>
      <c r="B313">
        <v>32585</v>
      </c>
      <c r="C313">
        <v>3446</v>
      </c>
      <c r="D313" t="str">
        <f t="shared" si="48"/>
        <v>7F49</v>
      </c>
      <c r="E313" t="str">
        <f t="shared" si="49"/>
        <v>D76</v>
      </c>
      <c r="F313">
        <v>8147</v>
      </c>
      <c r="G313" t="str">
        <f t="shared" si="50"/>
        <v>1FD3</v>
      </c>
      <c r="H313">
        <f t="shared" si="51"/>
        <v>265469995</v>
      </c>
      <c r="I313">
        <f t="shared" si="52"/>
        <v>28074562</v>
      </c>
      <c r="J313">
        <v>5071</v>
      </c>
      <c r="K313">
        <f t="shared" si="53"/>
        <v>165238535</v>
      </c>
      <c r="L313">
        <f t="shared" si="54"/>
        <v>17474666</v>
      </c>
      <c r="M313">
        <v>7560</v>
      </c>
      <c r="N313">
        <f t="shared" si="55"/>
        <v>246342600</v>
      </c>
      <c r="O313">
        <f t="shared" si="56"/>
        <v>26051760</v>
      </c>
      <c r="P313">
        <v>-1005</v>
      </c>
      <c r="Q313">
        <f t="shared" si="57"/>
        <v>-32747925</v>
      </c>
      <c r="R313">
        <f t="shared" si="58"/>
        <v>-3463230</v>
      </c>
    </row>
    <row r="314" spans="1:18">
      <c r="A314">
        <f t="shared" si="59"/>
        <v>311</v>
      </c>
      <c r="B314">
        <v>25693</v>
      </c>
      <c r="C314">
        <v>-20336</v>
      </c>
      <c r="D314" t="str">
        <f t="shared" si="48"/>
        <v>645D</v>
      </c>
      <c r="E314" t="str">
        <f t="shared" si="49"/>
        <v>FFFFFFB090</v>
      </c>
      <c r="F314">
        <v>6423</v>
      </c>
      <c r="G314" t="str">
        <f t="shared" si="50"/>
        <v>1917</v>
      </c>
      <c r="H314">
        <f t="shared" si="51"/>
        <v>165026139</v>
      </c>
      <c r="I314">
        <f t="shared" si="52"/>
        <v>-130618128</v>
      </c>
      <c r="J314">
        <v>8120</v>
      </c>
      <c r="K314">
        <f t="shared" si="53"/>
        <v>208627160</v>
      </c>
      <c r="L314">
        <f t="shared" si="54"/>
        <v>-165128320</v>
      </c>
      <c r="M314">
        <v>3195</v>
      </c>
      <c r="N314">
        <f t="shared" si="55"/>
        <v>82089135</v>
      </c>
      <c r="O314">
        <f t="shared" si="56"/>
        <v>-64973520</v>
      </c>
      <c r="P314">
        <v>-6428</v>
      </c>
      <c r="Q314">
        <f t="shared" si="57"/>
        <v>-165154604</v>
      </c>
      <c r="R314">
        <f t="shared" si="58"/>
        <v>130719808</v>
      </c>
    </row>
    <row r="315" spans="1:18">
      <c r="A315">
        <f t="shared" si="59"/>
        <v>312</v>
      </c>
      <c r="B315">
        <v>4128</v>
      </c>
      <c r="C315">
        <v>-32506</v>
      </c>
      <c r="D315" t="str">
        <f t="shared" si="48"/>
        <v>1020</v>
      </c>
      <c r="E315" t="str">
        <f t="shared" si="49"/>
        <v>FFFFFF8106</v>
      </c>
      <c r="F315">
        <v>1032</v>
      </c>
      <c r="G315" t="str">
        <f t="shared" si="50"/>
        <v>408</v>
      </c>
      <c r="H315">
        <f t="shared" si="51"/>
        <v>4260096</v>
      </c>
      <c r="I315">
        <f t="shared" si="52"/>
        <v>-33546192</v>
      </c>
      <c r="J315">
        <v>6579</v>
      </c>
      <c r="K315">
        <f t="shared" si="53"/>
        <v>27158112</v>
      </c>
      <c r="L315">
        <f t="shared" si="54"/>
        <v>-213856974</v>
      </c>
      <c r="M315">
        <v>-2995</v>
      </c>
      <c r="N315">
        <f t="shared" si="55"/>
        <v>-12363360</v>
      </c>
      <c r="O315">
        <f t="shared" si="56"/>
        <v>97355470</v>
      </c>
      <c r="P315">
        <v>-8142</v>
      </c>
      <c r="Q315">
        <f t="shared" si="57"/>
        <v>-33610176</v>
      </c>
      <c r="R315">
        <f t="shared" si="58"/>
        <v>264663852</v>
      </c>
    </row>
    <row r="316" spans="1:18">
      <c r="A316">
        <f t="shared" si="59"/>
        <v>313</v>
      </c>
      <c r="B316">
        <v>-19794</v>
      </c>
      <c r="C316">
        <v>-26113</v>
      </c>
      <c r="D316" t="str">
        <f t="shared" si="48"/>
        <v>FFFFFFB2AE</v>
      </c>
      <c r="E316" t="str">
        <f t="shared" si="49"/>
        <v>FFFFFF99FF</v>
      </c>
      <c r="F316">
        <v>-4949</v>
      </c>
      <c r="G316" t="str">
        <f t="shared" si="50"/>
        <v>FFFFFFECAB</v>
      </c>
      <c r="H316">
        <f t="shared" si="51"/>
        <v>97960506</v>
      </c>
      <c r="I316">
        <f t="shared" si="52"/>
        <v>129233237</v>
      </c>
      <c r="J316">
        <v>1320</v>
      </c>
      <c r="K316">
        <f t="shared" si="53"/>
        <v>-26128080</v>
      </c>
      <c r="L316">
        <f t="shared" si="54"/>
        <v>-34469160</v>
      </c>
      <c r="M316">
        <v>-7475</v>
      </c>
      <c r="N316">
        <f t="shared" si="55"/>
        <v>147960150</v>
      </c>
      <c r="O316">
        <f t="shared" si="56"/>
        <v>195194675</v>
      </c>
      <c r="P316">
        <v>-5159</v>
      </c>
      <c r="Q316">
        <f t="shared" si="57"/>
        <v>102117246</v>
      </c>
      <c r="R316">
        <f t="shared" si="58"/>
        <v>134716967</v>
      </c>
    </row>
    <row r="317" spans="1:18">
      <c r="A317">
        <f t="shared" si="59"/>
        <v>314</v>
      </c>
      <c r="B317">
        <v>-32412</v>
      </c>
      <c r="C317">
        <v>-4808</v>
      </c>
      <c r="D317" t="str">
        <f t="shared" si="48"/>
        <v>FFFFFF8164</v>
      </c>
      <c r="E317" t="str">
        <f t="shared" si="49"/>
        <v>FFFFFFED38</v>
      </c>
      <c r="F317">
        <v>-8103</v>
      </c>
      <c r="G317" t="str">
        <f t="shared" si="50"/>
        <v>FFFFFFE059</v>
      </c>
      <c r="H317">
        <f t="shared" si="51"/>
        <v>262634436</v>
      </c>
      <c r="I317">
        <f t="shared" si="52"/>
        <v>38959224</v>
      </c>
      <c r="J317">
        <v>-4686</v>
      </c>
      <c r="K317">
        <f t="shared" si="53"/>
        <v>151882632</v>
      </c>
      <c r="L317">
        <f t="shared" si="54"/>
        <v>22530288</v>
      </c>
      <c r="M317">
        <v>-7686</v>
      </c>
      <c r="N317">
        <f t="shared" si="55"/>
        <v>249118632</v>
      </c>
      <c r="O317">
        <f t="shared" si="56"/>
        <v>36954288</v>
      </c>
      <c r="P317">
        <v>801</v>
      </c>
      <c r="Q317">
        <f t="shared" si="57"/>
        <v>-25962012</v>
      </c>
      <c r="R317">
        <f t="shared" si="58"/>
        <v>-3851208</v>
      </c>
    </row>
    <row r="318" spans="1:18">
      <c r="A318">
        <f t="shared" si="59"/>
        <v>315</v>
      </c>
      <c r="B318">
        <v>-26522</v>
      </c>
      <c r="C318">
        <v>19242</v>
      </c>
      <c r="D318" t="str">
        <f t="shared" si="48"/>
        <v>FFFFFF9866</v>
      </c>
      <c r="E318" t="str">
        <f t="shared" si="49"/>
        <v>4B2A</v>
      </c>
      <c r="F318">
        <v>-6631</v>
      </c>
      <c r="G318" t="str">
        <f t="shared" si="50"/>
        <v>FFFFFFE619</v>
      </c>
      <c r="H318">
        <f t="shared" si="51"/>
        <v>175867382</v>
      </c>
      <c r="I318">
        <f t="shared" si="52"/>
        <v>-127593702</v>
      </c>
      <c r="J318">
        <v>-8043</v>
      </c>
      <c r="K318">
        <f t="shared" si="53"/>
        <v>213316446</v>
      </c>
      <c r="L318">
        <f t="shared" si="54"/>
        <v>-154763406</v>
      </c>
      <c r="M318">
        <v>-3508</v>
      </c>
      <c r="N318">
        <f t="shared" si="55"/>
        <v>93039176</v>
      </c>
      <c r="O318">
        <f t="shared" si="56"/>
        <v>-67500936</v>
      </c>
      <c r="P318">
        <v>6298</v>
      </c>
      <c r="Q318">
        <f t="shared" si="57"/>
        <v>-167035556</v>
      </c>
      <c r="R318">
        <f t="shared" si="58"/>
        <v>121186116</v>
      </c>
    </row>
    <row r="319" spans="1:18">
      <c r="A319">
        <f t="shared" si="59"/>
        <v>316</v>
      </c>
      <c r="B319">
        <v>-5486</v>
      </c>
      <c r="C319">
        <v>32305</v>
      </c>
      <c r="D319" t="str">
        <f t="shared" si="48"/>
        <v>FFFFFFEA92</v>
      </c>
      <c r="E319" t="str">
        <f t="shared" si="49"/>
        <v>7E31</v>
      </c>
      <c r="F319">
        <v>-1372</v>
      </c>
      <c r="G319" t="str">
        <f t="shared" si="50"/>
        <v>FFFFFFFAA4</v>
      </c>
      <c r="H319">
        <f t="shared" si="51"/>
        <v>7526792</v>
      </c>
      <c r="I319">
        <f t="shared" si="52"/>
        <v>-44322460</v>
      </c>
      <c r="J319">
        <v>-6854</v>
      </c>
      <c r="K319">
        <f t="shared" si="53"/>
        <v>37601044</v>
      </c>
      <c r="L319">
        <f t="shared" si="54"/>
        <v>-221418470</v>
      </c>
      <c r="M319">
        <v>2674</v>
      </c>
      <c r="N319">
        <f t="shared" si="55"/>
        <v>-14669564</v>
      </c>
      <c r="O319">
        <f t="shared" si="56"/>
        <v>86383570</v>
      </c>
      <c r="P319">
        <v>8162</v>
      </c>
      <c r="Q319">
        <f t="shared" si="57"/>
        <v>-44776732</v>
      </c>
      <c r="R319">
        <f t="shared" si="58"/>
        <v>263673410</v>
      </c>
    </row>
    <row r="320" spans="1:18">
      <c r="A320">
        <f t="shared" si="59"/>
        <v>317</v>
      </c>
      <c r="B320">
        <v>18683</v>
      </c>
      <c r="C320">
        <v>26919</v>
      </c>
      <c r="D320" t="str">
        <f t="shared" si="48"/>
        <v>48FB</v>
      </c>
      <c r="E320" t="str">
        <f t="shared" si="49"/>
        <v>6927</v>
      </c>
      <c r="F320">
        <v>4671</v>
      </c>
      <c r="G320" t="str">
        <f t="shared" si="50"/>
        <v>123F</v>
      </c>
      <c r="H320">
        <f t="shared" si="51"/>
        <v>87268293</v>
      </c>
      <c r="I320">
        <f t="shared" si="52"/>
        <v>125738649</v>
      </c>
      <c r="J320">
        <v>-1792</v>
      </c>
      <c r="K320">
        <f t="shared" si="53"/>
        <v>-33479936</v>
      </c>
      <c r="L320">
        <f t="shared" si="54"/>
        <v>-48238848</v>
      </c>
      <c r="M320">
        <v>7328</v>
      </c>
      <c r="N320">
        <f t="shared" si="55"/>
        <v>136909024</v>
      </c>
      <c r="O320">
        <f t="shared" si="56"/>
        <v>197262432</v>
      </c>
      <c r="P320">
        <v>5317</v>
      </c>
      <c r="Q320">
        <f t="shared" si="57"/>
        <v>99337511</v>
      </c>
      <c r="R320">
        <f t="shared" si="58"/>
        <v>143128323</v>
      </c>
    </row>
    <row r="321" spans="1:18">
      <c r="A321">
        <f t="shared" si="59"/>
        <v>318</v>
      </c>
      <c r="B321">
        <v>32183</v>
      </c>
      <c r="C321">
        <v>6161</v>
      </c>
      <c r="D321" t="str">
        <f t="shared" si="48"/>
        <v>7DB7</v>
      </c>
      <c r="E321" t="str">
        <f t="shared" si="49"/>
        <v>1811</v>
      </c>
      <c r="F321">
        <v>8046</v>
      </c>
      <c r="G321" t="str">
        <f t="shared" si="50"/>
        <v>1F6E</v>
      </c>
      <c r="H321">
        <f t="shared" si="51"/>
        <v>258944418</v>
      </c>
      <c r="I321">
        <f t="shared" si="52"/>
        <v>49571406</v>
      </c>
      <c r="J321">
        <v>4284</v>
      </c>
      <c r="K321">
        <f t="shared" si="53"/>
        <v>137871972</v>
      </c>
      <c r="L321">
        <f t="shared" si="54"/>
        <v>26393724</v>
      </c>
      <c r="M321">
        <v>7798</v>
      </c>
      <c r="N321">
        <f t="shared" si="55"/>
        <v>250963034</v>
      </c>
      <c r="O321">
        <f t="shared" si="56"/>
        <v>48043478</v>
      </c>
      <c r="P321">
        <v>-595</v>
      </c>
      <c r="Q321">
        <f t="shared" si="57"/>
        <v>-19148885</v>
      </c>
      <c r="R321">
        <f t="shared" si="58"/>
        <v>-3665795</v>
      </c>
    </row>
    <row r="322" spans="1:18">
      <c r="A322">
        <f t="shared" si="59"/>
        <v>319</v>
      </c>
      <c r="B322">
        <v>27304</v>
      </c>
      <c r="C322">
        <v>-18115</v>
      </c>
      <c r="D322" t="str">
        <f t="shared" si="48"/>
        <v>6AA8</v>
      </c>
      <c r="E322" t="str">
        <f t="shared" si="49"/>
        <v>FFFFFFB93D</v>
      </c>
      <c r="F322">
        <v>6826</v>
      </c>
      <c r="G322" t="str">
        <f t="shared" si="50"/>
        <v>1AAA</v>
      </c>
      <c r="H322">
        <f t="shared" si="51"/>
        <v>186377104</v>
      </c>
      <c r="I322">
        <f t="shared" si="52"/>
        <v>-123652990</v>
      </c>
      <c r="J322">
        <v>7938</v>
      </c>
      <c r="K322">
        <f t="shared" si="53"/>
        <v>216739152</v>
      </c>
      <c r="L322">
        <f t="shared" si="54"/>
        <v>-143796870</v>
      </c>
      <c r="M322">
        <v>3815</v>
      </c>
      <c r="N322">
        <f t="shared" si="55"/>
        <v>104164760</v>
      </c>
      <c r="O322">
        <f t="shared" si="56"/>
        <v>-69108725</v>
      </c>
      <c r="P322">
        <v>-6165</v>
      </c>
      <c r="Q322">
        <f t="shared" si="57"/>
        <v>-168329160</v>
      </c>
      <c r="R322">
        <f t="shared" si="58"/>
        <v>111678975</v>
      </c>
    </row>
    <row r="323" spans="1:18">
      <c r="A323">
        <f t="shared" si="59"/>
        <v>320</v>
      </c>
      <c r="B323">
        <v>6834</v>
      </c>
      <c r="C323">
        <v>-32046</v>
      </c>
      <c r="D323" t="str">
        <f t="shared" ref="D323:D386" si="60">DEC2HEX(B323)</f>
        <v>1AB2</v>
      </c>
      <c r="E323" t="str">
        <f t="shared" ref="E323:E386" si="61">DEC2HEX(C323)</f>
        <v>FFFFFF82D2</v>
      </c>
      <c r="F323">
        <v>1709</v>
      </c>
      <c r="G323" t="str">
        <f t="shared" ref="G323:G386" si="62">DEC2HEX(F323)</f>
        <v>6AD</v>
      </c>
      <c r="H323">
        <f t="shared" ref="H323:H386" si="63">F323*B323</f>
        <v>11679306</v>
      </c>
      <c r="I323">
        <f t="shared" ref="I323:I386" si="64">F323*C323</f>
        <v>-54766614</v>
      </c>
      <c r="J323">
        <v>7105</v>
      </c>
      <c r="K323">
        <f t="shared" ref="K323:K386" si="65">J323*B323</f>
        <v>48555570</v>
      </c>
      <c r="L323">
        <f t="shared" ref="L323:L386" si="66">J323*C323</f>
        <v>-227686830</v>
      </c>
      <c r="M323">
        <v>-2347</v>
      </c>
      <c r="N323">
        <f t="shared" ref="N323:N386" si="67">M323*B323</f>
        <v>-16039398</v>
      </c>
      <c r="O323">
        <f t="shared" ref="O323:O386" si="68">M323*C323</f>
        <v>75211962</v>
      </c>
      <c r="P323">
        <v>-8177</v>
      </c>
      <c r="Q323">
        <f t="shared" ref="Q323:Q386" si="69">P323*B323</f>
        <v>-55881618</v>
      </c>
      <c r="R323">
        <f t="shared" ref="R323:R386" si="70">P323*C323</f>
        <v>262040142</v>
      </c>
    </row>
    <row r="324" spans="1:18">
      <c r="A324">
        <f t="shared" si="59"/>
        <v>321</v>
      </c>
      <c r="B324">
        <v>-17539</v>
      </c>
      <c r="C324">
        <v>-27678</v>
      </c>
      <c r="D324" t="str">
        <f t="shared" si="60"/>
        <v>FFFFFFBB7D</v>
      </c>
      <c r="E324" t="str">
        <f t="shared" si="61"/>
        <v>FFFFFF93E2</v>
      </c>
      <c r="F324">
        <v>-4385</v>
      </c>
      <c r="G324" t="str">
        <f t="shared" si="62"/>
        <v>FFFFFFEEDF</v>
      </c>
      <c r="H324">
        <f t="shared" si="63"/>
        <v>76908515</v>
      </c>
      <c r="I324">
        <f t="shared" si="64"/>
        <v>121368030</v>
      </c>
      <c r="J324">
        <v>2257</v>
      </c>
      <c r="K324">
        <f t="shared" si="65"/>
        <v>-39585523</v>
      </c>
      <c r="L324">
        <f t="shared" si="66"/>
        <v>-62469246</v>
      </c>
      <c r="M324">
        <v>-7168</v>
      </c>
      <c r="N324">
        <f t="shared" si="67"/>
        <v>125719552</v>
      </c>
      <c r="O324">
        <f t="shared" si="68"/>
        <v>198395904</v>
      </c>
      <c r="P324">
        <v>-5472</v>
      </c>
      <c r="Q324">
        <f t="shared" si="69"/>
        <v>95973408</v>
      </c>
      <c r="R324">
        <f t="shared" si="70"/>
        <v>151454016</v>
      </c>
    </row>
    <row r="325" spans="1:18">
      <c r="A325">
        <f t="shared" ref="A325:A388" si="71">A324+1</f>
        <v>322</v>
      </c>
      <c r="B325">
        <v>-31896</v>
      </c>
      <c r="C325">
        <v>-7504</v>
      </c>
      <c r="D325" t="str">
        <f t="shared" si="60"/>
        <v>FFFFFF8368</v>
      </c>
      <c r="E325" t="str">
        <f t="shared" si="61"/>
        <v>FFFFFFE2B0</v>
      </c>
      <c r="F325">
        <v>-7974</v>
      </c>
      <c r="G325" t="str">
        <f t="shared" si="62"/>
        <v>FFFFFFE0DA</v>
      </c>
      <c r="H325">
        <f t="shared" si="63"/>
        <v>254338704</v>
      </c>
      <c r="I325">
        <f t="shared" si="64"/>
        <v>59836896</v>
      </c>
      <c r="J325">
        <v>-3867</v>
      </c>
      <c r="K325">
        <f t="shared" si="65"/>
        <v>123341832</v>
      </c>
      <c r="L325">
        <f t="shared" si="66"/>
        <v>29017968</v>
      </c>
      <c r="M325">
        <v>-7896</v>
      </c>
      <c r="N325">
        <f t="shared" si="67"/>
        <v>251850816</v>
      </c>
      <c r="O325">
        <f t="shared" si="68"/>
        <v>59251584</v>
      </c>
      <c r="P325">
        <v>390</v>
      </c>
      <c r="Q325">
        <f t="shared" si="69"/>
        <v>-12439440</v>
      </c>
      <c r="R325">
        <f t="shared" si="70"/>
        <v>-2926560</v>
      </c>
    </row>
    <row r="326" spans="1:18">
      <c r="A326">
        <f t="shared" si="71"/>
        <v>323</v>
      </c>
      <c r="B326">
        <v>-28039</v>
      </c>
      <c r="C326">
        <v>16955</v>
      </c>
      <c r="D326" t="str">
        <f t="shared" si="60"/>
        <v>FFFFFF9279</v>
      </c>
      <c r="E326" t="str">
        <f t="shared" si="61"/>
        <v>423B</v>
      </c>
      <c r="F326">
        <v>-7010</v>
      </c>
      <c r="G326" t="str">
        <f t="shared" si="62"/>
        <v>FFFFFFE49E</v>
      </c>
      <c r="H326">
        <f t="shared" si="63"/>
        <v>196553390</v>
      </c>
      <c r="I326">
        <f t="shared" si="64"/>
        <v>-118854550</v>
      </c>
      <c r="J326">
        <v>-7805</v>
      </c>
      <c r="K326">
        <f t="shared" si="65"/>
        <v>218844395</v>
      </c>
      <c r="L326">
        <f t="shared" si="66"/>
        <v>-132333775</v>
      </c>
      <c r="M326">
        <v>-4115</v>
      </c>
      <c r="N326">
        <f t="shared" si="67"/>
        <v>115380485</v>
      </c>
      <c r="O326">
        <f t="shared" si="68"/>
        <v>-69769825</v>
      </c>
      <c r="P326">
        <v>6027</v>
      </c>
      <c r="Q326">
        <f t="shared" si="69"/>
        <v>-168991053</v>
      </c>
      <c r="R326">
        <f t="shared" si="70"/>
        <v>102187785</v>
      </c>
    </row>
    <row r="327" spans="1:18">
      <c r="A327">
        <f t="shared" si="71"/>
        <v>324</v>
      </c>
      <c r="B327">
        <v>-8170</v>
      </c>
      <c r="C327">
        <v>31732</v>
      </c>
      <c r="D327" t="str">
        <f t="shared" si="60"/>
        <v>FFFFFFE016</v>
      </c>
      <c r="E327" t="str">
        <f t="shared" si="61"/>
        <v>7BF4</v>
      </c>
      <c r="F327">
        <v>-2043</v>
      </c>
      <c r="G327" t="str">
        <f t="shared" si="62"/>
        <v>FFFFFFF805</v>
      </c>
      <c r="H327">
        <f t="shared" si="63"/>
        <v>16691310</v>
      </c>
      <c r="I327">
        <f t="shared" si="64"/>
        <v>-64828476</v>
      </c>
      <c r="J327">
        <v>-7332</v>
      </c>
      <c r="K327">
        <f t="shared" si="65"/>
        <v>59902440</v>
      </c>
      <c r="L327">
        <f t="shared" si="66"/>
        <v>-232659024</v>
      </c>
      <c r="M327">
        <v>2016</v>
      </c>
      <c r="N327">
        <f t="shared" si="67"/>
        <v>-16470720</v>
      </c>
      <c r="O327">
        <f t="shared" si="68"/>
        <v>63971712</v>
      </c>
      <c r="P327">
        <v>8187</v>
      </c>
      <c r="Q327">
        <f t="shared" si="69"/>
        <v>-66887790</v>
      </c>
      <c r="R327">
        <f t="shared" si="70"/>
        <v>259789884</v>
      </c>
    </row>
    <row r="328" spans="1:18">
      <c r="A328">
        <f t="shared" si="71"/>
        <v>325</v>
      </c>
      <c r="B328">
        <v>16364</v>
      </c>
      <c r="C328">
        <v>28388</v>
      </c>
      <c r="D328" t="str">
        <f t="shared" si="60"/>
        <v>3FEC</v>
      </c>
      <c r="E328" t="str">
        <f t="shared" si="61"/>
        <v>6EE4</v>
      </c>
      <c r="F328">
        <v>4091</v>
      </c>
      <c r="G328" t="str">
        <f t="shared" si="62"/>
        <v>FFB</v>
      </c>
      <c r="H328">
        <f t="shared" si="63"/>
        <v>66945124</v>
      </c>
      <c r="I328">
        <f t="shared" si="64"/>
        <v>116135308</v>
      </c>
      <c r="J328">
        <v>-2715</v>
      </c>
      <c r="K328">
        <f t="shared" si="65"/>
        <v>-44428260</v>
      </c>
      <c r="L328">
        <f t="shared" si="66"/>
        <v>-77073420</v>
      </c>
      <c r="M328">
        <v>6996</v>
      </c>
      <c r="N328">
        <f t="shared" si="67"/>
        <v>114482544</v>
      </c>
      <c r="O328">
        <f t="shared" si="68"/>
        <v>198602448</v>
      </c>
      <c r="P328">
        <v>5624</v>
      </c>
      <c r="Q328">
        <f t="shared" si="69"/>
        <v>92031136</v>
      </c>
      <c r="R328">
        <f t="shared" si="70"/>
        <v>159654112</v>
      </c>
    </row>
    <row r="329" spans="1:18">
      <c r="A329">
        <f t="shared" si="71"/>
        <v>326</v>
      </c>
      <c r="B329">
        <v>31554</v>
      </c>
      <c r="C329">
        <v>8833</v>
      </c>
      <c r="D329" t="str">
        <f t="shared" si="60"/>
        <v>7B42</v>
      </c>
      <c r="E329" t="str">
        <f t="shared" si="61"/>
        <v>2281</v>
      </c>
      <c r="F329">
        <v>7889</v>
      </c>
      <c r="G329" t="str">
        <f t="shared" si="62"/>
        <v>1ED1</v>
      </c>
      <c r="H329">
        <f t="shared" si="63"/>
        <v>248929506</v>
      </c>
      <c r="I329">
        <f t="shared" si="64"/>
        <v>69683537</v>
      </c>
      <c r="J329">
        <v>3437</v>
      </c>
      <c r="K329">
        <f t="shared" si="65"/>
        <v>108451098</v>
      </c>
      <c r="L329">
        <f t="shared" si="66"/>
        <v>30359021</v>
      </c>
      <c r="M329">
        <v>7980</v>
      </c>
      <c r="N329">
        <f t="shared" si="67"/>
        <v>251800920</v>
      </c>
      <c r="O329">
        <f t="shared" si="68"/>
        <v>70487340</v>
      </c>
      <c r="P329">
        <v>-184</v>
      </c>
      <c r="Q329">
        <f t="shared" si="69"/>
        <v>-5805936</v>
      </c>
      <c r="R329">
        <f t="shared" si="70"/>
        <v>-1625272</v>
      </c>
    </row>
    <row r="330" spans="1:18">
      <c r="A330">
        <f t="shared" si="71"/>
        <v>327</v>
      </c>
      <c r="B330">
        <v>28725</v>
      </c>
      <c r="C330">
        <v>-15766</v>
      </c>
      <c r="D330" t="str">
        <f t="shared" si="60"/>
        <v>7035</v>
      </c>
      <c r="E330" t="str">
        <f t="shared" si="61"/>
        <v>FFFFFFC26A</v>
      </c>
      <c r="F330">
        <v>7181</v>
      </c>
      <c r="G330" t="str">
        <f t="shared" si="62"/>
        <v>1C0D</v>
      </c>
      <c r="H330">
        <f t="shared" si="63"/>
        <v>206274225</v>
      </c>
      <c r="I330">
        <f t="shared" si="64"/>
        <v>-113215646</v>
      </c>
      <c r="J330">
        <v>7646</v>
      </c>
      <c r="K330">
        <f t="shared" si="65"/>
        <v>219631350</v>
      </c>
      <c r="L330">
        <f t="shared" si="66"/>
        <v>-120546836</v>
      </c>
      <c r="M330">
        <v>4408</v>
      </c>
      <c r="N330">
        <f t="shared" si="67"/>
        <v>126619800</v>
      </c>
      <c r="O330">
        <f t="shared" si="68"/>
        <v>-69496528</v>
      </c>
      <c r="P330">
        <v>-5886</v>
      </c>
      <c r="Q330">
        <f t="shared" si="69"/>
        <v>-169075350</v>
      </c>
      <c r="R330">
        <f t="shared" si="70"/>
        <v>92798676</v>
      </c>
    </row>
    <row r="331" spans="1:18">
      <c r="A331">
        <f t="shared" si="71"/>
        <v>328</v>
      </c>
      <c r="B331">
        <v>9492</v>
      </c>
      <c r="C331">
        <v>-31362</v>
      </c>
      <c r="D331" t="str">
        <f t="shared" si="60"/>
        <v>2514</v>
      </c>
      <c r="E331" t="str">
        <f t="shared" si="61"/>
        <v>FFFFFF857E</v>
      </c>
      <c r="F331">
        <v>2373</v>
      </c>
      <c r="G331" t="str">
        <f t="shared" si="62"/>
        <v>945</v>
      </c>
      <c r="H331">
        <f t="shared" si="63"/>
        <v>22524516</v>
      </c>
      <c r="I331">
        <f t="shared" si="64"/>
        <v>-74422026</v>
      </c>
      <c r="J331">
        <v>7534</v>
      </c>
      <c r="K331">
        <f t="shared" si="65"/>
        <v>71512728</v>
      </c>
      <c r="L331">
        <f t="shared" si="66"/>
        <v>-236281308</v>
      </c>
      <c r="M331">
        <v>-1682</v>
      </c>
      <c r="N331">
        <f t="shared" si="67"/>
        <v>-15965544</v>
      </c>
      <c r="O331">
        <f t="shared" si="68"/>
        <v>52750884</v>
      </c>
      <c r="P331">
        <v>-8192</v>
      </c>
      <c r="Q331">
        <f t="shared" si="69"/>
        <v>-77758464</v>
      </c>
      <c r="R331">
        <f t="shared" si="70"/>
        <v>256917504</v>
      </c>
    </row>
    <row r="332" spans="1:18">
      <c r="A332">
        <f t="shared" si="71"/>
        <v>329</v>
      </c>
      <c r="B332">
        <v>-15161</v>
      </c>
      <c r="C332">
        <v>-29049</v>
      </c>
      <c r="D332" t="str">
        <f t="shared" si="60"/>
        <v>FFFFFFC4C7</v>
      </c>
      <c r="E332" t="str">
        <f t="shared" si="61"/>
        <v>FFFFFF8E87</v>
      </c>
      <c r="F332">
        <v>-3790</v>
      </c>
      <c r="G332" t="str">
        <f t="shared" si="62"/>
        <v>FFFFFFF132</v>
      </c>
      <c r="H332">
        <f t="shared" si="63"/>
        <v>57460190</v>
      </c>
      <c r="I332">
        <f t="shared" si="64"/>
        <v>110095710</v>
      </c>
      <c r="J332">
        <v>3163</v>
      </c>
      <c r="K332">
        <f t="shared" si="65"/>
        <v>-47954243</v>
      </c>
      <c r="L332">
        <f t="shared" si="66"/>
        <v>-91881987</v>
      </c>
      <c r="M332">
        <v>-6811</v>
      </c>
      <c r="N332">
        <f t="shared" si="67"/>
        <v>103261571</v>
      </c>
      <c r="O332">
        <f t="shared" si="68"/>
        <v>197852739</v>
      </c>
      <c r="P332">
        <v>-5772</v>
      </c>
      <c r="Q332">
        <f t="shared" si="69"/>
        <v>87509292</v>
      </c>
      <c r="R332">
        <f t="shared" si="70"/>
        <v>167670828</v>
      </c>
    </row>
    <row r="333" spans="1:18">
      <c r="A333">
        <f t="shared" si="71"/>
        <v>330</v>
      </c>
      <c r="B333">
        <v>-31156</v>
      </c>
      <c r="C333">
        <v>-10147</v>
      </c>
      <c r="D333" t="str">
        <f t="shared" si="60"/>
        <v>FFFFFF864C</v>
      </c>
      <c r="E333" t="str">
        <f t="shared" si="61"/>
        <v>FFFFFFD85D</v>
      </c>
      <c r="F333">
        <v>-7789</v>
      </c>
      <c r="G333" t="str">
        <f t="shared" si="62"/>
        <v>FFFFFFE193</v>
      </c>
      <c r="H333">
        <f t="shared" si="63"/>
        <v>242674084</v>
      </c>
      <c r="I333">
        <f t="shared" si="64"/>
        <v>79034983</v>
      </c>
      <c r="J333">
        <v>-2995</v>
      </c>
      <c r="K333">
        <f t="shared" si="65"/>
        <v>93312220</v>
      </c>
      <c r="L333">
        <f t="shared" si="66"/>
        <v>30390265</v>
      </c>
      <c r="M333">
        <v>-8051</v>
      </c>
      <c r="N333">
        <f t="shared" si="67"/>
        <v>250836956</v>
      </c>
      <c r="O333">
        <f t="shared" si="68"/>
        <v>81693497</v>
      </c>
      <c r="P333">
        <v>-22</v>
      </c>
      <c r="Q333">
        <f t="shared" si="69"/>
        <v>685432</v>
      </c>
      <c r="R333">
        <f t="shared" si="70"/>
        <v>223234</v>
      </c>
    </row>
    <row r="334" spans="1:18">
      <c r="A334">
        <f t="shared" si="71"/>
        <v>331</v>
      </c>
      <c r="B334">
        <v>-29360</v>
      </c>
      <c r="C334">
        <v>14549</v>
      </c>
      <c r="D334" t="str">
        <f t="shared" si="60"/>
        <v>FFFFFF8D50</v>
      </c>
      <c r="E334" t="str">
        <f t="shared" si="61"/>
        <v>38D5</v>
      </c>
      <c r="F334">
        <v>-7340</v>
      </c>
      <c r="G334" t="str">
        <f t="shared" si="62"/>
        <v>FFFFFFE354</v>
      </c>
      <c r="H334">
        <f t="shared" si="63"/>
        <v>215502400</v>
      </c>
      <c r="I334">
        <f t="shared" si="64"/>
        <v>-106789660</v>
      </c>
      <c r="J334">
        <v>-7461</v>
      </c>
      <c r="K334">
        <f t="shared" si="65"/>
        <v>219054960</v>
      </c>
      <c r="L334">
        <f t="shared" si="66"/>
        <v>-108550089</v>
      </c>
      <c r="M334">
        <v>-4693</v>
      </c>
      <c r="N334">
        <f t="shared" si="67"/>
        <v>137786480</v>
      </c>
      <c r="O334">
        <f t="shared" si="68"/>
        <v>-68278457</v>
      </c>
      <c r="P334">
        <v>5741</v>
      </c>
      <c r="Q334">
        <f t="shared" si="69"/>
        <v>-168555760</v>
      </c>
      <c r="R334">
        <f t="shared" si="70"/>
        <v>83525809</v>
      </c>
    </row>
    <row r="335" spans="1:18">
      <c r="A335">
        <f t="shared" si="71"/>
        <v>332</v>
      </c>
      <c r="B335">
        <v>-10797</v>
      </c>
      <c r="C335">
        <v>30937</v>
      </c>
      <c r="D335" t="str">
        <f t="shared" si="60"/>
        <v>FFFFFFD5D3</v>
      </c>
      <c r="E335" t="str">
        <f t="shared" si="61"/>
        <v>78D9</v>
      </c>
      <c r="F335">
        <v>-2699</v>
      </c>
      <c r="G335" t="str">
        <f t="shared" si="62"/>
        <v>FFFFFFF575</v>
      </c>
      <c r="H335">
        <f t="shared" si="63"/>
        <v>29141103</v>
      </c>
      <c r="I335">
        <f t="shared" si="64"/>
        <v>-83498963</v>
      </c>
      <c r="J335">
        <v>-7709</v>
      </c>
      <c r="K335">
        <f t="shared" si="65"/>
        <v>83234073</v>
      </c>
      <c r="L335">
        <f t="shared" si="66"/>
        <v>-238493333</v>
      </c>
      <c r="M335">
        <v>1345</v>
      </c>
      <c r="N335">
        <f t="shared" si="67"/>
        <v>-14521965</v>
      </c>
      <c r="O335">
        <f t="shared" si="68"/>
        <v>41610265</v>
      </c>
      <c r="P335">
        <v>8191</v>
      </c>
      <c r="Q335">
        <f t="shared" si="69"/>
        <v>-88438227</v>
      </c>
      <c r="R335">
        <f t="shared" si="70"/>
        <v>253404967</v>
      </c>
    </row>
    <row r="336" spans="1:18">
      <c r="A336">
        <f t="shared" si="71"/>
        <v>333</v>
      </c>
      <c r="B336">
        <v>13931</v>
      </c>
      <c r="C336">
        <v>29658</v>
      </c>
      <c r="D336" t="str">
        <f t="shared" si="60"/>
        <v>366B</v>
      </c>
      <c r="E336" t="str">
        <f t="shared" si="61"/>
        <v>73DA</v>
      </c>
      <c r="F336">
        <v>3483</v>
      </c>
      <c r="G336" t="str">
        <f t="shared" si="62"/>
        <v>D9B</v>
      </c>
      <c r="H336">
        <f t="shared" si="63"/>
        <v>48521673</v>
      </c>
      <c r="I336">
        <f t="shared" si="64"/>
        <v>103298814</v>
      </c>
      <c r="J336">
        <v>-3600</v>
      </c>
      <c r="K336">
        <f t="shared" si="65"/>
        <v>-50151600</v>
      </c>
      <c r="L336">
        <f t="shared" si="66"/>
        <v>-106768800</v>
      </c>
      <c r="M336">
        <v>6615</v>
      </c>
      <c r="N336">
        <f t="shared" si="67"/>
        <v>92153565</v>
      </c>
      <c r="O336">
        <f t="shared" si="68"/>
        <v>196187670</v>
      </c>
      <c r="P336">
        <v>5916</v>
      </c>
      <c r="Q336">
        <f t="shared" si="69"/>
        <v>82415796</v>
      </c>
      <c r="R336">
        <f t="shared" si="70"/>
        <v>175456728</v>
      </c>
    </row>
    <row r="337" spans="1:18">
      <c r="A337">
        <f t="shared" si="71"/>
        <v>334</v>
      </c>
      <c r="B337">
        <v>30704</v>
      </c>
      <c r="C337">
        <v>11443</v>
      </c>
      <c r="D337" t="str">
        <f t="shared" si="60"/>
        <v>77F0</v>
      </c>
      <c r="E337" t="str">
        <f t="shared" si="61"/>
        <v>2CB3</v>
      </c>
      <c r="F337">
        <v>7676</v>
      </c>
      <c r="G337" t="str">
        <f t="shared" si="62"/>
        <v>1DFC</v>
      </c>
      <c r="H337">
        <f t="shared" si="63"/>
        <v>235683904</v>
      </c>
      <c r="I337">
        <f t="shared" si="64"/>
        <v>87836468</v>
      </c>
      <c r="J337">
        <v>2543</v>
      </c>
      <c r="K337">
        <f t="shared" si="65"/>
        <v>78080272</v>
      </c>
      <c r="L337">
        <f t="shared" si="66"/>
        <v>29099549</v>
      </c>
      <c r="M337">
        <v>8107</v>
      </c>
      <c r="N337">
        <f t="shared" si="67"/>
        <v>248917328</v>
      </c>
      <c r="O337">
        <f t="shared" si="68"/>
        <v>92768401</v>
      </c>
      <c r="P337">
        <v>228</v>
      </c>
      <c r="Q337">
        <f t="shared" si="69"/>
        <v>7000512</v>
      </c>
      <c r="R337">
        <f t="shared" si="70"/>
        <v>2609004</v>
      </c>
    </row>
    <row r="338" spans="1:18">
      <c r="A338">
        <f t="shared" si="71"/>
        <v>335</v>
      </c>
      <c r="B338">
        <v>29943</v>
      </c>
      <c r="C338">
        <v>-13307</v>
      </c>
      <c r="D338" t="str">
        <f t="shared" si="60"/>
        <v>74F7</v>
      </c>
      <c r="E338" t="str">
        <f t="shared" si="61"/>
        <v>FFFFFFCC05</v>
      </c>
      <c r="F338">
        <v>7486</v>
      </c>
      <c r="G338" t="str">
        <f t="shared" si="62"/>
        <v>1D3E</v>
      </c>
      <c r="H338">
        <f t="shared" si="63"/>
        <v>224153298</v>
      </c>
      <c r="I338">
        <f t="shared" si="64"/>
        <v>-99616202</v>
      </c>
      <c r="J338">
        <v>7250</v>
      </c>
      <c r="K338">
        <f t="shared" si="65"/>
        <v>217086750</v>
      </c>
      <c r="L338">
        <f t="shared" si="66"/>
        <v>-96475750</v>
      </c>
      <c r="M338">
        <v>4970</v>
      </c>
      <c r="N338">
        <f t="shared" si="67"/>
        <v>148816710</v>
      </c>
      <c r="O338">
        <f t="shared" si="68"/>
        <v>-66135790</v>
      </c>
      <c r="P338">
        <v>-5592</v>
      </c>
      <c r="Q338">
        <f t="shared" si="69"/>
        <v>-167441256</v>
      </c>
      <c r="R338">
        <f t="shared" si="70"/>
        <v>74412744</v>
      </c>
    </row>
    <row r="339" spans="1:18">
      <c r="A339">
        <f t="shared" si="71"/>
        <v>336</v>
      </c>
      <c r="B339">
        <v>12084</v>
      </c>
      <c r="C339">
        <v>-30457</v>
      </c>
      <c r="D339" t="str">
        <f t="shared" si="60"/>
        <v>2F34</v>
      </c>
      <c r="E339" t="str">
        <f t="shared" si="61"/>
        <v>FFFFFF8907</v>
      </c>
      <c r="F339">
        <v>3021</v>
      </c>
      <c r="G339" t="str">
        <f t="shared" si="62"/>
        <v>BCD</v>
      </c>
      <c r="H339">
        <f t="shared" si="63"/>
        <v>36505764</v>
      </c>
      <c r="I339">
        <f t="shared" si="64"/>
        <v>-92010597</v>
      </c>
      <c r="J339">
        <v>7858</v>
      </c>
      <c r="K339">
        <f t="shared" si="65"/>
        <v>94956072</v>
      </c>
      <c r="L339">
        <f t="shared" si="66"/>
        <v>-239331106</v>
      </c>
      <c r="M339">
        <v>-1005</v>
      </c>
      <c r="N339">
        <f t="shared" si="67"/>
        <v>-12144420</v>
      </c>
      <c r="O339">
        <f t="shared" si="68"/>
        <v>30609285</v>
      </c>
      <c r="P339">
        <v>-8185</v>
      </c>
      <c r="Q339">
        <f t="shared" si="69"/>
        <v>-98907540</v>
      </c>
      <c r="R339">
        <f t="shared" si="70"/>
        <v>249290545</v>
      </c>
    </row>
    <row r="340" spans="1:18">
      <c r="A340">
        <f t="shared" si="71"/>
        <v>337</v>
      </c>
      <c r="B340">
        <v>-12676</v>
      </c>
      <c r="C340">
        <v>-30216</v>
      </c>
      <c r="D340" t="str">
        <f t="shared" si="60"/>
        <v>FFFFFFCE7C</v>
      </c>
      <c r="E340" t="str">
        <f t="shared" si="61"/>
        <v>FFFFFF89F8</v>
      </c>
      <c r="F340">
        <v>-3169</v>
      </c>
      <c r="G340" t="str">
        <f t="shared" si="62"/>
        <v>FFFFFFF39F</v>
      </c>
      <c r="H340">
        <f t="shared" si="63"/>
        <v>40170244</v>
      </c>
      <c r="I340">
        <f t="shared" si="64"/>
        <v>95754504</v>
      </c>
      <c r="J340">
        <v>4025</v>
      </c>
      <c r="K340">
        <f t="shared" si="65"/>
        <v>-51020900</v>
      </c>
      <c r="L340">
        <f t="shared" si="66"/>
        <v>-121619400</v>
      </c>
      <c r="M340">
        <v>-6406</v>
      </c>
      <c r="N340">
        <f t="shared" si="67"/>
        <v>81202456</v>
      </c>
      <c r="O340">
        <f t="shared" si="68"/>
        <v>193563696</v>
      </c>
      <c r="P340">
        <v>-6056</v>
      </c>
      <c r="Q340">
        <f t="shared" si="69"/>
        <v>76765856</v>
      </c>
      <c r="R340">
        <f t="shared" si="70"/>
        <v>182988096</v>
      </c>
    </row>
    <row r="341" spans="1:18">
      <c r="A341">
        <f t="shared" si="71"/>
        <v>338</v>
      </c>
      <c r="B341">
        <v>-30198</v>
      </c>
      <c r="C341">
        <v>-12719</v>
      </c>
      <c r="D341" t="str">
        <f t="shared" si="60"/>
        <v>FFFFFF8A0A</v>
      </c>
      <c r="E341" t="str">
        <f t="shared" si="61"/>
        <v>FFFFFFCE51</v>
      </c>
      <c r="F341">
        <v>-7550</v>
      </c>
      <c r="G341" t="str">
        <f t="shared" si="62"/>
        <v>FFFFFFE282</v>
      </c>
      <c r="H341">
        <f t="shared" si="63"/>
        <v>227994900</v>
      </c>
      <c r="I341">
        <f t="shared" si="64"/>
        <v>96028450</v>
      </c>
      <c r="J341">
        <v>-2083</v>
      </c>
      <c r="K341">
        <f t="shared" si="65"/>
        <v>62902434</v>
      </c>
      <c r="L341">
        <f t="shared" si="66"/>
        <v>26493677</v>
      </c>
      <c r="M341">
        <v>-8149</v>
      </c>
      <c r="N341">
        <f t="shared" si="67"/>
        <v>246083502</v>
      </c>
      <c r="O341">
        <f t="shared" si="68"/>
        <v>103647131</v>
      </c>
      <c r="P341">
        <v>-433</v>
      </c>
      <c r="Q341">
        <f t="shared" si="69"/>
        <v>13075734</v>
      </c>
      <c r="R341">
        <f t="shared" si="70"/>
        <v>5507327</v>
      </c>
    </row>
    <row r="342" spans="1:18">
      <c r="A342">
        <f t="shared" si="71"/>
        <v>339</v>
      </c>
      <c r="B342">
        <v>-30475</v>
      </c>
      <c r="C342">
        <v>12041</v>
      </c>
      <c r="D342" t="str">
        <f t="shared" si="60"/>
        <v>FFFFFF88F5</v>
      </c>
      <c r="E342" t="str">
        <f t="shared" si="61"/>
        <v>2F09</v>
      </c>
      <c r="F342">
        <v>-7619</v>
      </c>
      <c r="G342" t="str">
        <f t="shared" si="62"/>
        <v>FFFFFFE23D</v>
      </c>
      <c r="H342">
        <f t="shared" si="63"/>
        <v>232189025</v>
      </c>
      <c r="I342">
        <f t="shared" si="64"/>
        <v>-91740379</v>
      </c>
      <c r="J342">
        <v>-7014</v>
      </c>
      <c r="K342">
        <f t="shared" si="65"/>
        <v>213751650</v>
      </c>
      <c r="L342">
        <f t="shared" si="66"/>
        <v>-84455574</v>
      </c>
      <c r="M342">
        <v>-5239</v>
      </c>
      <c r="N342">
        <f t="shared" si="67"/>
        <v>159658525</v>
      </c>
      <c r="O342">
        <f t="shared" si="68"/>
        <v>-63082799</v>
      </c>
      <c r="P342">
        <v>5440</v>
      </c>
      <c r="Q342">
        <f t="shared" si="69"/>
        <v>-165784000</v>
      </c>
      <c r="R342">
        <f t="shared" si="70"/>
        <v>65503040</v>
      </c>
    </row>
    <row r="343" spans="1:18">
      <c r="A343">
        <f t="shared" si="71"/>
        <v>340</v>
      </c>
      <c r="B343">
        <v>-13349</v>
      </c>
      <c r="C343">
        <v>29925</v>
      </c>
      <c r="D343" t="str">
        <f t="shared" si="60"/>
        <v>FFFFFFCBDB</v>
      </c>
      <c r="E343" t="str">
        <f t="shared" si="61"/>
        <v>74E5</v>
      </c>
      <c r="F343">
        <v>-3337</v>
      </c>
      <c r="G343" t="str">
        <f t="shared" si="62"/>
        <v>FFFFFFF2F7</v>
      </c>
      <c r="H343">
        <f t="shared" si="63"/>
        <v>44545613</v>
      </c>
      <c r="I343">
        <f t="shared" si="64"/>
        <v>-99859725</v>
      </c>
      <c r="J343">
        <v>-7980</v>
      </c>
      <c r="K343">
        <f t="shared" si="65"/>
        <v>106525020</v>
      </c>
      <c r="L343">
        <f t="shared" si="66"/>
        <v>-238801500</v>
      </c>
      <c r="M343">
        <v>664</v>
      </c>
      <c r="N343">
        <f t="shared" si="67"/>
        <v>-8863736</v>
      </c>
      <c r="O343">
        <f t="shared" si="68"/>
        <v>19870200</v>
      </c>
      <c r="P343">
        <v>8174</v>
      </c>
      <c r="Q343">
        <f t="shared" si="69"/>
        <v>-109114726</v>
      </c>
      <c r="R343">
        <f t="shared" si="70"/>
        <v>244606950</v>
      </c>
    </row>
    <row r="344" spans="1:18">
      <c r="A344">
        <f t="shared" si="71"/>
        <v>341</v>
      </c>
      <c r="B344">
        <v>11400</v>
      </c>
      <c r="C344">
        <v>30720</v>
      </c>
      <c r="D344" t="str">
        <f t="shared" si="60"/>
        <v>2C88</v>
      </c>
      <c r="E344" t="str">
        <f t="shared" si="61"/>
        <v>7800</v>
      </c>
      <c r="F344">
        <v>2850</v>
      </c>
      <c r="G344" t="str">
        <f t="shared" si="62"/>
        <v>B22</v>
      </c>
      <c r="H344">
        <f t="shared" si="63"/>
        <v>32490000</v>
      </c>
      <c r="I344">
        <f t="shared" si="64"/>
        <v>87552000</v>
      </c>
      <c r="J344">
        <v>-4437</v>
      </c>
      <c r="K344">
        <f t="shared" si="65"/>
        <v>-50581800</v>
      </c>
      <c r="L344">
        <f t="shared" si="66"/>
        <v>-136304640</v>
      </c>
      <c r="M344">
        <v>6187</v>
      </c>
      <c r="N344">
        <f t="shared" si="67"/>
        <v>70531800</v>
      </c>
      <c r="O344">
        <f t="shared" si="68"/>
        <v>190064640</v>
      </c>
      <c r="P344">
        <v>6193</v>
      </c>
      <c r="Q344">
        <f t="shared" si="69"/>
        <v>70600200</v>
      </c>
      <c r="R344">
        <f t="shared" si="70"/>
        <v>190248960</v>
      </c>
    </row>
    <row r="345" spans="1:18">
      <c r="A345">
        <f t="shared" si="71"/>
        <v>342</v>
      </c>
      <c r="B345">
        <v>29638</v>
      </c>
      <c r="C345">
        <v>13973</v>
      </c>
      <c r="D345" t="str">
        <f t="shared" si="60"/>
        <v>73C6</v>
      </c>
      <c r="E345" t="str">
        <f t="shared" si="61"/>
        <v>3695</v>
      </c>
      <c r="F345">
        <v>7410</v>
      </c>
      <c r="G345" t="str">
        <f t="shared" si="62"/>
        <v>1CF2</v>
      </c>
      <c r="H345">
        <f t="shared" si="63"/>
        <v>219617580</v>
      </c>
      <c r="I345">
        <f t="shared" si="64"/>
        <v>103539930</v>
      </c>
      <c r="J345">
        <v>1615</v>
      </c>
      <c r="K345">
        <f t="shared" si="65"/>
        <v>47865370</v>
      </c>
      <c r="L345">
        <f t="shared" si="66"/>
        <v>22566395</v>
      </c>
      <c r="M345">
        <v>8177</v>
      </c>
      <c r="N345">
        <f t="shared" si="67"/>
        <v>242349926</v>
      </c>
      <c r="O345">
        <f t="shared" si="68"/>
        <v>114257221</v>
      </c>
      <c r="P345">
        <v>639</v>
      </c>
      <c r="Q345">
        <f t="shared" si="69"/>
        <v>18938682</v>
      </c>
      <c r="R345">
        <f t="shared" si="70"/>
        <v>8928747</v>
      </c>
    </row>
    <row r="346" spans="1:18">
      <c r="A346">
        <f t="shared" si="71"/>
        <v>343</v>
      </c>
      <c r="B346">
        <v>30952</v>
      </c>
      <c r="C346">
        <v>-10754</v>
      </c>
      <c r="D346" t="str">
        <f t="shared" si="60"/>
        <v>78E8</v>
      </c>
      <c r="E346" t="str">
        <f t="shared" si="61"/>
        <v>FFFFFFD5FE</v>
      </c>
      <c r="F346">
        <v>7738</v>
      </c>
      <c r="G346" t="str">
        <f t="shared" si="62"/>
        <v>1E3A</v>
      </c>
      <c r="H346">
        <f t="shared" si="63"/>
        <v>239506576</v>
      </c>
      <c r="I346">
        <f t="shared" si="64"/>
        <v>-83214452</v>
      </c>
      <c r="J346">
        <v>6753</v>
      </c>
      <c r="K346">
        <f t="shared" si="65"/>
        <v>209018856</v>
      </c>
      <c r="L346">
        <f t="shared" si="66"/>
        <v>-72621762</v>
      </c>
      <c r="M346">
        <v>5498</v>
      </c>
      <c r="N346">
        <f t="shared" si="67"/>
        <v>170174096</v>
      </c>
      <c r="O346">
        <f t="shared" si="68"/>
        <v>-59125492</v>
      </c>
      <c r="P346">
        <v>-5284</v>
      </c>
      <c r="Q346">
        <f t="shared" si="69"/>
        <v>-163550368</v>
      </c>
      <c r="R346">
        <f t="shared" si="70"/>
        <v>56824136</v>
      </c>
    </row>
    <row r="347" spans="1:18">
      <c r="A347">
        <f t="shared" si="71"/>
        <v>344</v>
      </c>
      <c r="B347">
        <v>14591</v>
      </c>
      <c r="C347">
        <v>-29339</v>
      </c>
      <c r="D347" t="str">
        <f t="shared" si="60"/>
        <v>38FF</v>
      </c>
      <c r="E347" t="str">
        <f t="shared" si="61"/>
        <v>FFFFFF8D65</v>
      </c>
      <c r="F347">
        <v>3648</v>
      </c>
      <c r="G347" t="str">
        <f t="shared" si="62"/>
        <v>E40</v>
      </c>
      <c r="H347">
        <f t="shared" si="63"/>
        <v>53227968</v>
      </c>
      <c r="I347">
        <f t="shared" si="64"/>
        <v>-107028672</v>
      </c>
      <c r="J347">
        <v>8075</v>
      </c>
      <c r="K347">
        <f t="shared" si="65"/>
        <v>117822325</v>
      </c>
      <c r="L347">
        <f t="shared" si="66"/>
        <v>-236912425</v>
      </c>
      <c r="M347">
        <v>-321</v>
      </c>
      <c r="N347">
        <f t="shared" si="67"/>
        <v>-4683711</v>
      </c>
      <c r="O347">
        <f t="shared" si="68"/>
        <v>9417819</v>
      </c>
      <c r="P347">
        <v>-8158</v>
      </c>
      <c r="Q347">
        <f t="shared" si="69"/>
        <v>-119033378</v>
      </c>
      <c r="R347">
        <f t="shared" si="70"/>
        <v>239347562</v>
      </c>
    </row>
    <row r="348" spans="1:18">
      <c r="A348">
        <f t="shared" si="71"/>
        <v>345</v>
      </c>
      <c r="B348">
        <v>-10103</v>
      </c>
      <c r="C348">
        <v>-31171</v>
      </c>
      <c r="D348" t="str">
        <f t="shared" si="60"/>
        <v>FFFFFFD889</v>
      </c>
      <c r="E348" t="str">
        <f t="shared" si="61"/>
        <v>FFFFFF863D</v>
      </c>
      <c r="F348">
        <v>-2526</v>
      </c>
      <c r="G348" t="str">
        <f t="shared" si="62"/>
        <v>FFFFFFF622</v>
      </c>
      <c r="H348">
        <f t="shared" si="63"/>
        <v>25520178</v>
      </c>
      <c r="I348">
        <f t="shared" si="64"/>
        <v>78737946</v>
      </c>
      <c r="J348">
        <v>4833</v>
      </c>
      <c r="K348">
        <f t="shared" si="65"/>
        <v>-48827799</v>
      </c>
      <c r="L348">
        <f t="shared" si="66"/>
        <v>-150649443</v>
      </c>
      <c r="M348">
        <v>-5957</v>
      </c>
      <c r="N348">
        <f t="shared" si="67"/>
        <v>60183571</v>
      </c>
      <c r="O348">
        <f t="shared" si="68"/>
        <v>185685647</v>
      </c>
      <c r="P348">
        <v>-6326</v>
      </c>
      <c r="Q348">
        <f t="shared" si="69"/>
        <v>63911578</v>
      </c>
      <c r="R348">
        <f t="shared" si="70"/>
        <v>197187746</v>
      </c>
    </row>
    <row r="349" spans="1:18">
      <c r="A349">
        <f t="shared" si="71"/>
        <v>346</v>
      </c>
      <c r="B349">
        <v>-29027</v>
      </c>
      <c r="C349">
        <v>-15202</v>
      </c>
      <c r="D349" t="str">
        <f t="shared" si="60"/>
        <v>FFFFFF8E9D</v>
      </c>
      <c r="E349" t="str">
        <f t="shared" si="61"/>
        <v>FFFFFFC49E</v>
      </c>
      <c r="F349">
        <v>-7257</v>
      </c>
      <c r="G349" t="str">
        <f t="shared" si="62"/>
        <v>FFFFFFE3A7</v>
      </c>
      <c r="H349">
        <f t="shared" si="63"/>
        <v>210648939</v>
      </c>
      <c r="I349">
        <f t="shared" si="64"/>
        <v>110320914</v>
      </c>
      <c r="J349">
        <v>-1141</v>
      </c>
      <c r="K349">
        <f t="shared" si="65"/>
        <v>33119807</v>
      </c>
      <c r="L349">
        <f t="shared" si="66"/>
        <v>17345482</v>
      </c>
      <c r="M349">
        <v>-8191</v>
      </c>
      <c r="N349">
        <f t="shared" si="67"/>
        <v>237760157</v>
      </c>
      <c r="O349">
        <f t="shared" si="68"/>
        <v>124519582</v>
      </c>
      <c r="P349">
        <v>-844</v>
      </c>
      <c r="Q349">
        <f t="shared" si="69"/>
        <v>24498788</v>
      </c>
      <c r="R349">
        <f t="shared" si="70"/>
        <v>12830488</v>
      </c>
    </row>
    <row r="350" spans="1:18">
      <c r="A350">
        <f t="shared" si="71"/>
        <v>347</v>
      </c>
      <c r="B350">
        <v>-31375</v>
      </c>
      <c r="C350">
        <v>9448</v>
      </c>
      <c r="D350" t="str">
        <f t="shared" si="60"/>
        <v>FFFFFF8571</v>
      </c>
      <c r="E350" t="str">
        <f t="shared" si="61"/>
        <v>24E8</v>
      </c>
      <c r="F350">
        <v>-7844</v>
      </c>
      <c r="G350" t="str">
        <f t="shared" si="62"/>
        <v>FFFFFFE15C</v>
      </c>
      <c r="H350">
        <f t="shared" si="63"/>
        <v>246105500</v>
      </c>
      <c r="I350">
        <f t="shared" si="64"/>
        <v>-74110112</v>
      </c>
      <c r="J350">
        <v>-6470</v>
      </c>
      <c r="K350">
        <f t="shared" si="65"/>
        <v>202996250</v>
      </c>
      <c r="L350">
        <f t="shared" si="66"/>
        <v>-61128560</v>
      </c>
      <c r="M350">
        <v>-5747</v>
      </c>
      <c r="N350">
        <f t="shared" si="67"/>
        <v>180312125</v>
      </c>
      <c r="O350">
        <f t="shared" si="68"/>
        <v>-54297656</v>
      </c>
      <c r="P350">
        <v>5125</v>
      </c>
      <c r="Q350">
        <f t="shared" si="69"/>
        <v>-160796875</v>
      </c>
      <c r="R350">
        <f t="shared" si="70"/>
        <v>48421000</v>
      </c>
    </row>
    <row r="351" spans="1:18">
      <c r="A351">
        <f t="shared" si="71"/>
        <v>348</v>
      </c>
      <c r="B351">
        <v>-15807</v>
      </c>
      <c r="C351">
        <v>28702</v>
      </c>
      <c r="D351" t="str">
        <f t="shared" si="60"/>
        <v>FFFFFFC241</v>
      </c>
      <c r="E351" t="str">
        <f t="shared" si="61"/>
        <v>701E</v>
      </c>
      <c r="F351">
        <v>-3952</v>
      </c>
      <c r="G351" t="str">
        <f t="shared" si="62"/>
        <v>FFFFFFF090</v>
      </c>
      <c r="H351">
        <f t="shared" si="63"/>
        <v>62469264</v>
      </c>
      <c r="I351">
        <f t="shared" si="64"/>
        <v>-113430304</v>
      </c>
      <c r="J351">
        <v>-8142</v>
      </c>
      <c r="K351">
        <f t="shared" si="65"/>
        <v>128700594</v>
      </c>
      <c r="L351">
        <f t="shared" si="66"/>
        <v>-233691684</v>
      </c>
      <c r="M351">
        <v>-22</v>
      </c>
      <c r="N351">
        <f t="shared" si="67"/>
        <v>347754</v>
      </c>
      <c r="O351">
        <f t="shared" si="68"/>
        <v>-631444</v>
      </c>
      <c r="P351">
        <v>8137</v>
      </c>
      <c r="Q351">
        <f t="shared" si="69"/>
        <v>-128621559</v>
      </c>
      <c r="R351">
        <f t="shared" si="70"/>
        <v>233548174</v>
      </c>
    </row>
    <row r="352" spans="1:18">
      <c r="A352">
        <f t="shared" si="71"/>
        <v>349</v>
      </c>
      <c r="B352">
        <v>8789</v>
      </c>
      <c r="C352">
        <v>31566</v>
      </c>
      <c r="D352" t="str">
        <f t="shared" si="60"/>
        <v>2255</v>
      </c>
      <c r="E352" t="str">
        <f t="shared" si="61"/>
        <v>7B4E</v>
      </c>
      <c r="F352">
        <v>2197</v>
      </c>
      <c r="G352" t="str">
        <f t="shared" si="62"/>
        <v>895</v>
      </c>
      <c r="H352">
        <f t="shared" si="63"/>
        <v>19309433</v>
      </c>
      <c r="I352">
        <f t="shared" si="64"/>
        <v>69350502</v>
      </c>
      <c r="J352">
        <v>-5212</v>
      </c>
      <c r="K352">
        <f t="shared" si="65"/>
        <v>-45808268</v>
      </c>
      <c r="L352">
        <f t="shared" si="66"/>
        <v>-164521992</v>
      </c>
      <c r="M352">
        <v>5716</v>
      </c>
      <c r="N352">
        <f t="shared" si="67"/>
        <v>50237924</v>
      </c>
      <c r="O352">
        <f t="shared" si="68"/>
        <v>180431256</v>
      </c>
      <c r="P352">
        <v>6455</v>
      </c>
      <c r="Q352">
        <f t="shared" si="69"/>
        <v>56732995</v>
      </c>
      <c r="R352">
        <f t="shared" si="70"/>
        <v>203758530</v>
      </c>
    </row>
    <row r="353" spans="1:18">
      <c r="A353">
        <f t="shared" si="71"/>
        <v>350</v>
      </c>
      <c r="B353">
        <v>28365</v>
      </c>
      <c r="C353">
        <v>16404</v>
      </c>
      <c r="D353" t="str">
        <f t="shared" si="60"/>
        <v>6ECD</v>
      </c>
      <c r="E353" t="str">
        <f t="shared" si="61"/>
        <v>4014</v>
      </c>
      <c r="F353">
        <v>7091</v>
      </c>
      <c r="G353" t="str">
        <f t="shared" si="62"/>
        <v>1BB3</v>
      </c>
      <c r="H353">
        <f t="shared" si="63"/>
        <v>201136215</v>
      </c>
      <c r="I353">
        <f t="shared" si="64"/>
        <v>116320764</v>
      </c>
      <c r="J353">
        <v>664</v>
      </c>
      <c r="K353">
        <f t="shared" si="65"/>
        <v>18834360</v>
      </c>
      <c r="L353">
        <f t="shared" si="66"/>
        <v>10892256</v>
      </c>
      <c r="M353">
        <v>8190</v>
      </c>
      <c r="N353">
        <f t="shared" si="67"/>
        <v>232309350</v>
      </c>
      <c r="O353">
        <f t="shared" si="68"/>
        <v>134348760</v>
      </c>
      <c r="P353">
        <v>1048</v>
      </c>
      <c r="Q353">
        <f t="shared" si="69"/>
        <v>29726520</v>
      </c>
      <c r="R353">
        <f t="shared" si="70"/>
        <v>17191392</v>
      </c>
    </row>
    <row r="354" spans="1:18">
      <c r="A354">
        <f t="shared" si="71"/>
        <v>351</v>
      </c>
      <c r="B354">
        <v>31744</v>
      </c>
      <c r="C354">
        <v>-8125</v>
      </c>
      <c r="D354" t="str">
        <f t="shared" si="60"/>
        <v>7C00</v>
      </c>
      <c r="E354" t="str">
        <f t="shared" si="61"/>
        <v>FFFFFFE043</v>
      </c>
      <c r="F354">
        <v>7936</v>
      </c>
      <c r="G354" t="str">
        <f t="shared" si="62"/>
        <v>1F00</v>
      </c>
      <c r="H354">
        <f t="shared" si="63"/>
        <v>251920384</v>
      </c>
      <c r="I354">
        <f t="shared" si="64"/>
        <v>-64480000</v>
      </c>
      <c r="J354">
        <v>6165</v>
      </c>
      <c r="K354">
        <f t="shared" si="65"/>
        <v>195701760</v>
      </c>
      <c r="L354">
        <f t="shared" si="66"/>
        <v>-50090625</v>
      </c>
      <c r="M354">
        <v>5987</v>
      </c>
      <c r="N354">
        <f t="shared" si="67"/>
        <v>190051328</v>
      </c>
      <c r="O354">
        <f t="shared" si="68"/>
        <v>-48644375</v>
      </c>
      <c r="P354">
        <v>-4963</v>
      </c>
      <c r="Q354">
        <f t="shared" si="69"/>
        <v>-157545472</v>
      </c>
      <c r="R354">
        <f t="shared" si="70"/>
        <v>40324375</v>
      </c>
    </row>
    <row r="355" spans="1:18">
      <c r="A355">
        <f t="shared" si="71"/>
        <v>352</v>
      </c>
      <c r="B355">
        <v>16995</v>
      </c>
      <c r="C355">
        <v>-28015</v>
      </c>
      <c r="D355" t="str">
        <f t="shared" si="60"/>
        <v>4263</v>
      </c>
      <c r="E355" t="str">
        <f t="shared" si="61"/>
        <v>FFFFFF9291</v>
      </c>
      <c r="F355">
        <v>4249</v>
      </c>
      <c r="G355" t="str">
        <f t="shared" si="62"/>
        <v>1099</v>
      </c>
      <c r="H355">
        <f t="shared" si="63"/>
        <v>72211755</v>
      </c>
      <c r="I355">
        <f t="shared" si="64"/>
        <v>-119035735</v>
      </c>
      <c r="J355">
        <v>8181</v>
      </c>
      <c r="K355">
        <f t="shared" si="65"/>
        <v>139036095</v>
      </c>
      <c r="L355">
        <f t="shared" si="66"/>
        <v>-229190715</v>
      </c>
      <c r="M355">
        <v>365</v>
      </c>
      <c r="N355">
        <f t="shared" si="67"/>
        <v>6203175</v>
      </c>
      <c r="O355">
        <f t="shared" si="68"/>
        <v>-10225475</v>
      </c>
      <c r="P355">
        <v>-8111</v>
      </c>
      <c r="Q355">
        <f t="shared" si="69"/>
        <v>-137846445</v>
      </c>
      <c r="R355">
        <f t="shared" si="70"/>
        <v>227229665</v>
      </c>
    </row>
    <row r="356" spans="1:18">
      <c r="A356">
        <f t="shared" si="71"/>
        <v>353</v>
      </c>
      <c r="B356">
        <v>-7459</v>
      </c>
      <c r="C356">
        <v>-31907</v>
      </c>
      <c r="D356" t="str">
        <f t="shared" si="60"/>
        <v>FFFFFFE2DD</v>
      </c>
      <c r="E356" t="str">
        <f t="shared" si="61"/>
        <v>FFFFFF835D</v>
      </c>
      <c r="F356">
        <v>-1865</v>
      </c>
      <c r="G356" t="str">
        <f t="shared" si="62"/>
        <v>FFFFFFF8B7</v>
      </c>
      <c r="H356">
        <f t="shared" si="63"/>
        <v>13911035</v>
      </c>
      <c r="I356">
        <f t="shared" si="64"/>
        <v>59506555</v>
      </c>
      <c r="J356">
        <v>5574</v>
      </c>
      <c r="K356">
        <f t="shared" si="65"/>
        <v>-41576466</v>
      </c>
      <c r="L356">
        <f t="shared" si="66"/>
        <v>-177849618</v>
      </c>
      <c r="M356">
        <v>-5465</v>
      </c>
      <c r="N356">
        <f t="shared" si="67"/>
        <v>40763435</v>
      </c>
      <c r="O356">
        <f t="shared" si="68"/>
        <v>174371755</v>
      </c>
      <c r="P356">
        <v>-6579</v>
      </c>
      <c r="Q356">
        <f t="shared" si="69"/>
        <v>49072761</v>
      </c>
      <c r="R356">
        <f t="shared" si="70"/>
        <v>209916153</v>
      </c>
    </row>
    <row r="357" spans="1:18">
      <c r="A357">
        <f t="shared" si="71"/>
        <v>354</v>
      </c>
      <c r="B357">
        <v>-27653</v>
      </c>
      <c r="C357">
        <v>-17578</v>
      </c>
      <c r="D357" t="str">
        <f t="shared" si="60"/>
        <v>FFFFFF93FB</v>
      </c>
      <c r="E357" t="str">
        <f t="shared" si="61"/>
        <v>FFFFFFBB56</v>
      </c>
      <c r="F357">
        <v>-6913</v>
      </c>
      <c r="G357" t="str">
        <f t="shared" si="62"/>
        <v>FFFFFFE4FF</v>
      </c>
      <c r="H357">
        <f t="shared" si="63"/>
        <v>191165189</v>
      </c>
      <c r="I357">
        <f t="shared" si="64"/>
        <v>121516714</v>
      </c>
      <c r="J357">
        <v>-184</v>
      </c>
      <c r="K357">
        <f t="shared" si="65"/>
        <v>5088152</v>
      </c>
      <c r="L357">
        <f t="shared" si="66"/>
        <v>3234352</v>
      </c>
      <c r="M357">
        <v>-8174</v>
      </c>
      <c r="N357">
        <f t="shared" si="67"/>
        <v>226035622</v>
      </c>
      <c r="O357">
        <f t="shared" si="68"/>
        <v>143682572</v>
      </c>
      <c r="P357">
        <v>-1252</v>
      </c>
      <c r="Q357">
        <f t="shared" si="69"/>
        <v>34621556</v>
      </c>
      <c r="R357">
        <f t="shared" si="70"/>
        <v>22007656</v>
      </c>
    </row>
    <row r="358" spans="1:18">
      <c r="A358">
        <f t="shared" si="71"/>
        <v>355</v>
      </c>
      <c r="B358">
        <v>-32056</v>
      </c>
      <c r="C358">
        <v>6789</v>
      </c>
      <c r="D358" t="str">
        <f t="shared" si="60"/>
        <v>FFFFFF82C8</v>
      </c>
      <c r="E358" t="str">
        <f t="shared" si="61"/>
        <v>1A85</v>
      </c>
      <c r="F358">
        <v>-8014</v>
      </c>
      <c r="G358" t="str">
        <f t="shared" si="62"/>
        <v>FFFFFFE0B2</v>
      </c>
      <c r="H358">
        <f t="shared" si="63"/>
        <v>256896784</v>
      </c>
      <c r="I358">
        <f t="shared" si="64"/>
        <v>-54407046</v>
      </c>
      <c r="J358">
        <v>-5838</v>
      </c>
      <c r="K358">
        <f t="shared" si="65"/>
        <v>187142928</v>
      </c>
      <c r="L358">
        <f t="shared" si="66"/>
        <v>-39634182</v>
      </c>
      <c r="M358">
        <v>-6215</v>
      </c>
      <c r="N358">
        <f t="shared" si="67"/>
        <v>199228040</v>
      </c>
      <c r="O358">
        <f t="shared" si="68"/>
        <v>-42193635</v>
      </c>
      <c r="P358">
        <v>4798</v>
      </c>
      <c r="Q358">
        <f t="shared" si="69"/>
        <v>-153804688</v>
      </c>
      <c r="R358">
        <f t="shared" si="70"/>
        <v>32573622</v>
      </c>
    </row>
    <row r="359" spans="1:18">
      <c r="A359">
        <f t="shared" si="71"/>
        <v>356</v>
      </c>
      <c r="B359">
        <v>-18153</v>
      </c>
      <c r="C359">
        <v>27279</v>
      </c>
      <c r="D359" t="str">
        <f t="shared" si="60"/>
        <v>FFFFFFB917</v>
      </c>
      <c r="E359" t="str">
        <f t="shared" si="61"/>
        <v>6A8F</v>
      </c>
      <c r="F359">
        <v>-4538</v>
      </c>
      <c r="G359" t="str">
        <f t="shared" si="62"/>
        <v>FFFFFFEE46</v>
      </c>
      <c r="H359">
        <f t="shared" si="63"/>
        <v>82378314</v>
      </c>
      <c r="I359">
        <f t="shared" si="64"/>
        <v>-123792102</v>
      </c>
      <c r="J359">
        <v>-8192</v>
      </c>
      <c r="K359">
        <f t="shared" si="65"/>
        <v>148709376</v>
      </c>
      <c r="L359">
        <f t="shared" si="66"/>
        <v>-223469568</v>
      </c>
      <c r="M359">
        <v>-707</v>
      </c>
      <c r="N359">
        <f t="shared" si="67"/>
        <v>12834171</v>
      </c>
      <c r="O359">
        <f t="shared" si="68"/>
        <v>-19286253</v>
      </c>
      <c r="P359">
        <v>8079</v>
      </c>
      <c r="Q359">
        <f t="shared" si="69"/>
        <v>-146658087</v>
      </c>
      <c r="R359">
        <f t="shared" si="70"/>
        <v>220387041</v>
      </c>
    </row>
    <row r="360" spans="1:18">
      <c r="A360">
        <f t="shared" si="71"/>
        <v>357</v>
      </c>
      <c r="B360">
        <v>6116</v>
      </c>
      <c r="C360">
        <v>32191</v>
      </c>
      <c r="D360" t="str">
        <f t="shared" si="60"/>
        <v>17E4</v>
      </c>
      <c r="E360" t="str">
        <f t="shared" si="61"/>
        <v>7DBF</v>
      </c>
      <c r="F360">
        <v>1529</v>
      </c>
      <c r="G360" t="str">
        <f t="shared" si="62"/>
        <v>5F9</v>
      </c>
      <c r="H360">
        <f t="shared" si="63"/>
        <v>9351364</v>
      </c>
      <c r="I360">
        <f t="shared" si="64"/>
        <v>49220039</v>
      </c>
      <c r="J360">
        <v>-5916</v>
      </c>
      <c r="K360">
        <f t="shared" si="65"/>
        <v>-36182256</v>
      </c>
      <c r="L360">
        <f t="shared" si="66"/>
        <v>-190441956</v>
      </c>
      <c r="M360">
        <v>5205</v>
      </c>
      <c r="N360">
        <f t="shared" si="67"/>
        <v>31833780</v>
      </c>
      <c r="O360">
        <f t="shared" si="68"/>
        <v>167554155</v>
      </c>
      <c r="P360">
        <v>6700</v>
      </c>
      <c r="Q360">
        <f t="shared" si="69"/>
        <v>40977200</v>
      </c>
      <c r="R360">
        <f t="shared" si="70"/>
        <v>215679700</v>
      </c>
    </row>
    <row r="361" spans="1:18">
      <c r="A361">
        <f t="shared" si="71"/>
        <v>358</v>
      </c>
      <c r="B361">
        <v>26893</v>
      </c>
      <c r="C361">
        <v>18721</v>
      </c>
      <c r="D361" t="str">
        <f t="shared" si="60"/>
        <v>690D</v>
      </c>
      <c r="E361" t="str">
        <f t="shared" si="61"/>
        <v>4921</v>
      </c>
      <c r="F361">
        <v>6723</v>
      </c>
      <c r="G361" t="str">
        <f t="shared" si="62"/>
        <v>1A43</v>
      </c>
      <c r="H361">
        <f t="shared" si="63"/>
        <v>180801639</v>
      </c>
      <c r="I361">
        <f t="shared" si="64"/>
        <v>125861283</v>
      </c>
      <c r="J361">
        <v>-296</v>
      </c>
      <c r="K361">
        <f t="shared" si="65"/>
        <v>-7960328</v>
      </c>
      <c r="L361">
        <f t="shared" si="66"/>
        <v>-5541416</v>
      </c>
      <c r="M361">
        <v>8145</v>
      </c>
      <c r="N361">
        <f t="shared" si="67"/>
        <v>219043485</v>
      </c>
      <c r="O361">
        <f t="shared" si="68"/>
        <v>152482545</v>
      </c>
      <c r="P361">
        <v>1455</v>
      </c>
      <c r="Q361">
        <f t="shared" si="69"/>
        <v>39129315</v>
      </c>
      <c r="R361">
        <f t="shared" si="70"/>
        <v>27239055</v>
      </c>
    </row>
    <row r="362" spans="1:18">
      <c r="A362">
        <f t="shared" si="71"/>
        <v>359</v>
      </c>
      <c r="B362">
        <v>32312</v>
      </c>
      <c r="C362">
        <v>-5440</v>
      </c>
      <c r="D362" t="str">
        <f t="shared" si="60"/>
        <v>7E38</v>
      </c>
      <c r="E362" t="str">
        <f t="shared" si="61"/>
        <v>FFFFFFEAC0</v>
      </c>
      <c r="F362">
        <v>8078</v>
      </c>
      <c r="G362" t="str">
        <f t="shared" si="62"/>
        <v>1F8E</v>
      </c>
      <c r="H362">
        <f t="shared" si="63"/>
        <v>261016336</v>
      </c>
      <c r="I362">
        <f t="shared" si="64"/>
        <v>-43944320</v>
      </c>
      <c r="J362">
        <v>5491</v>
      </c>
      <c r="K362">
        <f t="shared" si="65"/>
        <v>177425192</v>
      </c>
      <c r="L362">
        <f t="shared" si="66"/>
        <v>-29871040</v>
      </c>
      <c r="M362">
        <v>6434</v>
      </c>
      <c r="N362">
        <f t="shared" si="67"/>
        <v>207895408</v>
      </c>
      <c r="O362">
        <f t="shared" si="68"/>
        <v>-35000960</v>
      </c>
      <c r="P362">
        <v>-4629</v>
      </c>
      <c r="Q362">
        <f t="shared" si="69"/>
        <v>-149572248</v>
      </c>
      <c r="R362">
        <f t="shared" si="70"/>
        <v>25181760</v>
      </c>
    </row>
    <row r="363" spans="1:18">
      <c r="A363">
        <f t="shared" si="71"/>
        <v>360</v>
      </c>
      <c r="B363">
        <v>19280</v>
      </c>
      <c r="C363">
        <v>-26495</v>
      </c>
      <c r="D363" t="str">
        <f t="shared" si="60"/>
        <v>4B50</v>
      </c>
      <c r="E363" t="str">
        <f t="shared" si="61"/>
        <v>FFFFFF9881</v>
      </c>
      <c r="F363">
        <v>4820</v>
      </c>
      <c r="G363" t="str">
        <f t="shared" si="62"/>
        <v>12D4</v>
      </c>
      <c r="H363">
        <f t="shared" si="63"/>
        <v>92929600</v>
      </c>
      <c r="I363">
        <f t="shared" si="64"/>
        <v>-127705900</v>
      </c>
      <c r="J363">
        <v>8174</v>
      </c>
      <c r="K363">
        <f t="shared" si="65"/>
        <v>157594720</v>
      </c>
      <c r="L363">
        <f t="shared" si="66"/>
        <v>-216570130</v>
      </c>
      <c r="M363">
        <v>1048</v>
      </c>
      <c r="N363">
        <f t="shared" si="67"/>
        <v>20205440</v>
      </c>
      <c r="O363">
        <f t="shared" si="68"/>
        <v>-27766760</v>
      </c>
      <c r="P363">
        <v>-8043</v>
      </c>
      <c r="Q363">
        <f t="shared" si="69"/>
        <v>-155069040</v>
      </c>
      <c r="R363">
        <f t="shared" si="70"/>
        <v>213099285</v>
      </c>
    </row>
    <row r="364" spans="1:18">
      <c r="A364">
        <f t="shared" si="71"/>
        <v>361</v>
      </c>
      <c r="B364">
        <v>-4762</v>
      </c>
      <c r="C364">
        <v>-32419</v>
      </c>
      <c r="D364" t="str">
        <f t="shared" si="60"/>
        <v>FFFFFFED66</v>
      </c>
      <c r="E364" t="str">
        <f t="shared" si="61"/>
        <v>FFFFFF815D</v>
      </c>
      <c r="F364">
        <v>-1191</v>
      </c>
      <c r="G364" t="str">
        <f t="shared" si="62"/>
        <v>FFFFFFFB59</v>
      </c>
      <c r="H364">
        <f t="shared" si="63"/>
        <v>5671542</v>
      </c>
      <c r="I364">
        <f t="shared" si="64"/>
        <v>38611029</v>
      </c>
      <c r="J364">
        <v>6238</v>
      </c>
      <c r="K364">
        <f t="shared" si="65"/>
        <v>-29705356</v>
      </c>
      <c r="L364">
        <f t="shared" si="66"/>
        <v>-202229722</v>
      </c>
      <c r="M364">
        <v>-4936</v>
      </c>
      <c r="N364">
        <f t="shared" si="67"/>
        <v>23505232</v>
      </c>
      <c r="O364">
        <f t="shared" si="68"/>
        <v>160020184</v>
      </c>
      <c r="P364">
        <v>-6816</v>
      </c>
      <c r="Q364">
        <f t="shared" si="69"/>
        <v>32457792</v>
      </c>
      <c r="R364">
        <f t="shared" si="70"/>
        <v>220967904</v>
      </c>
    </row>
    <row r="365" spans="1:18">
      <c r="A365">
        <f t="shared" si="71"/>
        <v>362</v>
      </c>
      <c r="B365">
        <v>-26085</v>
      </c>
      <c r="C365">
        <v>-19831</v>
      </c>
      <c r="D365" t="str">
        <f t="shared" si="60"/>
        <v>FFFFFF9A1B</v>
      </c>
      <c r="E365" t="str">
        <f t="shared" si="61"/>
        <v>FFFFFFB289</v>
      </c>
      <c r="F365">
        <v>-6521</v>
      </c>
      <c r="G365" t="str">
        <f t="shared" si="62"/>
        <v>FFFFFFE687</v>
      </c>
      <c r="H365">
        <f t="shared" si="63"/>
        <v>170100285</v>
      </c>
      <c r="I365">
        <f t="shared" si="64"/>
        <v>129317951</v>
      </c>
      <c r="J365">
        <v>776</v>
      </c>
      <c r="K365">
        <f t="shared" si="65"/>
        <v>-20241960</v>
      </c>
      <c r="L365">
        <f t="shared" si="66"/>
        <v>-15388856</v>
      </c>
      <c r="M365">
        <v>-8101</v>
      </c>
      <c r="N365">
        <f t="shared" si="67"/>
        <v>211314585</v>
      </c>
      <c r="O365">
        <f t="shared" si="68"/>
        <v>160650931</v>
      </c>
      <c r="P365">
        <v>-1657</v>
      </c>
      <c r="Q365">
        <f t="shared" si="69"/>
        <v>43222845</v>
      </c>
      <c r="R365">
        <f t="shared" si="70"/>
        <v>32859967</v>
      </c>
    </row>
    <row r="366" spans="1:18">
      <c r="A366">
        <f t="shared" si="71"/>
        <v>363</v>
      </c>
      <c r="B366">
        <v>-32512</v>
      </c>
      <c r="C366">
        <v>4082</v>
      </c>
      <c r="D366" t="str">
        <f t="shared" si="60"/>
        <v>FFFFFF8100</v>
      </c>
      <c r="E366" t="str">
        <f t="shared" si="61"/>
        <v>FF2</v>
      </c>
      <c r="F366">
        <v>-8128</v>
      </c>
      <c r="G366" t="str">
        <f t="shared" si="62"/>
        <v>FFFFFFE040</v>
      </c>
      <c r="H366">
        <f t="shared" si="63"/>
        <v>264257536</v>
      </c>
      <c r="I366">
        <f t="shared" si="64"/>
        <v>-33178496</v>
      </c>
      <c r="J366">
        <v>-5125</v>
      </c>
      <c r="K366">
        <f t="shared" si="65"/>
        <v>166624000</v>
      </c>
      <c r="L366">
        <f t="shared" si="66"/>
        <v>-20920250</v>
      </c>
      <c r="M366">
        <v>-6640</v>
      </c>
      <c r="N366">
        <f t="shared" si="67"/>
        <v>215879680</v>
      </c>
      <c r="O366">
        <f t="shared" si="68"/>
        <v>-27104480</v>
      </c>
      <c r="P366">
        <v>4458</v>
      </c>
      <c r="Q366">
        <f t="shared" si="69"/>
        <v>-144938496</v>
      </c>
      <c r="R366">
        <f t="shared" si="70"/>
        <v>18197556</v>
      </c>
    </row>
    <row r="367" spans="1:18">
      <c r="A367">
        <f t="shared" si="71"/>
        <v>364</v>
      </c>
      <c r="B367">
        <v>-20373</v>
      </c>
      <c r="C367">
        <v>25664</v>
      </c>
      <c r="D367" t="str">
        <f t="shared" si="60"/>
        <v>FFFFFFB06B</v>
      </c>
      <c r="E367" t="str">
        <f t="shared" si="61"/>
        <v>6440</v>
      </c>
      <c r="F367">
        <v>-5093</v>
      </c>
      <c r="G367" t="str">
        <f t="shared" si="62"/>
        <v>FFFFFFEC1B</v>
      </c>
      <c r="H367">
        <f t="shared" si="63"/>
        <v>103759689</v>
      </c>
      <c r="I367">
        <f t="shared" si="64"/>
        <v>-130706752</v>
      </c>
      <c r="J367">
        <v>-8129</v>
      </c>
      <c r="K367">
        <f t="shared" si="65"/>
        <v>165612117</v>
      </c>
      <c r="L367">
        <f t="shared" si="66"/>
        <v>-208622656</v>
      </c>
      <c r="M367">
        <v>-1388</v>
      </c>
      <c r="N367">
        <f t="shared" si="67"/>
        <v>28277724</v>
      </c>
      <c r="O367">
        <f t="shared" si="68"/>
        <v>-35621632</v>
      </c>
      <c r="P367">
        <v>8001</v>
      </c>
      <c r="Q367">
        <f t="shared" si="69"/>
        <v>-163004373</v>
      </c>
      <c r="R367">
        <f t="shared" si="70"/>
        <v>205337664</v>
      </c>
    </row>
    <row r="368" spans="1:18">
      <c r="A368">
        <f t="shared" si="71"/>
        <v>365</v>
      </c>
      <c r="B368">
        <v>3400</v>
      </c>
      <c r="C368">
        <v>32590</v>
      </c>
      <c r="D368" t="str">
        <f t="shared" si="60"/>
        <v>D48</v>
      </c>
      <c r="E368" t="str">
        <f t="shared" si="61"/>
        <v>7F4E</v>
      </c>
      <c r="F368">
        <v>850</v>
      </c>
      <c r="G368" t="str">
        <f t="shared" si="62"/>
        <v>352</v>
      </c>
      <c r="H368">
        <f t="shared" si="63"/>
        <v>2890000</v>
      </c>
      <c r="I368">
        <f t="shared" si="64"/>
        <v>27701500</v>
      </c>
      <c r="J368">
        <v>-6538</v>
      </c>
      <c r="K368">
        <f t="shared" si="65"/>
        <v>-22229200</v>
      </c>
      <c r="L368">
        <f t="shared" si="66"/>
        <v>-213073420</v>
      </c>
      <c r="M368">
        <v>4657</v>
      </c>
      <c r="N368">
        <f t="shared" si="67"/>
        <v>15833800</v>
      </c>
      <c r="O368">
        <f t="shared" si="68"/>
        <v>151771630</v>
      </c>
      <c r="P368">
        <v>6928</v>
      </c>
      <c r="Q368">
        <f t="shared" si="69"/>
        <v>23555200</v>
      </c>
      <c r="R368">
        <f t="shared" si="70"/>
        <v>225783520</v>
      </c>
    </row>
    <row r="369" spans="1:18">
      <c r="A369">
        <f t="shared" si="71"/>
        <v>366</v>
      </c>
      <c r="B369">
        <v>25231</v>
      </c>
      <c r="C369">
        <v>20906</v>
      </c>
      <c r="D369" t="str">
        <f t="shared" si="60"/>
        <v>628F</v>
      </c>
      <c r="E369" t="str">
        <f t="shared" si="61"/>
        <v>51AA</v>
      </c>
      <c r="F369">
        <v>6308</v>
      </c>
      <c r="G369" t="str">
        <f t="shared" si="62"/>
        <v>18A4</v>
      </c>
      <c r="H369">
        <f t="shared" si="63"/>
        <v>159157148</v>
      </c>
      <c r="I369">
        <f t="shared" si="64"/>
        <v>131875048</v>
      </c>
      <c r="J369">
        <v>-1252</v>
      </c>
      <c r="K369">
        <f t="shared" si="65"/>
        <v>-31589212</v>
      </c>
      <c r="L369">
        <f t="shared" si="66"/>
        <v>-26174312</v>
      </c>
      <c r="M369">
        <v>8043</v>
      </c>
      <c r="N369">
        <f t="shared" si="67"/>
        <v>202932933</v>
      </c>
      <c r="O369">
        <f t="shared" si="68"/>
        <v>168146958</v>
      </c>
      <c r="P369">
        <v>1858</v>
      </c>
      <c r="Q369">
        <f t="shared" si="69"/>
        <v>46879198</v>
      </c>
      <c r="R369">
        <f t="shared" si="70"/>
        <v>38843348</v>
      </c>
    </row>
    <row r="370" spans="1:18">
      <c r="A370">
        <f t="shared" si="71"/>
        <v>367</v>
      </c>
      <c r="B370">
        <v>32654</v>
      </c>
      <c r="C370">
        <v>-2717</v>
      </c>
      <c r="D370" t="str">
        <f t="shared" si="60"/>
        <v>7F8E</v>
      </c>
      <c r="E370" t="str">
        <f t="shared" si="61"/>
        <v>FFFFFFF563</v>
      </c>
      <c r="F370">
        <v>8164</v>
      </c>
      <c r="G370" t="str">
        <f t="shared" si="62"/>
        <v>1FE4</v>
      </c>
      <c r="H370">
        <f t="shared" si="63"/>
        <v>266587256</v>
      </c>
      <c r="I370">
        <f t="shared" si="64"/>
        <v>-22181588</v>
      </c>
      <c r="J370">
        <v>4742</v>
      </c>
      <c r="K370">
        <f t="shared" si="65"/>
        <v>154845268</v>
      </c>
      <c r="L370">
        <f t="shared" si="66"/>
        <v>-12884014</v>
      </c>
      <c r="M370">
        <v>6835</v>
      </c>
      <c r="N370">
        <f t="shared" si="67"/>
        <v>223190090</v>
      </c>
      <c r="O370">
        <f t="shared" si="68"/>
        <v>-18570695</v>
      </c>
      <c r="P370">
        <v>-4284</v>
      </c>
      <c r="Q370">
        <f t="shared" si="69"/>
        <v>-139889736</v>
      </c>
      <c r="R370">
        <f t="shared" si="70"/>
        <v>11639628</v>
      </c>
    </row>
    <row r="371" spans="1:18">
      <c r="A371">
        <f t="shared" si="71"/>
        <v>368</v>
      </c>
      <c r="B371">
        <v>21430</v>
      </c>
      <c r="C371">
        <v>-24788</v>
      </c>
      <c r="D371" t="str">
        <f t="shared" si="60"/>
        <v>53B6</v>
      </c>
      <c r="E371" t="str">
        <f t="shared" si="61"/>
        <v>FFFFFF9F2C</v>
      </c>
      <c r="F371">
        <v>5358</v>
      </c>
      <c r="G371" t="str">
        <f t="shared" si="62"/>
        <v>14EE</v>
      </c>
      <c r="H371">
        <f t="shared" si="63"/>
        <v>114821940</v>
      </c>
      <c r="I371">
        <f t="shared" si="64"/>
        <v>-132814104</v>
      </c>
      <c r="J371">
        <v>8056</v>
      </c>
      <c r="K371">
        <f t="shared" si="65"/>
        <v>172640080</v>
      </c>
      <c r="L371">
        <f t="shared" si="66"/>
        <v>-199692128</v>
      </c>
      <c r="M371">
        <v>1724</v>
      </c>
      <c r="N371">
        <f t="shared" si="67"/>
        <v>36945320</v>
      </c>
      <c r="O371">
        <f t="shared" si="68"/>
        <v>-42734512</v>
      </c>
      <c r="P371">
        <v>-7954</v>
      </c>
      <c r="Q371">
        <f t="shared" si="69"/>
        <v>-170454220</v>
      </c>
      <c r="R371">
        <f t="shared" si="70"/>
        <v>197163752</v>
      </c>
    </row>
    <row r="372" spans="1:18">
      <c r="A372">
        <f t="shared" si="71"/>
        <v>369</v>
      </c>
      <c r="B372">
        <v>-2032</v>
      </c>
      <c r="C372">
        <v>-32704</v>
      </c>
      <c r="D372" t="str">
        <f t="shared" si="60"/>
        <v>FFFFFFF810</v>
      </c>
      <c r="E372" t="str">
        <f t="shared" si="61"/>
        <v>FFFFFF8040</v>
      </c>
      <c r="F372">
        <v>-508</v>
      </c>
      <c r="G372" t="str">
        <f t="shared" si="62"/>
        <v>FFFFFFFE04</v>
      </c>
      <c r="H372">
        <f t="shared" si="63"/>
        <v>1032256</v>
      </c>
      <c r="I372">
        <f t="shared" si="64"/>
        <v>16613632</v>
      </c>
      <c r="J372">
        <v>6816</v>
      </c>
      <c r="K372">
        <f t="shared" si="65"/>
        <v>-13850112</v>
      </c>
      <c r="L372">
        <f t="shared" si="66"/>
        <v>-222910464</v>
      </c>
      <c r="M372">
        <v>-4371</v>
      </c>
      <c r="N372">
        <f t="shared" si="67"/>
        <v>8881872</v>
      </c>
      <c r="O372">
        <f t="shared" si="68"/>
        <v>142949184</v>
      </c>
      <c r="P372">
        <v>-7036</v>
      </c>
      <c r="Q372">
        <f t="shared" si="69"/>
        <v>14297152</v>
      </c>
      <c r="R372">
        <f t="shared" si="70"/>
        <v>230105344</v>
      </c>
    </row>
    <row r="373" spans="1:18">
      <c r="A373">
        <f t="shared" si="71"/>
        <v>370</v>
      </c>
      <c r="B373">
        <v>-24334</v>
      </c>
      <c r="C373">
        <v>-21944</v>
      </c>
      <c r="D373" t="str">
        <f t="shared" si="60"/>
        <v>FFFFFFA0F2</v>
      </c>
      <c r="E373" t="str">
        <f t="shared" si="61"/>
        <v>FFFFFFAA48</v>
      </c>
      <c r="F373">
        <v>-6084</v>
      </c>
      <c r="G373" t="str">
        <f t="shared" si="62"/>
        <v>FFFFFFE83C</v>
      </c>
      <c r="H373">
        <f t="shared" si="63"/>
        <v>148048056</v>
      </c>
      <c r="I373">
        <f t="shared" si="64"/>
        <v>133507296</v>
      </c>
      <c r="J373">
        <v>1724</v>
      </c>
      <c r="K373">
        <f t="shared" si="65"/>
        <v>-41951816</v>
      </c>
      <c r="L373">
        <f t="shared" si="66"/>
        <v>-37831456</v>
      </c>
      <c r="M373">
        <v>-7971</v>
      </c>
      <c r="N373">
        <f t="shared" si="67"/>
        <v>193966314</v>
      </c>
      <c r="O373">
        <f t="shared" si="68"/>
        <v>174915624</v>
      </c>
      <c r="P373">
        <v>-2058</v>
      </c>
      <c r="Q373">
        <f t="shared" si="69"/>
        <v>50079372</v>
      </c>
      <c r="R373">
        <f t="shared" si="70"/>
        <v>45160752</v>
      </c>
    </row>
    <row r="374" spans="1:18">
      <c r="A374">
        <f t="shared" si="71"/>
        <v>371</v>
      </c>
      <c r="B374">
        <v>-32739</v>
      </c>
      <c r="C374">
        <v>1347</v>
      </c>
      <c r="D374" t="str">
        <f t="shared" si="60"/>
        <v>FFFFFF801D</v>
      </c>
      <c r="E374" t="str">
        <f t="shared" si="61"/>
        <v>543</v>
      </c>
      <c r="F374">
        <v>-8185</v>
      </c>
      <c r="G374" t="str">
        <f t="shared" si="62"/>
        <v>FFFFFFE007</v>
      </c>
      <c r="H374">
        <f t="shared" si="63"/>
        <v>267968715</v>
      </c>
      <c r="I374">
        <f t="shared" si="64"/>
        <v>-11025195</v>
      </c>
      <c r="J374">
        <v>-4342</v>
      </c>
      <c r="K374">
        <f t="shared" si="65"/>
        <v>142152738</v>
      </c>
      <c r="L374">
        <f t="shared" si="66"/>
        <v>-5848674</v>
      </c>
      <c r="M374">
        <v>-7018</v>
      </c>
      <c r="N374">
        <f t="shared" si="67"/>
        <v>229762302</v>
      </c>
      <c r="O374">
        <f t="shared" si="68"/>
        <v>-9453246</v>
      </c>
      <c r="P374">
        <v>4107</v>
      </c>
      <c r="Q374">
        <f t="shared" si="69"/>
        <v>-134459073</v>
      </c>
      <c r="R374">
        <f t="shared" si="70"/>
        <v>5532129</v>
      </c>
    </row>
    <row r="375" spans="1:18">
      <c r="A375">
        <f t="shared" si="71"/>
        <v>372</v>
      </c>
      <c r="B375">
        <v>-22449</v>
      </c>
      <c r="C375">
        <v>23869</v>
      </c>
      <c r="D375" t="str">
        <f t="shared" si="60"/>
        <v>FFFFFFA84F</v>
      </c>
      <c r="E375" t="str">
        <f t="shared" si="61"/>
        <v>5D3D</v>
      </c>
      <c r="F375">
        <v>-5612</v>
      </c>
      <c r="G375" t="str">
        <f t="shared" si="62"/>
        <v>FFFFFFEA14</v>
      </c>
      <c r="H375">
        <f t="shared" si="63"/>
        <v>125983788</v>
      </c>
      <c r="I375">
        <f t="shared" si="64"/>
        <v>-133952828</v>
      </c>
      <c r="J375">
        <v>-7954</v>
      </c>
      <c r="K375">
        <f t="shared" si="65"/>
        <v>178559346</v>
      </c>
      <c r="L375">
        <f t="shared" si="66"/>
        <v>-189854026</v>
      </c>
      <c r="M375">
        <v>-2058</v>
      </c>
      <c r="N375">
        <f t="shared" si="67"/>
        <v>46200042</v>
      </c>
      <c r="O375">
        <f t="shared" si="68"/>
        <v>-49122402</v>
      </c>
      <c r="P375">
        <v>7903</v>
      </c>
      <c r="Q375">
        <f t="shared" si="69"/>
        <v>-177414447</v>
      </c>
      <c r="R375">
        <f t="shared" si="70"/>
        <v>188636707</v>
      </c>
    </row>
    <row r="376" spans="1:18">
      <c r="A376">
        <f t="shared" si="71"/>
        <v>373</v>
      </c>
      <c r="B376">
        <v>661</v>
      </c>
      <c r="C376">
        <v>32760</v>
      </c>
      <c r="D376" t="str">
        <f t="shared" si="60"/>
        <v>295</v>
      </c>
      <c r="E376" t="str">
        <f t="shared" si="61"/>
        <v>7FF8</v>
      </c>
      <c r="F376">
        <v>165</v>
      </c>
      <c r="G376" t="str">
        <f t="shared" si="62"/>
        <v>A5</v>
      </c>
      <c r="H376">
        <f t="shared" si="63"/>
        <v>109065</v>
      </c>
      <c r="I376">
        <f t="shared" si="64"/>
        <v>5405400</v>
      </c>
      <c r="J376">
        <v>-7071</v>
      </c>
      <c r="K376">
        <f t="shared" si="65"/>
        <v>-4673931</v>
      </c>
      <c r="L376">
        <f t="shared" si="66"/>
        <v>-231645960</v>
      </c>
      <c r="M376">
        <v>4077</v>
      </c>
      <c r="N376">
        <f t="shared" si="67"/>
        <v>2694897</v>
      </c>
      <c r="O376">
        <f t="shared" si="68"/>
        <v>133562520</v>
      </c>
      <c r="P376">
        <v>7139</v>
      </c>
      <c r="Q376">
        <f t="shared" si="69"/>
        <v>4718879</v>
      </c>
      <c r="R376">
        <f t="shared" si="70"/>
        <v>233873640</v>
      </c>
    </row>
    <row r="377" spans="1:18">
      <c r="A377">
        <f t="shared" si="71"/>
        <v>374</v>
      </c>
      <c r="B377">
        <v>23393</v>
      </c>
      <c r="C377">
        <v>22944</v>
      </c>
      <c r="D377" t="str">
        <f t="shared" si="60"/>
        <v>5B61</v>
      </c>
      <c r="E377" t="str">
        <f t="shared" si="61"/>
        <v>59A0</v>
      </c>
      <c r="F377">
        <v>5848</v>
      </c>
      <c r="G377" t="str">
        <f t="shared" si="62"/>
        <v>16D8</v>
      </c>
      <c r="H377">
        <f t="shared" si="63"/>
        <v>136802264</v>
      </c>
      <c r="I377">
        <f t="shared" si="64"/>
        <v>134176512</v>
      </c>
      <c r="J377">
        <v>-2191</v>
      </c>
      <c r="K377">
        <f t="shared" si="65"/>
        <v>-51254063</v>
      </c>
      <c r="L377">
        <f t="shared" si="66"/>
        <v>-50270304</v>
      </c>
      <c r="M377">
        <v>7884</v>
      </c>
      <c r="N377">
        <f t="shared" si="67"/>
        <v>184430412</v>
      </c>
      <c r="O377">
        <f t="shared" si="68"/>
        <v>180890496</v>
      </c>
      <c r="P377">
        <v>2257</v>
      </c>
      <c r="Q377">
        <f t="shared" si="69"/>
        <v>52798001</v>
      </c>
      <c r="R377">
        <f t="shared" si="70"/>
        <v>51784608</v>
      </c>
    </row>
    <row r="378" spans="1:18">
      <c r="A378">
        <f t="shared" si="71"/>
        <v>375</v>
      </c>
      <c r="B378">
        <v>32767</v>
      </c>
      <c r="C378">
        <v>26</v>
      </c>
      <c r="D378" t="str">
        <f t="shared" si="60"/>
        <v>7FFF</v>
      </c>
      <c r="E378" t="str">
        <f t="shared" si="61"/>
        <v>1A</v>
      </c>
      <c r="F378">
        <v>8192</v>
      </c>
      <c r="G378" t="str">
        <f t="shared" si="62"/>
        <v>2000</v>
      </c>
      <c r="H378">
        <f t="shared" si="63"/>
        <v>268427264</v>
      </c>
      <c r="I378">
        <f t="shared" si="64"/>
        <v>212992</v>
      </c>
      <c r="J378">
        <v>3927</v>
      </c>
      <c r="K378">
        <f t="shared" si="65"/>
        <v>128676009</v>
      </c>
      <c r="L378">
        <f t="shared" si="66"/>
        <v>102102</v>
      </c>
      <c r="M378">
        <v>7189</v>
      </c>
      <c r="N378">
        <f t="shared" si="67"/>
        <v>235561963</v>
      </c>
      <c r="O378">
        <f t="shared" si="68"/>
        <v>186914</v>
      </c>
      <c r="P378">
        <v>-3927</v>
      </c>
      <c r="Q378">
        <f t="shared" si="69"/>
        <v>-128676009</v>
      </c>
      <c r="R378">
        <f t="shared" si="70"/>
        <v>-102102</v>
      </c>
    </row>
    <row r="379" spans="1:18">
      <c r="A379">
        <f t="shared" si="71"/>
        <v>376</v>
      </c>
      <c r="B379">
        <v>23429</v>
      </c>
      <c r="C379">
        <v>-22907</v>
      </c>
      <c r="D379" t="str">
        <f t="shared" si="60"/>
        <v>5B85</v>
      </c>
      <c r="E379" t="str">
        <f t="shared" si="61"/>
        <v>FFFFFFA685</v>
      </c>
      <c r="F379">
        <v>5857</v>
      </c>
      <c r="G379" t="str">
        <f t="shared" si="62"/>
        <v>16E1</v>
      </c>
      <c r="H379">
        <f t="shared" si="63"/>
        <v>137223653</v>
      </c>
      <c r="I379">
        <f t="shared" si="64"/>
        <v>-134166299</v>
      </c>
      <c r="J379">
        <v>7826</v>
      </c>
      <c r="K379">
        <f t="shared" si="65"/>
        <v>183355354</v>
      </c>
      <c r="L379">
        <f t="shared" si="66"/>
        <v>-179270182</v>
      </c>
      <c r="M379">
        <v>2389</v>
      </c>
      <c r="N379">
        <f t="shared" si="67"/>
        <v>55971881</v>
      </c>
      <c r="O379">
        <f t="shared" si="68"/>
        <v>-54724823</v>
      </c>
      <c r="P379">
        <v>-7846</v>
      </c>
      <c r="Q379">
        <f t="shared" si="69"/>
        <v>-183823934</v>
      </c>
      <c r="R379">
        <f t="shared" si="70"/>
        <v>179728322</v>
      </c>
    </row>
    <row r="380" spans="1:18">
      <c r="A380">
        <f t="shared" si="71"/>
        <v>377</v>
      </c>
      <c r="B380">
        <v>712</v>
      </c>
      <c r="C380">
        <v>-32759</v>
      </c>
      <c r="D380" t="str">
        <f t="shared" si="60"/>
        <v>2C8</v>
      </c>
      <c r="E380" t="str">
        <f t="shared" si="61"/>
        <v>FFFFFF8009</v>
      </c>
      <c r="F380">
        <v>178</v>
      </c>
      <c r="G380" t="str">
        <f t="shared" si="62"/>
        <v>B2</v>
      </c>
      <c r="H380">
        <f t="shared" si="63"/>
        <v>126736</v>
      </c>
      <c r="I380">
        <f t="shared" si="64"/>
        <v>-5831102</v>
      </c>
      <c r="J380">
        <v>7301</v>
      </c>
      <c r="K380">
        <f t="shared" si="65"/>
        <v>5198312</v>
      </c>
      <c r="L380">
        <f t="shared" si="66"/>
        <v>-239173459</v>
      </c>
      <c r="M380">
        <v>-3776</v>
      </c>
      <c r="N380">
        <f t="shared" si="67"/>
        <v>-2688512</v>
      </c>
      <c r="O380">
        <f t="shared" si="68"/>
        <v>123697984</v>
      </c>
      <c r="P380">
        <v>-7238</v>
      </c>
      <c r="Q380">
        <f t="shared" si="69"/>
        <v>-5153456</v>
      </c>
      <c r="R380">
        <f t="shared" si="70"/>
        <v>237109642</v>
      </c>
    </row>
    <row r="381" spans="1:18">
      <c r="A381">
        <f t="shared" si="71"/>
        <v>378</v>
      </c>
      <c r="B381">
        <v>-22412</v>
      </c>
      <c r="C381">
        <v>-23904</v>
      </c>
      <c r="D381" t="str">
        <f t="shared" si="60"/>
        <v>FFFFFFA874</v>
      </c>
      <c r="E381" t="str">
        <f t="shared" si="61"/>
        <v>FFFFFFA2A0</v>
      </c>
      <c r="F381">
        <v>-5603</v>
      </c>
      <c r="G381" t="str">
        <f t="shared" si="62"/>
        <v>FFFFFFEA1D</v>
      </c>
      <c r="H381">
        <f t="shared" si="63"/>
        <v>125574436</v>
      </c>
      <c r="I381">
        <f t="shared" si="64"/>
        <v>133934112</v>
      </c>
      <c r="J381">
        <v>2650</v>
      </c>
      <c r="K381">
        <f t="shared" si="65"/>
        <v>-59391800</v>
      </c>
      <c r="L381">
        <f t="shared" si="66"/>
        <v>-63345600</v>
      </c>
      <c r="M381">
        <v>-7784</v>
      </c>
      <c r="N381">
        <f t="shared" si="67"/>
        <v>174455008</v>
      </c>
      <c r="O381">
        <f t="shared" si="68"/>
        <v>186068736</v>
      </c>
      <c r="P381">
        <v>-2454</v>
      </c>
      <c r="Q381">
        <f t="shared" si="69"/>
        <v>54999048</v>
      </c>
      <c r="R381">
        <f t="shared" si="70"/>
        <v>58660416</v>
      </c>
    </row>
    <row r="382" spans="1:18">
      <c r="A382">
        <f t="shared" si="71"/>
        <v>379</v>
      </c>
      <c r="B382">
        <v>-32737</v>
      </c>
      <c r="C382">
        <v>-1398</v>
      </c>
      <c r="D382" t="str">
        <f t="shared" si="60"/>
        <v>FFFFFF801F</v>
      </c>
      <c r="E382" t="str">
        <f t="shared" si="61"/>
        <v>FFFFFFFA8A</v>
      </c>
      <c r="F382">
        <v>-8185</v>
      </c>
      <c r="G382" t="str">
        <f t="shared" si="62"/>
        <v>FFFFFFE007</v>
      </c>
      <c r="H382">
        <f t="shared" si="63"/>
        <v>267952345</v>
      </c>
      <c r="I382">
        <f t="shared" si="64"/>
        <v>11442630</v>
      </c>
      <c r="J382">
        <v>-3499</v>
      </c>
      <c r="K382">
        <f t="shared" si="65"/>
        <v>114546763</v>
      </c>
      <c r="L382">
        <f t="shared" si="66"/>
        <v>4891602</v>
      </c>
      <c r="M382">
        <v>-7347</v>
      </c>
      <c r="N382">
        <f t="shared" si="67"/>
        <v>240518739</v>
      </c>
      <c r="O382">
        <f t="shared" si="68"/>
        <v>10271106</v>
      </c>
      <c r="P382">
        <v>3746</v>
      </c>
      <c r="Q382">
        <f t="shared" si="69"/>
        <v>-122632802</v>
      </c>
      <c r="R382">
        <f t="shared" si="70"/>
        <v>-5236908</v>
      </c>
    </row>
    <row r="383" spans="1:18">
      <c r="A383">
        <f t="shared" si="71"/>
        <v>380</v>
      </c>
      <c r="B383">
        <v>-24368</v>
      </c>
      <c r="C383">
        <v>21906</v>
      </c>
      <c r="D383" t="str">
        <f t="shared" si="60"/>
        <v>FFFFFFA0D0</v>
      </c>
      <c r="E383" t="str">
        <f t="shared" si="61"/>
        <v>5592</v>
      </c>
      <c r="F383">
        <v>-6092</v>
      </c>
      <c r="G383" t="str">
        <f t="shared" si="62"/>
        <v>FFFFFFE834</v>
      </c>
      <c r="H383">
        <f t="shared" si="63"/>
        <v>148449856</v>
      </c>
      <c r="I383">
        <f t="shared" si="64"/>
        <v>-133451352</v>
      </c>
      <c r="J383">
        <v>-7671</v>
      </c>
      <c r="K383">
        <f t="shared" si="65"/>
        <v>186926928</v>
      </c>
      <c r="L383">
        <f t="shared" si="66"/>
        <v>-168040926</v>
      </c>
      <c r="M383">
        <v>-2715</v>
      </c>
      <c r="N383">
        <f t="shared" si="67"/>
        <v>66159120</v>
      </c>
      <c r="O383">
        <f t="shared" si="68"/>
        <v>-59474790</v>
      </c>
      <c r="P383">
        <v>7784</v>
      </c>
      <c r="Q383">
        <f t="shared" si="69"/>
        <v>-189680512</v>
      </c>
      <c r="R383">
        <f t="shared" si="70"/>
        <v>170516304</v>
      </c>
    </row>
    <row r="384" spans="1:18">
      <c r="A384">
        <f t="shared" si="71"/>
        <v>381</v>
      </c>
      <c r="B384">
        <v>-2084</v>
      </c>
      <c r="C384">
        <v>32701</v>
      </c>
      <c r="D384" t="str">
        <f t="shared" si="60"/>
        <v>FFFFFFF7DC</v>
      </c>
      <c r="E384" t="str">
        <f t="shared" si="61"/>
        <v>7FBD</v>
      </c>
      <c r="F384">
        <v>-521</v>
      </c>
      <c r="G384" t="str">
        <f t="shared" si="62"/>
        <v>FFFFFFFDF7</v>
      </c>
      <c r="H384">
        <f t="shared" si="63"/>
        <v>1085764</v>
      </c>
      <c r="I384">
        <f t="shared" si="64"/>
        <v>-17037221</v>
      </c>
      <c r="J384">
        <v>-7506</v>
      </c>
      <c r="K384">
        <f t="shared" si="65"/>
        <v>15642504</v>
      </c>
      <c r="L384">
        <f t="shared" si="66"/>
        <v>-245453706</v>
      </c>
      <c r="M384">
        <v>3468</v>
      </c>
      <c r="N384">
        <f t="shared" si="67"/>
        <v>-7227312</v>
      </c>
      <c r="O384">
        <f t="shared" si="68"/>
        <v>113407068</v>
      </c>
      <c r="P384">
        <v>7332</v>
      </c>
      <c r="Q384">
        <f t="shared" si="69"/>
        <v>-15279888</v>
      </c>
      <c r="R384">
        <f t="shared" si="70"/>
        <v>239763732</v>
      </c>
    </row>
    <row r="385" spans="1:18">
      <c r="A385">
        <f t="shared" si="71"/>
        <v>382</v>
      </c>
      <c r="B385">
        <v>21391</v>
      </c>
      <c r="C385">
        <v>24822</v>
      </c>
      <c r="D385" t="str">
        <f t="shared" si="60"/>
        <v>538F</v>
      </c>
      <c r="E385" t="str">
        <f t="shared" si="61"/>
        <v>60F6</v>
      </c>
      <c r="F385">
        <v>5348</v>
      </c>
      <c r="G385" t="str">
        <f t="shared" si="62"/>
        <v>14E4</v>
      </c>
      <c r="H385">
        <f t="shared" si="63"/>
        <v>114399068</v>
      </c>
      <c r="I385">
        <f t="shared" si="64"/>
        <v>132748056</v>
      </c>
      <c r="J385">
        <v>-3100</v>
      </c>
      <c r="K385">
        <f t="shared" si="65"/>
        <v>-66312100</v>
      </c>
      <c r="L385">
        <f t="shared" si="66"/>
        <v>-76948200</v>
      </c>
      <c r="M385">
        <v>7671</v>
      </c>
      <c r="N385">
        <f t="shared" si="67"/>
        <v>164090361</v>
      </c>
      <c r="O385">
        <f t="shared" si="68"/>
        <v>190409562</v>
      </c>
      <c r="P385">
        <v>2650</v>
      </c>
      <c r="Q385">
        <f t="shared" si="69"/>
        <v>56686150</v>
      </c>
      <c r="R385">
        <f t="shared" si="70"/>
        <v>65778300</v>
      </c>
    </row>
    <row r="386" spans="1:18">
      <c r="A386">
        <f t="shared" si="71"/>
        <v>383</v>
      </c>
      <c r="B386">
        <v>32650</v>
      </c>
      <c r="C386">
        <v>2768</v>
      </c>
      <c r="D386" t="str">
        <f t="shared" si="60"/>
        <v>7F8A</v>
      </c>
      <c r="E386" t="str">
        <f t="shared" si="61"/>
        <v>AD0</v>
      </c>
      <c r="F386">
        <v>8163</v>
      </c>
      <c r="G386" t="str">
        <f t="shared" si="62"/>
        <v>1FE3</v>
      </c>
      <c r="H386">
        <f t="shared" si="63"/>
        <v>266521950</v>
      </c>
      <c r="I386">
        <f t="shared" si="64"/>
        <v>22595184</v>
      </c>
      <c r="J386">
        <v>3059</v>
      </c>
      <c r="K386">
        <f t="shared" si="65"/>
        <v>99876350</v>
      </c>
      <c r="L386">
        <f t="shared" si="66"/>
        <v>8467312</v>
      </c>
      <c r="M386">
        <v>7493</v>
      </c>
      <c r="N386">
        <f t="shared" si="67"/>
        <v>244646450</v>
      </c>
      <c r="O386">
        <f t="shared" si="68"/>
        <v>20740624</v>
      </c>
      <c r="P386">
        <v>-3561</v>
      </c>
      <c r="Q386">
        <f t="shared" si="69"/>
        <v>-116266650</v>
      </c>
      <c r="R386">
        <f t="shared" si="70"/>
        <v>-9856848</v>
      </c>
    </row>
    <row r="387" spans="1:18">
      <c r="A387">
        <f t="shared" si="71"/>
        <v>384</v>
      </c>
      <c r="B387">
        <v>25264</v>
      </c>
      <c r="C387">
        <v>-20866</v>
      </c>
      <c r="D387" t="str">
        <f t="shared" ref="D387:D407" si="72">DEC2HEX(B387)</f>
        <v>62B0</v>
      </c>
      <c r="E387" t="str">
        <f t="shared" ref="E387:E407" si="73">DEC2HEX(C387)</f>
        <v>FFFFFFAE7E</v>
      </c>
      <c r="F387">
        <v>6316</v>
      </c>
      <c r="G387" t="str">
        <f t="shared" ref="G387:G407" si="74">DEC2HEX(F387)</f>
        <v>18AC</v>
      </c>
      <c r="H387">
        <f t="shared" ref="H387:H407" si="75">F387*B387</f>
        <v>159567424</v>
      </c>
      <c r="I387">
        <f t="shared" ref="I387:I407" si="76">F387*C387</f>
        <v>-131789656</v>
      </c>
      <c r="J387">
        <v>7489</v>
      </c>
      <c r="K387">
        <f t="shared" ref="K387:K407" si="77">J387*B387</f>
        <v>189202096</v>
      </c>
      <c r="L387">
        <f t="shared" ref="L387:L407" si="78">J387*C387</f>
        <v>-156265474</v>
      </c>
      <c r="M387">
        <v>3036</v>
      </c>
      <c r="N387">
        <f t="shared" ref="N387:N407" si="79">M387*B387</f>
        <v>76701504</v>
      </c>
      <c r="O387">
        <f t="shared" ref="O387:O407" si="80">M387*C387</f>
        <v>-63349176</v>
      </c>
      <c r="P387">
        <v>-7718</v>
      </c>
      <c r="Q387">
        <f t="shared" ref="Q387:Q407" si="81">P387*B387</f>
        <v>-194987552</v>
      </c>
      <c r="R387">
        <f t="shared" ref="R387:R407" si="82">P387*C387</f>
        <v>161043788</v>
      </c>
    </row>
    <row r="388" spans="1:18">
      <c r="A388">
        <f t="shared" si="71"/>
        <v>385</v>
      </c>
      <c r="B388">
        <v>3451</v>
      </c>
      <c r="C388">
        <v>-32585</v>
      </c>
      <c r="D388" t="str">
        <f t="shared" si="72"/>
        <v>D7B</v>
      </c>
      <c r="E388" t="str">
        <f t="shared" si="73"/>
        <v>FFFFFF80B7</v>
      </c>
      <c r="F388">
        <v>863</v>
      </c>
      <c r="G388" t="str">
        <f t="shared" si="74"/>
        <v>35F</v>
      </c>
      <c r="H388">
        <f t="shared" si="75"/>
        <v>2978213</v>
      </c>
      <c r="I388">
        <f t="shared" si="76"/>
        <v>-28120855</v>
      </c>
      <c r="J388">
        <v>7686</v>
      </c>
      <c r="K388">
        <f t="shared" si="77"/>
        <v>26524386</v>
      </c>
      <c r="L388">
        <f t="shared" si="78"/>
        <v>-250448310</v>
      </c>
      <c r="M388">
        <v>-3154</v>
      </c>
      <c r="N388">
        <f t="shared" si="79"/>
        <v>-10884454</v>
      </c>
      <c r="O388">
        <f t="shared" si="80"/>
        <v>102773090</v>
      </c>
      <c r="P388">
        <v>-7422</v>
      </c>
      <c r="Q388">
        <f t="shared" si="81"/>
        <v>-25613322</v>
      </c>
      <c r="R388">
        <f t="shared" si="82"/>
        <v>241845870</v>
      </c>
    </row>
    <row r="389" spans="1:18">
      <c r="A389">
        <f t="shared" ref="A389:A407" si="83">A388+1</f>
        <v>386</v>
      </c>
      <c r="B389">
        <v>-20332</v>
      </c>
      <c r="C389">
        <v>-25696</v>
      </c>
      <c r="D389" t="str">
        <f t="shared" si="72"/>
        <v>FFFFFFB094</v>
      </c>
      <c r="E389" t="str">
        <f t="shared" si="73"/>
        <v>FFFFFF9BA0</v>
      </c>
      <c r="F389">
        <v>-5083</v>
      </c>
      <c r="G389" t="str">
        <f t="shared" si="74"/>
        <v>FFFFFFEC25</v>
      </c>
      <c r="H389">
        <f t="shared" si="75"/>
        <v>103347556</v>
      </c>
      <c r="I389">
        <f t="shared" si="76"/>
        <v>130612768</v>
      </c>
      <c r="J389">
        <v>3539</v>
      </c>
      <c r="K389">
        <f t="shared" si="77"/>
        <v>-71954948</v>
      </c>
      <c r="L389">
        <f t="shared" si="78"/>
        <v>-90938144</v>
      </c>
      <c r="M389">
        <v>-7543</v>
      </c>
      <c r="N389">
        <f t="shared" si="79"/>
        <v>153364276</v>
      </c>
      <c r="O389">
        <f t="shared" si="80"/>
        <v>193824928</v>
      </c>
      <c r="P389">
        <v>-2844</v>
      </c>
      <c r="Q389">
        <f t="shared" si="81"/>
        <v>57824208</v>
      </c>
      <c r="R389">
        <f t="shared" si="82"/>
        <v>73079424</v>
      </c>
    </row>
    <row r="390" spans="1:18">
      <c r="A390">
        <f t="shared" si="83"/>
        <v>387</v>
      </c>
      <c r="B390">
        <v>-32505</v>
      </c>
      <c r="C390">
        <v>-4133</v>
      </c>
      <c r="D390" t="str">
        <f t="shared" si="72"/>
        <v>FFFFFF8107</v>
      </c>
      <c r="E390" t="str">
        <f t="shared" si="73"/>
        <v>FFFFFFEFDB</v>
      </c>
      <c r="F390">
        <v>-8127</v>
      </c>
      <c r="G390" t="str">
        <f t="shared" si="74"/>
        <v>FFFFFFE041</v>
      </c>
      <c r="H390">
        <f t="shared" si="75"/>
        <v>264168135</v>
      </c>
      <c r="I390">
        <f t="shared" si="76"/>
        <v>33588891</v>
      </c>
      <c r="J390">
        <v>-2609</v>
      </c>
      <c r="K390">
        <f t="shared" si="77"/>
        <v>84805545</v>
      </c>
      <c r="L390">
        <f t="shared" si="78"/>
        <v>10782997</v>
      </c>
      <c r="M390">
        <v>-7625</v>
      </c>
      <c r="N390">
        <f t="shared" si="79"/>
        <v>247850625</v>
      </c>
      <c r="O390">
        <f t="shared" si="80"/>
        <v>31514125</v>
      </c>
      <c r="P390">
        <v>3375</v>
      </c>
      <c r="Q390">
        <f t="shared" si="81"/>
        <v>-109704375</v>
      </c>
      <c r="R390">
        <f t="shared" si="82"/>
        <v>-13948875</v>
      </c>
    </row>
    <row r="391" spans="1:18">
      <c r="A391">
        <f t="shared" si="83"/>
        <v>388</v>
      </c>
      <c r="B391">
        <v>-26116</v>
      </c>
      <c r="C391">
        <v>19790</v>
      </c>
      <c r="D391" t="str">
        <f t="shared" si="72"/>
        <v>FFFFFF99FC</v>
      </c>
      <c r="E391" t="str">
        <f t="shared" si="73"/>
        <v>4D4E</v>
      </c>
      <c r="F391">
        <v>-6529</v>
      </c>
      <c r="G391" t="str">
        <f t="shared" si="74"/>
        <v>FFFFFFE67F</v>
      </c>
      <c r="H391">
        <f t="shared" si="75"/>
        <v>170511364</v>
      </c>
      <c r="I391">
        <f t="shared" si="76"/>
        <v>-129208910</v>
      </c>
      <c r="J391">
        <v>-7281</v>
      </c>
      <c r="K391">
        <f t="shared" si="77"/>
        <v>190150596</v>
      </c>
      <c r="L391">
        <f t="shared" si="78"/>
        <v>-144090990</v>
      </c>
      <c r="M391">
        <v>-3352</v>
      </c>
      <c r="N391">
        <f t="shared" si="79"/>
        <v>87540832</v>
      </c>
      <c r="O391">
        <f t="shared" si="80"/>
        <v>-66336080</v>
      </c>
      <c r="P391">
        <v>7646</v>
      </c>
      <c r="Q391">
        <f t="shared" si="81"/>
        <v>-199682936</v>
      </c>
      <c r="R391">
        <f t="shared" si="82"/>
        <v>151314340</v>
      </c>
    </row>
    <row r="392" spans="1:18">
      <c r="A392">
        <f t="shared" si="83"/>
        <v>389</v>
      </c>
      <c r="B392">
        <v>-4813</v>
      </c>
      <c r="C392">
        <v>32412</v>
      </c>
      <c r="D392" t="str">
        <f t="shared" si="72"/>
        <v>FFFFFFED33</v>
      </c>
      <c r="E392" t="str">
        <f t="shared" si="73"/>
        <v>7E9C</v>
      </c>
      <c r="F392">
        <v>-1203</v>
      </c>
      <c r="G392" t="str">
        <f t="shared" si="74"/>
        <v>FFFFFFFB4D</v>
      </c>
      <c r="H392">
        <f t="shared" si="75"/>
        <v>5790039</v>
      </c>
      <c r="I392">
        <f t="shared" si="76"/>
        <v>-38991636</v>
      </c>
      <c r="J392">
        <v>-7839</v>
      </c>
      <c r="K392">
        <f t="shared" si="77"/>
        <v>37729107</v>
      </c>
      <c r="L392">
        <f t="shared" si="78"/>
        <v>-254077668</v>
      </c>
      <c r="M392">
        <v>2835</v>
      </c>
      <c r="N392">
        <f t="shared" si="79"/>
        <v>-13644855</v>
      </c>
      <c r="O392">
        <f t="shared" si="80"/>
        <v>91888020</v>
      </c>
      <c r="P392">
        <v>7506</v>
      </c>
      <c r="Q392">
        <f t="shared" si="81"/>
        <v>-36126378</v>
      </c>
      <c r="R392">
        <f t="shared" si="82"/>
        <v>243284472</v>
      </c>
    </row>
    <row r="393" spans="1:18">
      <c r="A393">
        <f t="shared" si="83"/>
        <v>390</v>
      </c>
      <c r="B393">
        <v>19238</v>
      </c>
      <c r="C393">
        <v>26525</v>
      </c>
      <c r="D393" t="str">
        <f t="shared" si="72"/>
        <v>4B26</v>
      </c>
      <c r="E393" t="str">
        <f t="shared" si="73"/>
        <v>679D</v>
      </c>
      <c r="F393">
        <v>4810</v>
      </c>
      <c r="G393" t="str">
        <f t="shared" si="74"/>
        <v>12CA</v>
      </c>
      <c r="H393">
        <f t="shared" si="75"/>
        <v>92534780</v>
      </c>
      <c r="I393">
        <f t="shared" si="76"/>
        <v>127585250</v>
      </c>
      <c r="J393">
        <v>-3966</v>
      </c>
      <c r="K393">
        <f t="shared" si="77"/>
        <v>-76297908</v>
      </c>
      <c r="L393">
        <f t="shared" si="78"/>
        <v>-105198150</v>
      </c>
      <c r="M393">
        <v>7403</v>
      </c>
      <c r="N393">
        <f t="shared" si="79"/>
        <v>142418914</v>
      </c>
      <c r="O393">
        <f t="shared" si="80"/>
        <v>196364575</v>
      </c>
      <c r="P393">
        <v>3036</v>
      </c>
      <c r="Q393">
        <f t="shared" si="81"/>
        <v>58406568</v>
      </c>
      <c r="R393">
        <f t="shared" si="82"/>
        <v>80529900</v>
      </c>
    </row>
    <row r="394" spans="1:18">
      <c r="A394">
        <f t="shared" si="83"/>
        <v>391</v>
      </c>
      <c r="B394">
        <v>32304</v>
      </c>
      <c r="C394">
        <v>5491</v>
      </c>
      <c r="D394" t="str">
        <f t="shared" si="72"/>
        <v>7E30</v>
      </c>
      <c r="E394" t="str">
        <f t="shared" si="73"/>
        <v>1573</v>
      </c>
      <c r="F394">
        <v>8076</v>
      </c>
      <c r="G394" t="str">
        <f t="shared" si="74"/>
        <v>1F8C</v>
      </c>
      <c r="H394">
        <f t="shared" si="75"/>
        <v>260887104</v>
      </c>
      <c r="I394">
        <f t="shared" si="76"/>
        <v>44345316</v>
      </c>
      <c r="J394">
        <v>2149</v>
      </c>
      <c r="K394">
        <f t="shared" si="77"/>
        <v>69421296</v>
      </c>
      <c r="L394">
        <f t="shared" si="78"/>
        <v>11800159</v>
      </c>
      <c r="M394">
        <v>7743</v>
      </c>
      <c r="N394">
        <f t="shared" si="79"/>
        <v>250129872</v>
      </c>
      <c r="O394">
        <f t="shared" si="80"/>
        <v>42516813</v>
      </c>
      <c r="P394">
        <v>-3186</v>
      </c>
      <c r="Q394">
        <f t="shared" si="81"/>
        <v>-102920544</v>
      </c>
      <c r="R394">
        <f t="shared" si="82"/>
        <v>-17494326</v>
      </c>
    </row>
    <row r="395" spans="1:18">
      <c r="A395">
        <f t="shared" si="83"/>
        <v>392</v>
      </c>
      <c r="B395">
        <v>26922</v>
      </c>
      <c r="C395">
        <v>-18678</v>
      </c>
      <c r="D395" t="str">
        <f t="shared" si="72"/>
        <v>692A</v>
      </c>
      <c r="E395" t="str">
        <f t="shared" si="73"/>
        <v>FFFFFFB70A</v>
      </c>
      <c r="F395">
        <v>6731</v>
      </c>
      <c r="G395" t="str">
        <f t="shared" si="74"/>
        <v>1A4B</v>
      </c>
      <c r="H395">
        <f t="shared" si="75"/>
        <v>181211982</v>
      </c>
      <c r="I395">
        <f t="shared" si="76"/>
        <v>-125721618</v>
      </c>
      <c r="J395">
        <v>7049</v>
      </c>
      <c r="K395">
        <f t="shared" si="77"/>
        <v>189773178</v>
      </c>
      <c r="L395">
        <f t="shared" si="78"/>
        <v>-131661222</v>
      </c>
      <c r="M395">
        <v>3662</v>
      </c>
      <c r="N395">
        <f t="shared" si="79"/>
        <v>98588364</v>
      </c>
      <c r="O395">
        <f t="shared" si="80"/>
        <v>-68398836</v>
      </c>
      <c r="P395">
        <v>-7570</v>
      </c>
      <c r="Q395">
        <f t="shared" si="81"/>
        <v>-203799540</v>
      </c>
      <c r="R395">
        <f t="shared" si="82"/>
        <v>141392460</v>
      </c>
    </row>
    <row r="396" spans="1:18">
      <c r="A396">
        <f t="shared" si="83"/>
        <v>393</v>
      </c>
      <c r="B396">
        <v>6166</v>
      </c>
      <c r="C396">
        <v>-32182</v>
      </c>
      <c r="D396" t="str">
        <f t="shared" si="72"/>
        <v>1816</v>
      </c>
      <c r="E396" t="str">
        <f t="shared" si="73"/>
        <v>FFFFFF824A</v>
      </c>
      <c r="F396">
        <v>1542</v>
      </c>
      <c r="G396" t="str">
        <f t="shared" si="74"/>
        <v>606</v>
      </c>
      <c r="H396">
        <f t="shared" si="75"/>
        <v>9507972</v>
      </c>
      <c r="I396">
        <f t="shared" si="76"/>
        <v>-49624644</v>
      </c>
      <c r="J396">
        <v>7965</v>
      </c>
      <c r="K396">
        <f t="shared" si="77"/>
        <v>49112190</v>
      </c>
      <c r="L396">
        <f t="shared" si="78"/>
        <v>-256329630</v>
      </c>
      <c r="M396">
        <v>-2511</v>
      </c>
      <c r="N396">
        <f t="shared" si="79"/>
        <v>-15482826</v>
      </c>
      <c r="O396">
        <f t="shared" si="80"/>
        <v>80809002</v>
      </c>
      <c r="P396">
        <v>-7586</v>
      </c>
      <c r="Q396">
        <f t="shared" si="81"/>
        <v>-46775276</v>
      </c>
      <c r="R396">
        <f t="shared" si="82"/>
        <v>244132652</v>
      </c>
    </row>
    <row r="397" spans="1:18">
      <c r="A397">
        <f t="shared" si="83"/>
        <v>394</v>
      </c>
      <c r="B397">
        <v>-18110</v>
      </c>
      <c r="C397">
        <v>-27307</v>
      </c>
      <c r="D397" t="str">
        <f t="shared" si="72"/>
        <v>FFFFFFB942</v>
      </c>
      <c r="E397" t="str">
        <f t="shared" si="73"/>
        <v>FFFFFF9555</v>
      </c>
      <c r="F397">
        <v>-4528</v>
      </c>
      <c r="G397" t="str">
        <f t="shared" si="74"/>
        <v>FFFFFFEE50</v>
      </c>
      <c r="H397">
        <f t="shared" si="75"/>
        <v>82002080</v>
      </c>
      <c r="I397">
        <f t="shared" si="76"/>
        <v>123646096</v>
      </c>
      <c r="J397">
        <v>4379</v>
      </c>
      <c r="K397">
        <f t="shared" si="77"/>
        <v>-79303690</v>
      </c>
      <c r="L397">
        <f t="shared" si="78"/>
        <v>-119577353</v>
      </c>
      <c r="M397">
        <v>-7250</v>
      </c>
      <c r="N397">
        <f t="shared" si="79"/>
        <v>131297500</v>
      </c>
      <c r="O397">
        <f t="shared" si="80"/>
        <v>197975750</v>
      </c>
      <c r="P397">
        <v>-3226</v>
      </c>
      <c r="Q397">
        <f t="shared" si="81"/>
        <v>58422860</v>
      </c>
      <c r="R397">
        <f t="shared" si="82"/>
        <v>88092382</v>
      </c>
    </row>
    <row r="398" spans="1:18">
      <c r="A398">
        <f t="shared" si="83"/>
        <v>395</v>
      </c>
      <c r="B398">
        <v>-32045</v>
      </c>
      <c r="C398">
        <v>-6839</v>
      </c>
      <c r="D398" t="str">
        <f t="shared" si="72"/>
        <v>FFFFFF82D3</v>
      </c>
      <c r="E398" t="str">
        <f t="shared" si="73"/>
        <v>FFFFFFE549</v>
      </c>
      <c r="F398">
        <v>-8012</v>
      </c>
      <c r="G398" t="str">
        <f t="shared" si="74"/>
        <v>FFFFFFE0B4</v>
      </c>
      <c r="H398">
        <f t="shared" si="75"/>
        <v>256744540</v>
      </c>
      <c r="I398">
        <f t="shared" si="76"/>
        <v>54794068</v>
      </c>
      <c r="J398">
        <v>-1682</v>
      </c>
      <c r="K398">
        <f t="shared" si="77"/>
        <v>53899690</v>
      </c>
      <c r="L398">
        <f t="shared" si="78"/>
        <v>11503198</v>
      </c>
      <c r="M398">
        <v>-7849</v>
      </c>
      <c r="N398">
        <f t="shared" si="79"/>
        <v>251521205</v>
      </c>
      <c r="O398">
        <f t="shared" si="80"/>
        <v>53679311</v>
      </c>
      <c r="P398">
        <v>2995</v>
      </c>
      <c r="Q398">
        <f t="shared" si="81"/>
        <v>-95974775</v>
      </c>
      <c r="R398">
        <f t="shared" si="82"/>
        <v>-20482805</v>
      </c>
    </row>
    <row r="399" spans="1:18">
      <c r="A399">
        <f t="shared" si="83"/>
        <v>396</v>
      </c>
      <c r="B399">
        <v>-27681</v>
      </c>
      <c r="C399">
        <v>17534</v>
      </c>
      <c r="D399" t="str">
        <f t="shared" si="72"/>
        <v>FFFFFF93DF</v>
      </c>
      <c r="E399" t="str">
        <f t="shared" si="73"/>
        <v>447E</v>
      </c>
      <c r="F399">
        <v>-6920</v>
      </c>
      <c r="G399" t="str">
        <f t="shared" si="74"/>
        <v>FFFFFFE4F8</v>
      </c>
      <c r="H399">
        <f t="shared" si="75"/>
        <v>191552520</v>
      </c>
      <c r="I399">
        <f t="shared" si="76"/>
        <v>-121335280</v>
      </c>
      <c r="J399">
        <v>-6792</v>
      </c>
      <c r="K399">
        <f t="shared" si="77"/>
        <v>188009352</v>
      </c>
      <c r="L399">
        <f t="shared" si="78"/>
        <v>-119090928</v>
      </c>
      <c r="M399">
        <v>-3966</v>
      </c>
      <c r="N399">
        <f t="shared" si="79"/>
        <v>109782846</v>
      </c>
      <c r="O399">
        <f t="shared" si="80"/>
        <v>-69539844</v>
      </c>
      <c r="P399">
        <v>7489</v>
      </c>
      <c r="Q399">
        <f t="shared" si="81"/>
        <v>-207303009</v>
      </c>
      <c r="R399">
        <f t="shared" si="82"/>
        <v>131312126</v>
      </c>
    </row>
    <row r="400" spans="1:18">
      <c r="A400">
        <f t="shared" si="83"/>
        <v>397</v>
      </c>
      <c r="B400">
        <v>-7509</v>
      </c>
      <c r="C400">
        <v>31895</v>
      </c>
      <c r="D400" t="str">
        <f t="shared" si="72"/>
        <v>FFFFFFE2AB</v>
      </c>
      <c r="E400" t="str">
        <f t="shared" si="73"/>
        <v>7C97</v>
      </c>
      <c r="F400">
        <v>-1877</v>
      </c>
      <c r="G400" t="str">
        <f t="shared" si="74"/>
        <v>FFFFFFF8AB</v>
      </c>
      <c r="H400">
        <f t="shared" si="75"/>
        <v>14094393</v>
      </c>
      <c r="I400">
        <f t="shared" si="76"/>
        <v>-59866915</v>
      </c>
      <c r="J400">
        <v>-8063</v>
      </c>
      <c r="K400">
        <f t="shared" si="77"/>
        <v>60545067</v>
      </c>
      <c r="L400">
        <f t="shared" si="78"/>
        <v>-257169385</v>
      </c>
      <c r="M400">
        <v>2182</v>
      </c>
      <c r="N400">
        <f t="shared" si="79"/>
        <v>-16384638</v>
      </c>
      <c r="O400">
        <f t="shared" si="80"/>
        <v>69594890</v>
      </c>
      <c r="P400">
        <v>7662</v>
      </c>
      <c r="Q400">
        <f t="shared" si="81"/>
        <v>-57533958</v>
      </c>
      <c r="R400">
        <f t="shared" si="82"/>
        <v>244379490</v>
      </c>
    </row>
    <row r="401" spans="1:18">
      <c r="A401">
        <f t="shared" si="83"/>
        <v>398</v>
      </c>
      <c r="B401">
        <v>16951</v>
      </c>
      <c r="C401">
        <v>28042</v>
      </c>
      <c r="D401" t="str">
        <f t="shared" si="72"/>
        <v>4237</v>
      </c>
      <c r="E401" t="str">
        <f t="shared" si="73"/>
        <v>6D8A</v>
      </c>
      <c r="F401">
        <v>4238</v>
      </c>
      <c r="G401" t="str">
        <f t="shared" si="74"/>
        <v>108E</v>
      </c>
      <c r="H401">
        <f t="shared" si="75"/>
        <v>71838338</v>
      </c>
      <c r="I401">
        <f t="shared" si="76"/>
        <v>118841996</v>
      </c>
      <c r="J401">
        <v>-4777</v>
      </c>
      <c r="K401">
        <f t="shared" si="77"/>
        <v>-80974927</v>
      </c>
      <c r="L401">
        <f t="shared" si="78"/>
        <v>-133956634</v>
      </c>
      <c r="M401">
        <v>7084</v>
      </c>
      <c r="N401">
        <f t="shared" si="79"/>
        <v>120080884</v>
      </c>
      <c r="O401">
        <f t="shared" si="80"/>
        <v>198649528</v>
      </c>
      <c r="P401">
        <v>3414</v>
      </c>
      <c r="Q401">
        <f t="shared" si="81"/>
        <v>57870714</v>
      </c>
      <c r="R401">
        <f t="shared" si="82"/>
        <v>95735388</v>
      </c>
    </row>
    <row r="402" spans="1:18">
      <c r="A402">
        <f t="shared" si="83"/>
        <v>399</v>
      </c>
      <c r="B402">
        <v>31731</v>
      </c>
      <c r="C402">
        <v>8175</v>
      </c>
      <c r="D402" t="str">
        <f t="shared" si="72"/>
        <v>7BF3</v>
      </c>
      <c r="E402" t="str">
        <f t="shared" si="73"/>
        <v>1FEF</v>
      </c>
      <c r="F402">
        <v>7933</v>
      </c>
      <c r="G402" t="str">
        <f t="shared" si="74"/>
        <v>1EFD</v>
      </c>
      <c r="H402">
        <f t="shared" si="75"/>
        <v>251722023</v>
      </c>
      <c r="I402">
        <f t="shared" si="76"/>
        <v>64852275</v>
      </c>
      <c r="J402">
        <v>1209</v>
      </c>
      <c r="K402">
        <f t="shared" si="77"/>
        <v>38362779</v>
      </c>
      <c r="L402">
        <f t="shared" si="78"/>
        <v>9883575</v>
      </c>
      <c r="M402">
        <v>7940</v>
      </c>
      <c r="N402">
        <f t="shared" si="79"/>
        <v>251944140</v>
      </c>
      <c r="O402">
        <f t="shared" si="80"/>
        <v>64909500</v>
      </c>
      <c r="P402">
        <v>-2803</v>
      </c>
      <c r="Q402">
        <f t="shared" si="81"/>
        <v>-88941993</v>
      </c>
      <c r="R402">
        <f t="shared" si="82"/>
        <v>-22914525</v>
      </c>
    </row>
    <row r="403" spans="1:18">
      <c r="A403">
        <f t="shared" si="83"/>
        <v>400</v>
      </c>
      <c r="B403">
        <v>28391</v>
      </c>
      <c r="C403">
        <v>-16360</v>
      </c>
      <c r="D403" t="str">
        <f t="shared" si="72"/>
        <v>6EE7</v>
      </c>
      <c r="E403" t="str">
        <f t="shared" si="73"/>
        <v>FFFFFFC018</v>
      </c>
      <c r="F403">
        <v>7098</v>
      </c>
      <c r="G403" t="str">
        <f t="shared" si="74"/>
        <v>1BBA</v>
      </c>
      <c r="H403">
        <f t="shared" si="75"/>
        <v>201519318</v>
      </c>
      <c r="I403">
        <f t="shared" si="76"/>
        <v>-116123280</v>
      </c>
      <c r="J403">
        <v>6512</v>
      </c>
      <c r="K403">
        <f t="shared" si="77"/>
        <v>184882192</v>
      </c>
      <c r="L403">
        <f t="shared" si="78"/>
        <v>-106536320</v>
      </c>
      <c r="M403">
        <v>4262</v>
      </c>
      <c r="N403">
        <f t="shared" si="79"/>
        <v>121002442</v>
      </c>
      <c r="O403">
        <f t="shared" si="80"/>
        <v>-69726320</v>
      </c>
      <c r="P403">
        <v>-7403</v>
      </c>
      <c r="Q403">
        <f t="shared" si="81"/>
        <v>-210178573</v>
      </c>
      <c r="R403">
        <f t="shared" si="82"/>
        <v>121113080</v>
      </c>
    </row>
    <row r="404" spans="1:18">
      <c r="A404">
        <f t="shared" si="83"/>
        <v>401</v>
      </c>
      <c r="B404">
        <v>8838</v>
      </c>
      <c r="C404">
        <v>-31553</v>
      </c>
      <c r="D404" t="str">
        <f t="shared" si="72"/>
        <v>2286</v>
      </c>
      <c r="E404" t="str">
        <f t="shared" si="73"/>
        <v>FFFFFF84BF</v>
      </c>
      <c r="F404">
        <v>2210</v>
      </c>
      <c r="G404" t="str">
        <f t="shared" si="74"/>
        <v>8A2</v>
      </c>
      <c r="H404">
        <f t="shared" si="75"/>
        <v>19531980</v>
      </c>
      <c r="I404">
        <f t="shared" si="76"/>
        <v>-69732130</v>
      </c>
      <c r="J404">
        <v>8134</v>
      </c>
      <c r="K404">
        <f t="shared" si="77"/>
        <v>71888292</v>
      </c>
      <c r="L404">
        <f t="shared" si="78"/>
        <v>-256652102</v>
      </c>
      <c r="M404">
        <v>-1849</v>
      </c>
      <c r="N404">
        <f t="shared" si="79"/>
        <v>-16341462</v>
      </c>
      <c r="O404">
        <f t="shared" si="80"/>
        <v>58341497</v>
      </c>
      <c r="P404">
        <v>-7732</v>
      </c>
      <c r="Q404">
        <f t="shared" si="81"/>
        <v>-68335416</v>
      </c>
      <c r="R404">
        <f t="shared" si="82"/>
        <v>243967796</v>
      </c>
    </row>
    <row r="405" spans="1:18">
      <c r="A405">
        <f t="shared" si="83"/>
        <v>402</v>
      </c>
      <c r="B405">
        <v>-15761</v>
      </c>
      <c r="C405">
        <v>-28727</v>
      </c>
      <c r="D405" t="str">
        <f t="shared" si="72"/>
        <v>FFFFFFC26F</v>
      </c>
      <c r="E405" t="str">
        <f t="shared" si="73"/>
        <v>FFFFFF8FC9</v>
      </c>
      <c r="F405">
        <v>-3940</v>
      </c>
      <c r="G405" t="str">
        <f t="shared" si="74"/>
        <v>FFFFFFF09C</v>
      </c>
      <c r="H405">
        <f t="shared" si="75"/>
        <v>62098340</v>
      </c>
      <c r="I405">
        <f t="shared" si="76"/>
        <v>113184380</v>
      </c>
      <c r="J405">
        <v>5159</v>
      </c>
      <c r="K405">
        <f t="shared" si="77"/>
        <v>-81310999</v>
      </c>
      <c r="L405">
        <f t="shared" si="78"/>
        <v>-148202593</v>
      </c>
      <c r="M405">
        <v>-6905</v>
      </c>
      <c r="N405">
        <f t="shared" si="79"/>
        <v>108829705</v>
      </c>
      <c r="O405">
        <f t="shared" si="80"/>
        <v>198359935</v>
      </c>
      <c r="P405">
        <v>-3600</v>
      </c>
      <c r="Q405">
        <f t="shared" si="81"/>
        <v>56739600</v>
      </c>
      <c r="R405">
        <f t="shared" si="82"/>
        <v>103417200</v>
      </c>
    </row>
    <row r="406" spans="1:18">
      <c r="A406">
        <f t="shared" si="83"/>
        <v>403</v>
      </c>
      <c r="B406">
        <v>-31360</v>
      </c>
      <c r="C406">
        <v>-9497</v>
      </c>
      <c r="D406" t="str">
        <f t="shared" si="72"/>
        <v>FFFFFF8580</v>
      </c>
      <c r="E406" t="str">
        <f t="shared" si="73"/>
        <v>FFFFFFDAE7</v>
      </c>
      <c r="F406">
        <v>-7840</v>
      </c>
      <c r="G406" t="str">
        <f t="shared" si="74"/>
        <v>FFFFFFE160</v>
      </c>
      <c r="H406">
        <f t="shared" si="75"/>
        <v>245862400</v>
      </c>
      <c r="I406">
        <f t="shared" si="76"/>
        <v>74456480</v>
      </c>
      <c r="J406">
        <v>-732</v>
      </c>
      <c r="K406">
        <f t="shared" si="77"/>
        <v>22955520</v>
      </c>
      <c r="L406">
        <f t="shared" si="78"/>
        <v>6951804</v>
      </c>
      <c r="M406">
        <v>-8017</v>
      </c>
      <c r="N406">
        <f t="shared" si="79"/>
        <v>251413120</v>
      </c>
      <c r="O406">
        <f t="shared" si="80"/>
        <v>76137449</v>
      </c>
      <c r="P406">
        <v>2609</v>
      </c>
      <c r="Q406">
        <f t="shared" si="81"/>
        <v>-81818240</v>
      </c>
      <c r="R406">
        <f t="shared" si="82"/>
        <v>-24777673</v>
      </c>
    </row>
    <row r="407" spans="1:18">
      <c r="A407">
        <f t="shared" si="83"/>
        <v>404</v>
      </c>
      <c r="B407">
        <v>-29051</v>
      </c>
      <c r="C407">
        <v>15156</v>
      </c>
      <c r="D407" t="str">
        <f t="shared" si="72"/>
        <v>FFFFFF8E85</v>
      </c>
      <c r="E407" t="str">
        <f t="shared" si="73"/>
        <v>3B34</v>
      </c>
      <c r="F407">
        <v>-7263</v>
      </c>
      <c r="G407" t="str">
        <f t="shared" si="74"/>
        <v>FFFFFFE3A1</v>
      </c>
      <c r="H407">
        <f t="shared" si="75"/>
        <v>210997413</v>
      </c>
      <c r="I407">
        <f t="shared" si="76"/>
        <v>-110078028</v>
      </c>
      <c r="J407">
        <v>-6210</v>
      </c>
      <c r="K407">
        <f t="shared" si="77"/>
        <v>180406710</v>
      </c>
      <c r="L407">
        <f t="shared" si="78"/>
        <v>-94118760</v>
      </c>
      <c r="M407">
        <v>-4551</v>
      </c>
      <c r="N407">
        <f t="shared" si="79"/>
        <v>132211101</v>
      </c>
      <c r="O407">
        <f t="shared" si="80"/>
        <v>-68974956</v>
      </c>
      <c r="P407">
        <v>7313</v>
      </c>
      <c r="Q407">
        <f t="shared" si="81"/>
        <v>-212449963</v>
      </c>
      <c r="R407">
        <f t="shared" si="82"/>
        <v>110835828</v>
      </c>
    </row>
    <row r="408" spans="1:18">
      <c r="A408" t="s">
        <v>8</v>
      </c>
      <c r="H408">
        <f>SUM(H3:H407)</f>
        <v>54384135614</v>
      </c>
      <c r="I408">
        <f>SUM(I3:I407)</f>
        <v>52792467</v>
      </c>
      <c r="K408">
        <f>SUM(K3:K407)</f>
        <v>45254073703</v>
      </c>
      <c r="L408">
        <f>SUM(L3:L407)</f>
        <v>-16116105379</v>
      </c>
      <c r="N408">
        <f>SUM(N3:N407)</f>
        <v>47740586317</v>
      </c>
      <c r="O408">
        <f>SUM(O3:O407)</f>
        <v>26112775021</v>
      </c>
      <c r="Q408">
        <f>SUM(Q3:Q407)</f>
        <v>10592823130</v>
      </c>
      <c r="R408">
        <f>SUM(R3:R407)</f>
        <v>46884049609</v>
      </c>
    </row>
    <row r="409" spans="1:18">
      <c r="H409">
        <f>H408/405/32767</f>
        <v>4098.0808841475937</v>
      </c>
      <c r="I409">
        <f>I408/405/32767</f>
        <v>3.9781417392611584</v>
      </c>
      <c r="K409">
        <f>K408/405/32767</f>
        <v>3410.0910546481009</v>
      </c>
      <c r="L409">
        <f>L408/405/32767</f>
        <v>-1214.4185548769897</v>
      </c>
      <c r="N409">
        <f>N408/405/32767</f>
        <v>3597.4605824815467</v>
      </c>
      <c r="O409">
        <f>O408/405/32767</f>
        <v>1967.7110417851143</v>
      </c>
      <c r="Q409">
        <f>Q408/405/32767</f>
        <v>798.21524214930173</v>
      </c>
      <c r="R409">
        <f>R408/405/32767</f>
        <v>3532.9168204083676</v>
      </c>
    </row>
    <row r="410" spans="1:18">
      <c r="H410">
        <f>SQRT(H409*H409+I409*I409)</f>
        <v>4098.082815003575</v>
      </c>
      <c r="K410">
        <f>SQRT(K409*K409+L409*L409)</f>
        <v>3619.8803056759366</v>
      </c>
      <c r="N410">
        <f>SQRT(N409*N409+O409*O409)</f>
        <v>4100.440145456525</v>
      </c>
      <c r="Q410">
        <f>SQRT(Q409*Q409+R409*R409)</f>
        <v>3621.967536122299</v>
      </c>
    </row>
    <row r="411" spans="1:18">
      <c r="H411">
        <f>ATAN2(H409,I409)</f>
        <v>9.7073254583296875E-4</v>
      </c>
      <c r="K411">
        <f>ATAN2(K409,L409)</f>
        <v>-0.34212090286748736</v>
      </c>
      <c r="N411">
        <f>ATAN2(N409,O409)</f>
        <v>0.50051565679898946</v>
      </c>
      <c r="Q411">
        <f>ATAN2(Q409,R409)</f>
        <v>1.3485905866453549</v>
      </c>
    </row>
    <row r="412" spans="1:18">
      <c r="H412">
        <f>H411/PI()</f>
        <v>3.0899376617899365E-4</v>
      </c>
      <c r="K412">
        <f>K411/PI()</f>
        <v>-0.10890046565284561</v>
      </c>
      <c r="N412">
        <f>N411/PI()</f>
        <v>0.15931908174889159</v>
      </c>
      <c r="Q412">
        <f>Q411/PI()</f>
        <v>0.42926971614361442</v>
      </c>
    </row>
    <row r="413" spans="1:18">
      <c r="K413">
        <f>K412-N412</f>
        <v>-0.2682195474017372</v>
      </c>
      <c r="Q413">
        <f>Q412-N412</f>
        <v>0.26995063439472283</v>
      </c>
    </row>
    <row r="414" spans="1:18">
      <c r="K414">
        <f>0.5/92.5*50</f>
        <v>0.27027027027027029</v>
      </c>
    </row>
    <row r="415" spans="1:18">
      <c r="A415" t="s">
        <v>5</v>
      </c>
      <c r="H415" t="str">
        <f>DEC2HEX(H408)</f>
        <v>CA98C0DBE</v>
      </c>
      <c r="I415" t="str">
        <f>DEC2HEX(I408)</f>
        <v>3258C93</v>
      </c>
    </row>
  </sheetData>
  <pageMargins left="0" right="0" top="0.39370078740157483" bottom="0.39370078740157483" header="0" footer="0"/>
  <headerFooter>
    <oddHeader>&amp;C&amp;A</oddHeader>
    <oddFooter>&amp;CSida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tabSelected="1" workbookViewId="0">
      <selection activeCell="B2" sqref="B2"/>
    </sheetView>
  </sheetViews>
  <sheetFormatPr defaultRowHeight="12.75"/>
  <sheetData>
    <row r="1" spans="1:3">
      <c r="A1" t="s">
        <v>15</v>
      </c>
      <c r="B1" t="s">
        <v>20</v>
      </c>
      <c r="C1" t="s">
        <v>17</v>
      </c>
    </row>
    <row r="2" spans="1:3">
      <c r="A2">
        <v>90</v>
      </c>
      <c r="B2">
        <v>0.20780000000000001</v>
      </c>
      <c r="C2">
        <v>0.25690000000000002</v>
      </c>
    </row>
    <row r="3" spans="1:3">
      <c r="A3">
        <v>90.5</v>
      </c>
      <c r="B3" s="3">
        <v>7.4800000000000005E-2</v>
      </c>
      <c r="C3">
        <v>0.4415</v>
      </c>
    </row>
    <row r="4" spans="1:3">
      <c r="A4">
        <v>91</v>
      </c>
      <c r="B4">
        <v>0.2215</v>
      </c>
      <c r="C4">
        <v>0.64229999999999998</v>
      </c>
    </row>
    <row r="5" spans="1:3">
      <c r="A5">
        <v>91.5</v>
      </c>
      <c r="B5">
        <v>0.58199999999999996</v>
      </c>
      <c r="C5">
        <v>0.82440000000000002</v>
      </c>
    </row>
    <row r="6" spans="1:3">
      <c r="A6">
        <v>92</v>
      </c>
      <c r="B6">
        <v>0.88380000000000003</v>
      </c>
      <c r="C6">
        <v>0.95179999999999998</v>
      </c>
    </row>
    <row r="7" spans="1:3">
      <c r="A7">
        <v>92.5</v>
      </c>
      <c r="B7">
        <v>1</v>
      </c>
      <c r="C7">
        <v>1</v>
      </c>
    </row>
    <row r="8" spans="1:3">
      <c r="A8">
        <v>93</v>
      </c>
      <c r="B8">
        <v>0.88429999999999997</v>
      </c>
      <c r="C8">
        <v>0.95179999999999998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basic</vt:lpstr>
      <vt:lpstr>koeff</vt:lpstr>
      <vt:lpstr>amp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Leif Ekblad</cp:lastModifiedBy>
  <cp:revision>2</cp:revision>
  <dcterms:created xsi:type="dcterms:W3CDTF">2023-01-30T09:41:35Z</dcterms:created>
  <dcterms:modified xsi:type="dcterms:W3CDTF">2023-01-30T14:59:34Z</dcterms:modified>
</cp:coreProperties>
</file>